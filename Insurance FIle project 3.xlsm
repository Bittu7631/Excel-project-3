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hidePivotFieldList="1"/>
  <mc:AlternateContent xmlns:mc="http://schemas.openxmlformats.org/markup-compatibility/2006">
    <mc:Choice Requires="x15">
      <x15ac:absPath xmlns:x15ac="http://schemas.microsoft.com/office/spreadsheetml/2010/11/ac" url="C:\Users\Bittu Kumar Sharma\OneDrive\Desktop\2. Excel-20240614T072219Z-001\2. Excel\"/>
    </mc:Choice>
  </mc:AlternateContent>
  <xr:revisionPtr revIDLastSave="0" documentId="13_ncr:1_{BE5E9011-D5CE-431F-99CE-7BF291C3CC51}" xr6:coauthVersionLast="47" xr6:coauthVersionMax="47" xr10:uidLastSave="{00000000-0000-0000-0000-000000000000}"/>
  <bookViews>
    <workbookView xWindow="-110" yWindow="-110" windowWidth="19420" windowHeight="10300" activeTab="1" xr2:uid="{00000000-000D-0000-FFFF-FFFF00000000}"/>
  </bookViews>
  <sheets>
    <sheet name="Sheet1" sheetId="1" r:id="rId1"/>
    <sheet name="Ass1 Solution" sheetId="2" r:id="rId2"/>
    <sheet name="Ass2 Solution" sheetId="3" r:id="rId3"/>
    <sheet name="Ass3 Solution" sheetId="4" r:id="rId4"/>
  </sheets>
  <definedNames>
    <definedName name="_xlnm._FilterDatabase" localSheetId="0" hidden="1">Sheet1!$A$1:$G$1339</definedName>
  </definedNames>
  <calcPr calcId="191029"/>
  <pivotCaches>
    <pivotCache cacheId="0" r:id="rId5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5" i="2" l="1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0" i="2"/>
  <c r="K81" i="2"/>
  <c r="K82" i="2"/>
  <c r="K83" i="2"/>
  <c r="K84" i="2"/>
  <c r="K85" i="2"/>
  <c r="K86" i="2"/>
  <c r="K8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101" i="2"/>
  <c r="K102" i="2"/>
  <c r="K103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6" i="2"/>
  <c r="K117" i="2"/>
  <c r="K118" i="2"/>
  <c r="K119" i="2"/>
  <c r="K120" i="2"/>
  <c r="K121" i="2"/>
  <c r="K122" i="2"/>
  <c r="K123" i="2"/>
  <c r="K124" i="2"/>
  <c r="K125" i="2"/>
  <c r="K126" i="2"/>
  <c r="K127" i="2"/>
  <c r="K128" i="2"/>
  <c r="K129" i="2"/>
  <c r="K130" i="2"/>
  <c r="K131" i="2"/>
  <c r="K132" i="2"/>
  <c r="K133" i="2"/>
  <c r="K134" i="2"/>
  <c r="K135" i="2"/>
  <c r="K136" i="2"/>
  <c r="K137" i="2"/>
  <c r="K138" i="2"/>
  <c r="K139" i="2"/>
  <c r="K140" i="2"/>
  <c r="K141" i="2"/>
  <c r="K142" i="2"/>
  <c r="K143" i="2"/>
  <c r="K144" i="2"/>
  <c r="K145" i="2"/>
  <c r="K146" i="2"/>
  <c r="K147" i="2"/>
  <c r="K148" i="2"/>
  <c r="K149" i="2"/>
  <c r="K150" i="2"/>
  <c r="K151" i="2"/>
  <c r="K152" i="2"/>
  <c r="K153" i="2"/>
  <c r="K154" i="2"/>
  <c r="K155" i="2"/>
  <c r="K156" i="2"/>
  <c r="K157" i="2"/>
  <c r="K158" i="2"/>
  <c r="K159" i="2"/>
  <c r="K160" i="2"/>
  <c r="K161" i="2"/>
  <c r="K162" i="2"/>
  <c r="K163" i="2"/>
  <c r="K164" i="2"/>
  <c r="K165" i="2"/>
  <c r="K166" i="2"/>
  <c r="K167" i="2"/>
  <c r="K168" i="2"/>
  <c r="K169" i="2"/>
  <c r="K170" i="2"/>
  <c r="K171" i="2"/>
  <c r="K172" i="2"/>
  <c r="K173" i="2"/>
  <c r="K174" i="2"/>
  <c r="K175" i="2"/>
  <c r="K176" i="2"/>
  <c r="K177" i="2"/>
  <c r="K178" i="2"/>
  <c r="K179" i="2"/>
  <c r="K180" i="2"/>
  <c r="K181" i="2"/>
  <c r="K182" i="2"/>
  <c r="K183" i="2"/>
  <c r="K184" i="2"/>
  <c r="K185" i="2"/>
  <c r="K186" i="2"/>
  <c r="K187" i="2"/>
  <c r="K188" i="2"/>
  <c r="K189" i="2"/>
  <c r="K190" i="2"/>
  <c r="K191" i="2"/>
  <c r="K192" i="2"/>
  <c r="K193" i="2"/>
  <c r="K194" i="2"/>
  <c r="K195" i="2"/>
  <c r="K196" i="2"/>
  <c r="K197" i="2"/>
  <c r="K198" i="2"/>
  <c r="K199" i="2"/>
  <c r="K200" i="2"/>
  <c r="K201" i="2"/>
  <c r="K202" i="2"/>
  <c r="K203" i="2"/>
  <c r="K204" i="2"/>
  <c r="K205" i="2"/>
  <c r="K206" i="2"/>
  <c r="K207" i="2"/>
  <c r="K208" i="2"/>
  <c r="K209" i="2"/>
  <c r="K210" i="2"/>
  <c r="K211" i="2"/>
  <c r="K212" i="2"/>
  <c r="K213" i="2"/>
  <c r="K214" i="2"/>
  <c r="K215" i="2"/>
  <c r="K216" i="2"/>
  <c r="K217" i="2"/>
  <c r="K218" i="2"/>
  <c r="K219" i="2"/>
  <c r="K220" i="2"/>
  <c r="K221" i="2"/>
  <c r="K222" i="2"/>
  <c r="K223" i="2"/>
  <c r="K224" i="2"/>
  <c r="K225" i="2"/>
  <c r="K226" i="2"/>
  <c r="K227" i="2"/>
  <c r="K228" i="2"/>
  <c r="K229" i="2"/>
  <c r="K230" i="2"/>
  <c r="K231" i="2"/>
  <c r="K232" i="2"/>
  <c r="K233" i="2"/>
  <c r="K234" i="2"/>
  <c r="K235" i="2"/>
  <c r="K236" i="2"/>
  <c r="K237" i="2"/>
  <c r="K238" i="2"/>
  <c r="K239" i="2"/>
  <c r="K240" i="2"/>
  <c r="K241" i="2"/>
  <c r="K242" i="2"/>
  <c r="K243" i="2"/>
  <c r="K244" i="2"/>
  <c r="K245" i="2"/>
  <c r="K246" i="2"/>
  <c r="K247" i="2"/>
  <c r="K248" i="2"/>
  <c r="K249" i="2"/>
  <c r="K250" i="2"/>
  <c r="K251" i="2"/>
  <c r="K252" i="2"/>
  <c r="K253" i="2"/>
  <c r="K254" i="2"/>
  <c r="K255" i="2"/>
  <c r="K256" i="2"/>
  <c r="K257" i="2"/>
  <c r="K258" i="2"/>
  <c r="K259" i="2"/>
  <c r="K260" i="2"/>
  <c r="K261" i="2"/>
  <c r="K262" i="2"/>
  <c r="K263" i="2"/>
  <c r="K264" i="2"/>
  <c r="K265" i="2"/>
  <c r="K266" i="2"/>
  <c r="K267" i="2"/>
  <c r="K268" i="2"/>
  <c r="K269" i="2"/>
  <c r="K270" i="2"/>
  <c r="K271" i="2"/>
  <c r="K272" i="2"/>
  <c r="K273" i="2"/>
  <c r="K274" i="2"/>
  <c r="K275" i="2"/>
  <c r="K276" i="2"/>
  <c r="K277" i="2"/>
  <c r="K278" i="2"/>
  <c r="K279" i="2"/>
  <c r="K280" i="2"/>
  <c r="K281" i="2"/>
  <c r="K282" i="2"/>
  <c r="K283" i="2"/>
  <c r="K284" i="2"/>
  <c r="K285" i="2"/>
  <c r="K286" i="2"/>
  <c r="K287" i="2"/>
  <c r="K288" i="2"/>
  <c r="K289" i="2"/>
  <c r="K290" i="2"/>
  <c r="K291" i="2"/>
  <c r="K292" i="2"/>
  <c r="K293" i="2"/>
  <c r="K294" i="2"/>
  <c r="K295" i="2"/>
  <c r="K296" i="2"/>
  <c r="K297" i="2"/>
  <c r="K298" i="2"/>
  <c r="K299" i="2"/>
  <c r="K300" i="2"/>
  <c r="K301" i="2"/>
  <c r="K302" i="2"/>
  <c r="K303" i="2"/>
  <c r="K304" i="2"/>
  <c r="K305" i="2"/>
  <c r="K306" i="2"/>
  <c r="K307" i="2"/>
  <c r="K308" i="2"/>
  <c r="K309" i="2"/>
  <c r="K310" i="2"/>
  <c r="K311" i="2"/>
  <c r="K312" i="2"/>
  <c r="K313" i="2"/>
  <c r="K314" i="2"/>
  <c r="K315" i="2"/>
  <c r="K316" i="2"/>
  <c r="K317" i="2"/>
  <c r="K318" i="2"/>
  <c r="K319" i="2"/>
  <c r="K320" i="2"/>
  <c r="K321" i="2"/>
  <c r="K322" i="2"/>
  <c r="K323" i="2"/>
  <c r="K324" i="2"/>
  <c r="K325" i="2"/>
  <c r="K326" i="2"/>
  <c r="K327" i="2"/>
  <c r="K328" i="2"/>
  <c r="K329" i="2"/>
  <c r="K330" i="2"/>
  <c r="K331" i="2"/>
  <c r="K332" i="2"/>
  <c r="K333" i="2"/>
  <c r="K334" i="2"/>
  <c r="K335" i="2"/>
  <c r="K336" i="2"/>
  <c r="K337" i="2"/>
  <c r="K338" i="2"/>
  <c r="K339" i="2"/>
  <c r="K340" i="2"/>
  <c r="K341" i="2"/>
  <c r="K342" i="2"/>
  <c r="K343" i="2"/>
  <c r="K344" i="2"/>
  <c r="K345" i="2"/>
  <c r="K346" i="2"/>
  <c r="K347" i="2"/>
  <c r="K348" i="2"/>
  <c r="K349" i="2"/>
  <c r="K350" i="2"/>
  <c r="K351" i="2"/>
  <c r="K352" i="2"/>
  <c r="K353" i="2"/>
  <c r="K354" i="2"/>
  <c r="K355" i="2"/>
  <c r="K356" i="2"/>
  <c r="K357" i="2"/>
  <c r="K358" i="2"/>
  <c r="K359" i="2"/>
  <c r="K360" i="2"/>
  <c r="K361" i="2"/>
  <c r="K362" i="2"/>
  <c r="K363" i="2"/>
  <c r="K364" i="2"/>
  <c r="K365" i="2"/>
  <c r="K366" i="2"/>
  <c r="K367" i="2"/>
  <c r="K368" i="2"/>
  <c r="K369" i="2"/>
  <c r="K370" i="2"/>
  <c r="K371" i="2"/>
  <c r="K372" i="2"/>
  <c r="K373" i="2"/>
  <c r="K374" i="2"/>
  <c r="K375" i="2"/>
  <c r="K376" i="2"/>
  <c r="K377" i="2"/>
  <c r="K378" i="2"/>
  <c r="K379" i="2"/>
  <c r="K380" i="2"/>
  <c r="K381" i="2"/>
  <c r="K382" i="2"/>
  <c r="K383" i="2"/>
  <c r="K384" i="2"/>
  <c r="K385" i="2"/>
  <c r="K386" i="2"/>
  <c r="K387" i="2"/>
  <c r="K388" i="2"/>
  <c r="K389" i="2"/>
  <c r="K390" i="2"/>
  <c r="K391" i="2"/>
  <c r="K392" i="2"/>
  <c r="K393" i="2"/>
  <c r="K394" i="2"/>
  <c r="K395" i="2"/>
  <c r="K396" i="2"/>
  <c r="K397" i="2"/>
  <c r="K398" i="2"/>
  <c r="K399" i="2"/>
  <c r="K400" i="2"/>
  <c r="K401" i="2"/>
  <c r="K402" i="2"/>
  <c r="K403" i="2"/>
  <c r="K404" i="2"/>
  <c r="K405" i="2"/>
  <c r="K406" i="2"/>
  <c r="K407" i="2"/>
  <c r="K408" i="2"/>
  <c r="K409" i="2"/>
  <c r="K410" i="2"/>
  <c r="K411" i="2"/>
  <c r="K412" i="2"/>
  <c r="K413" i="2"/>
  <c r="K414" i="2"/>
  <c r="K415" i="2"/>
  <c r="K416" i="2"/>
  <c r="K417" i="2"/>
  <c r="K418" i="2"/>
  <c r="K419" i="2"/>
  <c r="K420" i="2"/>
  <c r="K421" i="2"/>
  <c r="K422" i="2"/>
  <c r="K423" i="2"/>
  <c r="K424" i="2"/>
  <c r="K425" i="2"/>
  <c r="K426" i="2"/>
  <c r="K427" i="2"/>
  <c r="K428" i="2"/>
  <c r="K429" i="2"/>
  <c r="K430" i="2"/>
  <c r="K431" i="2"/>
  <c r="K432" i="2"/>
  <c r="K433" i="2"/>
  <c r="K434" i="2"/>
  <c r="K435" i="2"/>
  <c r="K436" i="2"/>
  <c r="K437" i="2"/>
  <c r="K438" i="2"/>
  <c r="K439" i="2"/>
  <c r="K440" i="2"/>
  <c r="K441" i="2"/>
  <c r="K442" i="2"/>
  <c r="K443" i="2"/>
  <c r="K444" i="2"/>
  <c r="K445" i="2"/>
  <c r="K446" i="2"/>
  <c r="K447" i="2"/>
  <c r="K448" i="2"/>
  <c r="K449" i="2"/>
  <c r="K450" i="2"/>
  <c r="K451" i="2"/>
  <c r="K452" i="2"/>
  <c r="K453" i="2"/>
  <c r="K454" i="2"/>
  <c r="K455" i="2"/>
  <c r="K456" i="2"/>
  <c r="K457" i="2"/>
  <c r="K458" i="2"/>
  <c r="K459" i="2"/>
  <c r="K460" i="2"/>
  <c r="K461" i="2"/>
  <c r="K462" i="2"/>
  <c r="K463" i="2"/>
  <c r="K464" i="2"/>
  <c r="K465" i="2"/>
  <c r="K466" i="2"/>
  <c r="K467" i="2"/>
  <c r="K468" i="2"/>
  <c r="K469" i="2"/>
  <c r="K470" i="2"/>
  <c r="K471" i="2"/>
  <c r="K472" i="2"/>
  <c r="K473" i="2"/>
  <c r="K474" i="2"/>
  <c r="K475" i="2"/>
  <c r="K476" i="2"/>
  <c r="K477" i="2"/>
  <c r="K478" i="2"/>
  <c r="K479" i="2"/>
  <c r="K480" i="2"/>
  <c r="K481" i="2"/>
  <c r="K482" i="2"/>
  <c r="K483" i="2"/>
  <c r="K484" i="2"/>
  <c r="K485" i="2"/>
  <c r="K486" i="2"/>
  <c r="K487" i="2"/>
  <c r="K488" i="2"/>
  <c r="K489" i="2"/>
  <c r="K490" i="2"/>
  <c r="K491" i="2"/>
  <c r="K492" i="2"/>
  <c r="K493" i="2"/>
  <c r="K494" i="2"/>
  <c r="K495" i="2"/>
  <c r="K496" i="2"/>
  <c r="K497" i="2"/>
  <c r="K498" i="2"/>
  <c r="K499" i="2"/>
  <c r="K500" i="2"/>
  <c r="K501" i="2"/>
  <c r="K502" i="2"/>
  <c r="K503" i="2"/>
  <c r="K504" i="2"/>
  <c r="K505" i="2"/>
  <c r="K506" i="2"/>
  <c r="K507" i="2"/>
  <c r="K508" i="2"/>
  <c r="K509" i="2"/>
  <c r="K510" i="2"/>
  <c r="K511" i="2"/>
  <c r="K512" i="2"/>
  <c r="K513" i="2"/>
  <c r="K514" i="2"/>
  <c r="K515" i="2"/>
  <c r="K516" i="2"/>
  <c r="K517" i="2"/>
  <c r="K518" i="2"/>
  <c r="K519" i="2"/>
  <c r="K520" i="2"/>
  <c r="K521" i="2"/>
  <c r="K522" i="2"/>
  <c r="K523" i="2"/>
  <c r="K524" i="2"/>
  <c r="K525" i="2"/>
  <c r="K526" i="2"/>
  <c r="K527" i="2"/>
  <c r="K528" i="2"/>
  <c r="K529" i="2"/>
  <c r="K530" i="2"/>
  <c r="K531" i="2"/>
  <c r="K532" i="2"/>
  <c r="K533" i="2"/>
  <c r="K534" i="2"/>
  <c r="K535" i="2"/>
  <c r="K536" i="2"/>
  <c r="K537" i="2"/>
  <c r="K538" i="2"/>
  <c r="K539" i="2"/>
  <c r="K540" i="2"/>
  <c r="K541" i="2"/>
  <c r="K542" i="2"/>
  <c r="K543" i="2"/>
  <c r="K544" i="2"/>
  <c r="K545" i="2"/>
  <c r="K546" i="2"/>
  <c r="K547" i="2"/>
  <c r="K548" i="2"/>
  <c r="K549" i="2"/>
  <c r="K550" i="2"/>
  <c r="K551" i="2"/>
  <c r="K552" i="2"/>
  <c r="K553" i="2"/>
  <c r="K554" i="2"/>
  <c r="K555" i="2"/>
  <c r="K556" i="2"/>
  <c r="K557" i="2"/>
  <c r="K558" i="2"/>
  <c r="K559" i="2"/>
  <c r="K560" i="2"/>
  <c r="K561" i="2"/>
  <c r="K562" i="2"/>
  <c r="K563" i="2"/>
  <c r="K564" i="2"/>
  <c r="K565" i="2"/>
  <c r="K566" i="2"/>
  <c r="K567" i="2"/>
  <c r="K568" i="2"/>
  <c r="K569" i="2"/>
  <c r="K570" i="2"/>
  <c r="K571" i="2"/>
  <c r="K572" i="2"/>
  <c r="K573" i="2"/>
  <c r="K574" i="2"/>
  <c r="K575" i="2"/>
  <c r="K576" i="2"/>
  <c r="K577" i="2"/>
  <c r="K578" i="2"/>
  <c r="K579" i="2"/>
  <c r="K580" i="2"/>
  <c r="K581" i="2"/>
  <c r="K582" i="2"/>
  <c r="K583" i="2"/>
  <c r="K584" i="2"/>
  <c r="K585" i="2"/>
  <c r="K586" i="2"/>
  <c r="K587" i="2"/>
  <c r="K588" i="2"/>
  <c r="K589" i="2"/>
  <c r="K590" i="2"/>
  <c r="K591" i="2"/>
  <c r="K592" i="2"/>
  <c r="K593" i="2"/>
  <c r="K594" i="2"/>
  <c r="K595" i="2"/>
  <c r="K596" i="2"/>
  <c r="K597" i="2"/>
  <c r="K598" i="2"/>
  <c r="K599" i="2"/>
  <c r="K600" i="2"/>
  <c r="K601" i="2"/>
  <c r="K602" i="2"/>
  <c r="K603" i="2"/>
  <c r="K604" i="2"/>
  <c r="K605" i="2"/>
  <c r="K606" i="2"/>
  <c r="K607" i="2"/>
  <c r="K608" i="2"/>
  <c r="K609" i="2"/>
  <c r="K610" i="2"/>
  <c r="K611" i="2"/>
  <c r="K612" i="2"/>
  <c r="K613" i="2"/>
  <c r="K614" i="2"/>
  <c r="K615" i="2"/>
  <c r="K616" i="2"/>
  <c r="K617" i="2"/>
  <c r="K618" i="2"/>
  <c r="K619" i="2"/>
  <c r="K620" i="2"/>
  <c r="K621" i="2"/>
  <c r="K622" i="2"/>
  <c r="K623" i="2"/>
  <c r="K624" i="2"/>
  <c r="K625" i="2"/>
  <c r="K626" i="2"/>
  <c r="K627" i="2"/>
  <c r="K628" i="2"/>
  <c r="K629" i="2"/>
  <c r="K630" i="2"/>
  <c r="K631" i="2"/>
  <c r="K632" i="2"/>
  <c r="K633" i="2"/>
  <c r="K634" i="2"/>
  <c r="K635" i="2"/>
  <c r="K636" i="2"/>
  <c r="K637" i="2"/>
  <c r="K638" i="2"/>
  <c r="K639" i="2"/>
  <c r="K640" i="2"/>
  <c r="K641" i="2"/>
  <c r="K642" i="2"/>
  <c r="K643" i="2"/>
  <c r="K644" i="2"/>
  <c r="K645" i="2"/>
  <c r="K646" i="2"/>
  <c r="K647" i="2"/>
  <c r="K648" i="2"/>
  <c r="K649" i="2"/>
  <c r="K650" i="2"/>
  <c r="K651" i="2"/>
  <c r="K652" i="2"/>
  <c r="K653" i="2"/>
  <c r="K654" i="2"/>
  <c r="K655" i="2"/>
  <c r="K656" i="2"/>
  <c r="K657" i="2"/>
  <c r="K658" i="2"/>
  <c r="K659" i="2"/>
  <c r="K660" i="2"/>
  <c r="K661" i="2"/>
  <c r="K662" i="2"/>
  <c r="K663" i="2"/>
  <c r="K664" i="2"/>
  <c r="K665" i="2"/>
  <c r="K666" i="2"/>
  <c r="K667" i="2"/>
  <c r="K668" i="2"/>
  <c r="K669" i="2"/>
  <c r="K670" i="2"/>
  <c r="K671" i="2"/>
  <c r="K672" i="2"/>
  <c r="K673" i="2"/>
  <c r="K674" i="2"/>
  <c r="K675" i="2"/>
  <c r="K676" i="2"/>
  <c r="K677" i="2"/>
  <c r="K678" i="2"/>
  <c r="K679" i="2"/>
  <c r="K680" i="2"/>
  <c r="K681" i="2"/>
  <c r="K682" i="2"/>
  <c r="K683" i="2"/>
  <c r="K684" i="2"/>
  <c r="K685" i="2"/>
  <c r="K686" i="2"/>
  <c r="K687" i="2"/>
  <c r="K688" i="2"/>
  <c r="K689" i="2"/>
  <c r="K690" i="2"/>
  <c r="K691" i="2"/>
  <c r="K692" i="2"/>
  <c r="K693" i="2"/>
  <c r="K694" i="2"/>
  <c r="K695" i="2"/>
  <c r="K696" i="2"/>
  <c r="K697" i="2"/>
  <c r="K698" i="2"/>
  <c r="K699" i="2"/>
  <c r="K700" i="2"/>
  <c r="K701" i="2"/>
  <c r="K702" i="2"/>
  <c r="K703" i="2"/>
  <c r="K704" i="2"/>
  <c r="K705" i="2"/>
  <c r="K706" i="2"/>
  <c r="K707" i="2"/>
  <c r="K708" i="2"/>
  <c r="K709" i="2"/>
  <c r="K710" i="2"/>
  <c r="K711" i="2"/>
  <c r="K712" i="2"/>
  <c r="K713" i="2"/>
  <c r="K714" i="2"/>
  <c r="K715" i="2"/>
  <c r="K716" i="2"/>
  <c r="K717" i="2"/>
  <c r="K718" i="2"/>
  <c r="K719" i="2"/>
  <c r="K720" i="2"/>
  <c r="K721" i="2"/>
  <c r="K722" i="2"/>
  <c r="K723" i="2"/>
  <c r="K724" i="2"/>
  <c r="K725" i="2"/>
  <c r="K726" i="2"/>
  <c r="K727" i="2"/>
  <c r="K728" i="2"/>
  <c r="K729" i="2"/>
  <c r="K730" i="2"/>
  <c r="K731" i="2"/>
  <c r="K732" i="2"/>
  <c r="K733" i="2"/>
  <c r="K734" i="2"/>
  <c r="K735" i="2"/>
  <c r="K736" i="2"/>
  <c r="K737" i="2"/>
  <c r="K738" i="2"/>
  <c r="K739" i="2"/>
  <c r="K740" i="2"/>
  <c r="K741" i="2"/>
  <c r="K742" i="2"/>
  <c r="K743" i="2"/>
  <c r="K744" i="2"/>
  <c r="K745" i="2"/>
  <c r="K746" i="2"/>
  <c r="K747" i="2"/>
  <c r="K748" i="2"/>
  <c r="K749" i="2"/>
  <c r="K750" i="2"/>
  <c r="K751" i="2"/>
  <c r="K752" i="2"/>
  <c r="K753" i="2"/>
  <c r="K754" i="2"/>
  <c r="K755" i="2"/>
  <c r="K756" i="2"/>
  <c r="K757" i="2"/>
  <c r="K758" i="2"/>
  <c r="K759" i="2"/>
  <c r="K760" i="2"/>
  <c r="K761" i="2"/>
  <c r="K762" i="2"/>
  <c r="K763" i="2"/>
  <c r="K764" i="2"/>
  <c r="K765" i="2"/>
  <c r="K766" i="2"/>
  <c r="K767" i="2"/>
  <c r="K768" i="2"/>
  <c r="K769" i="2"/>
  <c r="K770" i="2"/>
  <c r="K771" i="2"/>
  <c r="K772" i="2"/>
  <c r="K773" i="2"/>
  <c r="K774" i="2"/>
  <c r="K775" i="2"/>
  <c r="K776" i="2"/>
  <c r="K777" i="2"/>
  <c r="K778" i="2"/>
  <c r="K779" i="2"/>
  <c r="K780" i="2"/>
  <c r="K781" i="2"/>
  <c r="K782" i="2"/>
  <c r="K783" i="2"/>
  <c r="K784" i="2"/>
  <c r="K785" i="2"/>
  <c r="K786" i="2"/>
  <c r="K787" i="2"/>
  <c r="K788" i="2"/>
  <c r="K789" i="2"/>
  <c r="K790" i="2"/>
  <c r="K791" i="2"/>
  <c r="K792" i="2"/>
  <c r="K793" i="2"/>
  <c r="K794" i="2"/>
  <c r="K795" i="2"/>
  <c r="K796" i="2"/>
  <c r="K797" i="2"/>
  <c r="K798" i="2"/>
  <c r="K799" i="2"/>
  <c r="K800" i="2"/>
  <c r="K801" i="2"/>
  <c r="K802" i="2"/>
  <c r="K803" i="2"/>
  <c r="K804" i="2"/>
  <c r="K805" i="2"/>
  <c r="K806" i="2"/>
  <c r="K807" i="2"/>
  <c r="K808" i="2"/>
  <c r="K809" i="2"/>
  <c r="K810" i="2"/>
  <c r="K811" i="2"/>
  <c r="K812" i="2"/>
  <c r="K813" i="2"/>
  <c r="K814" i="2"/>
  <c r="K815" i="2"/>
  <c r="K816" i="2"/>
  <c r="K817" i="2"/>
  <c r="K818" i="2"/>
  <c r="K819" i="2"/>
  <c r="K820" i="2"/>
  <c r="K821" i="2"/>
  <c r="K822" i="2"/>
  <c r="K823" i="2"/>
  <c r="K824" i="2"/>
  <c r="K825" i="2"/>
  <c r="K826" i="2"/>
  <c r="K827" i="2"/>
  <c r="K828" i="2"/>
  <c r="K829" i="2"/>
  <c r="K830" i="2"/>
  <c r="K831" i="2"/>
  <c r="K832" i="2"/>
  <c r="K833" i="2"/>
  <c r="K834" i="2"/>
  <c r="K835" i="2"/>
  <c r="K836" i="2"/>
  <c r="K837" i="2"/>
  <c r="K838" i="2"/>
  <c r="K839" i="2"/>
  <c r="K840" i="2"/>
  <c r="K841" i="2"/>
  <c r="K842" i="2"/>
  <c r="K843" i="2"/>
  <c r="K844" i="2"/>
  <c r="K845" i="2"/>
  <c r="K846" i="2"/>
  <c r="K847" i="2"/>
  <c r="K848" i="2"/>
  <c r="K849" i="2"/>
  <c r="K850" i="2"/>
  <c r="K851" i="2"/>
  <c r="K852" i="2"/>
  <c r="K853" i="2"/>
  <c r="K854" i="2"/>
  <c r="K855" i="2"/>
  <c r="K856" i="2"/>
  <c r="K857" i="2"/>
  <c r="K858" i="2"/>
  <c r="K859" i="2"/>
  <c r="K860" i="2"/>
  <c r="K861" i="2"/>
  <c r="K862" i="2"/>
  <c r="K863" i="2"/>
  <c r="K864" i="2"/>
  <c r="K865" i="2"/>
  <c r="K866" i="2"/>
  <c r="K867" i="2"/>
  <c r="K868" i="2"/>
  <c r="K869" i="2"/>
  <c r="K870" i="2"/>
  <c r="K871" i="2"/>
  <c r="K872" i="2"/>
  <c r="K873" i="2"/>
  <c r="K874" i="2"/>
  <c r="K875" i="2"/>
  <c r="K876" i="2"/>
  <c r="K877" i="2"/>
  <c r="K878" i="2"/>
  <c r="K879" i="2"/>
  <c r="K880" i="2"/>
  <c r="K881" i="2"/>
  <c r="K882" i="2"/>
  <c r="K883" i="2"/>
  <c r="K884" i="2"/>
  <c r="K885" i="2"/>
  <c r="K886" i="2"/>
  <c r="K887" i="2"/>
  <c r="K888" i="2"/>
  <c r="K889" i="2"/>
  <c r="K890" i="2"/>
  <c r="K891" i="2"/>
  <c r="K892" i="2"/>
  <c r="K893" i="2"/>
  <c r="K894" i="2"/>
  <c r="K895" i="2"/>
  <c r="K896" i="2"/>
  <c r="K897" i="2"/>
  <c r="K898" i="2"/>
  <c r="K899" i="2"/>
  <c r="K900" i="2"/>
  <c r="K901" i="2"/>
  <c r="K902" i="2"/>
  <c r="K903" i="2"/>
  <c r="K904" i="2"/>
  <c r="K905" i="2"/>
  <c r="K906" i="2"/>
  <c r="K907" i="2"/>
  <c r="K908" i="2"/>
  <c r="K909" i="2"/>
  <c r="K910" i="2"/>
  <c r="K911" i="2"/>
  <c r="K912" i="2"/>
  <c r="K913" i="2"/>
  <c r="K914" i="2"/>
  <c r="K915" i="2"/>
  <c r="K916" i="2"/>
  <c r="K917" i="2"/>
  <c r="K918" i="2"/>
  <c r="K919" i="2"/>
  <c r="K920" i="2"/>
  <c r="K921" i="2"/>
  <c r="K922" i="2"/>
  <c r="K923" i="2"/>
  <c r="K924" i="2"/>
  <c r="K925" i="2"/>
  <c r="K926" i="2"/>
  <c r="K927" i="2"/>
  <c r="K928" i="2"/>
  <c r="K929" i="2"/>
  <c r="K930" i="2"/>
  <c r="K931" i="2"/>
  <c r="K932" i="2"/>
  <c r="K933" i="2"/>
  <c r="K934" i="2"/>
  <c r="K935" i="2"/>
  <c r="K936" i="2"/>
  <c r="K937" i="2"/>
  <c r="K938" i="2"/>
  <c r="K939" i="2"/>
  <c r="K940" i="2"/>
  <c r="K941" i="2"/>
  <c r="K942" i="2"/>
  <c r="K943" i="2"/>
  <c r="K944" i="2"/>
  <c r="K945" i="2"/>
  <c r="K946" i="2"/>
  <c r="K947" i="2"/>
  <c r="K948" i="2"/>
  <c r="K949" i="2"/>
  <c r="K950" i="2"/>
  <c r="K951" i="2"/>
  <c r="K952" i="2"/>
  <c r="K953" i="2"/>
  <c r="K954" i="2"/>
  <c r="K955" i="2"/>
  <c r="K956" i="2"/>
  <c r="K957" i="2"/>
  <c r="K958" i="2"/>
  <c r="K959" i="2"/>
  <c r="K960" i="2"/>
  <c r="K961" i="2"/>
  <c r="K962" i="2"/>
  <c r="K963" i="2"/>
  <c r="K964" i="2"/>
  <c r="K965" i="2"/>
  <c r="K966" i="2"/>
  <c r="K967" i="2"/>
  <c r="K968" i="2"/>
  <c r="K969" i="2"/>
  <c r="K970" i="2"/>
  <c r="K971" i="2"/>
  <c r="K972" i="2"/>
  <c r="K973" i="2"/>
  <c r="K974" i="2"/>
  <c r="K975" i="2"/>
  <c r="K976" i="2"/>
  <c r="K977" i="2"/>
  <c r="K978" i="2"/>
  <c r="K979" i="2"/>
  <c r="K980" i="2"/>
  <c r="K981" i="2"/>
  <c r="K982" i="2"/>
  <c r="K983" i="2"/>
  <c r="K984" i="2"/>
  <c r="K985" i="2"/>
  <c r="K986" i="2"/>
  <c r="K987" i="2"/>
  <c r="K988" i="2"/>
  <c r="K989" i="2"/>
  <c r="K990" i="2"/>
  <c r="K991" i="2"/>
  <c r="K992" i="2"/>
  <c r="K993" i="2"/>
  <c r="K994" i="2"/>
  <c r="K995" i="2"/>
  <c r="K996" i="2"/>
  <c r="K997" i="2"/>
  <c r="K998" i="2"/>
  <c r="K999" i="2"/>
  <c r="K1000" i="2"/>
  <c r="K1001" i="2"/>
  <c r="K1002" i="2"/>
  <c r="K1003" i="2"/>
  <c r="K1004" i="2"/>
  <c r="K1005" i="2"/>
  <c r="K1006" i="2"/>
  <c r="K1007" i="2"/>
  <c r="K1008" i="2"/>
  <c r="K1009" i="2"/>
  <c r="K1010" i="2"/>
  <c r="K1011" i="2"/>
  <c r="K1012" i="2"/>
  <c r="K1013" i="2"/>
  <c r="K1014" i="2"/>
  <c r="K1015" i="2"/>
  <c r="K1016" i="2"/>
  <c r="K1017" i="2"/>
  <c r="K1018" i="2"/>
  <c r="K1019" i="2"/>
  <c r="K1020" i="2"/>
  <c r="K1021" i="2"/>
  <c r="K1022" i="2"/>
  <c r="K1023" i="2"/>
  <c r="K1024" i="2"/>
  <c r="K1025" i="2"/>
  <c r="K1026" i="2"/>
  <c r="K1027" i="2"/>
  <c r="K1028" i="2"/>
  <c r="K1029" i="2"/>
  <c r="K1030" i="2"/>
  <c r="K1031" i="2"/>
  <c r="K1032" i="2"/>
  <c r="K1033" i="2"/>
  <c r="K1034" i="2"/>
  <c r="K1035" i="2"/>
  <c r="K1036" i="2"/>
  <c r="K1037" i="2"/>
  <c r="K1038" i="2"/>
  <c r="K1039" i="2"/>
  <c r="K1040" i="2"/>
  <c r="K1041" i="2"/>
  <c r="K1042" i="2"/>
  <c r="K1043" i="2"/>
  <c r="K1044" i="2"/>
  <c r="K1045" i="2"/>
  <c r="K1046" i="2"/>
  <c r="K1047" i="2"/>
  <c r="K1048" i="2"/>
  <c r="K1049" i="2"/>
  <c r="K1050" i="2"/>
  <c r="K1051" i="2"/>
  <c r="K1052" i="2"/>
  <c r="K1053" i="2"/>
  <c r="K1054" i="2"/>
  <c r="K1055" i="2"/>
  <c r="K1056" i="2"/>
  <c r="K1057" i="2"/>
  <c r="K1058" i="2"/>
  <c r="K1059" i="2"/>
  <c r="K1060" i="2"/>
  <c r="K1061" i="2"/>
  <c r="K1062" i="2"/>
  <c r="K1063" i="2"/>
  <c r="K1064" i="2"/>
  <c r="K1065" i="2"/>
  <c r="K1066" i="2"/>
  <c r="K1067" i="2"/>
  <c r="K1068" i="2"/>
  <c r="K1069" i="2"/>
  <c r="K1070" i="2"/>
  <c r="K1071" i="2"/>
  <c r="K1072" i="2"/>
  <c r="K1073" i="2"/>
  <c r="K1074" i="2"/>
  <c r="K1075" i="2"/>
  <c r="K1076" i="2"/>
  <c r="K1077" i="2"/>
  <c r="K1078" i="2"/>
  <c r="K1079" i="2"/>
  <c r="K1080" i="2"/>
  <c r="K1081" i="2"/>
  <c r="K1082" i="2"/>
  <c r="K1083" i="2"/>
  <c r="K1084" i="2"/>
  <c r="K1085" i="2"/>
  <c r="K1086" i="2"/>
  <c r="K1087" i="2"/>
  <c r="K1088" i="2"/>
  <c r="K1089" i="2"/>
  <c r="K1090" i="2"/>
  <c r="K1091" i="2"/>
  <c r="K1092" i="2"/>
  <c r="K1093" i="2"/>
  <c r="K1094" i="2"/>
  <c r="K1095" i="2"/>
  <c r="K1096" i="2"/>
  <c r="K1097" i="2"/>
  <c r="K1098" i="2"/>
  <c r="K1099" i="2"/>
  <c r="K1100" i="2"/>
  <c r="K1101" i="2"/>
  <c r="K1102" i="2"/>
  <c r="K1103" i="2"/>
  <c r="K1104" i="2"/>
  <c r="K1105" i="2"/>
  <c r="K1106" i="2"/>
  <c r="K1107" i="2"/>
  <c r="K1108" i="2"/>
  <c r="K1109" i="2"/>
  <c r="K1110" i="2"/>
  <c r="K1111" i="2"/>
  <c r="K1112" i="2"/>
  <c r="K1113" i="2"/>
  <c r="K1114" i="2"/>
  <c r="K1115" i="2"/>
  <c r="K1116" i="2"/>
  <c r="K1117" i="2"/>
  <c r="K1118" i="2"/>
  <c r="K1119" i="2"/>
  <c r="K1120" i="2"/>
  <c r="K1121" i="2"/>
  <c r="K1122" i="2"/>
  <c r="K1123" i="2"/>
  <c r="K1124" i="2"/>
  <c r="K1125" i="2"/>
  <c r="K1126" i="2"/>
  <c r="K1127" i="2"/>
  <c r="K1128" i="2"/>
  <c r="K1129" i="2"/>
  <c r="K1130" i="2"/>
  <c r="K1131" i="2"/>
  <c r="K1132" i="2"/>
  <c r="K1133" i="2"/>
  <c r="K1134" i="2"/>
  <c r="K1135" i="2"/>
  <c r="K1136" i="2"/>
  <c r="K1137" i="2"/>
  <c r="K1138" i="2"/>
  <c r="K1139" i="2"/>
  <c r="K1140" i="2"/>
  <c r="K1141" i="2"/>
  <c r="K1142" i="2"/>
  <c r="K1143" i="2"/>
  <c r="K1144" i="2"/>
  <c r="K1145" i="2"/>
  <c r="K1146" i="2"/>
  <c r="K1147" i="2"/>
  <c r="K1148" i="2"/>
  <c r="K1149" i="2"/>
  <c r="K1150" i="2"/>
  <c r="K1151" i="2"/>
  <c r="K1152" i="2"/>
  <c r="K1153" i="2"/>
  <c r="K1154" i="2"/>
  <c r="K1155" i="2"/>
  <c r="K1156" i="2"/>
  <c r="K1157" i="2"/>
  <c r="K1158" i="2"/>
  <c r="K1159" i="2"/>
  <c r="K1160" i="2"/>
  <c r="K1161" i="2"/>
  <c r="K1162" i="2"/>
  <c r="K1163" i="2"/>
  <c r="K1164" i="2"/>
  <c r="K1165" i="2"/>
  <c r="K1166" i="2"/>
  <c r="K1167" i="2"/>
  <c r="K1168" i="2"/>
  <c r="K1169" i="2"/>
  <c r="K1170" i="2"/>
  <c r="K1171" i="2"/>
  <c r="K1172" i="2"/>
  <c r="K1173" i="2"/>
  <c r="K1174" i="2"/>
  <c r="K1175" i="2"/>
  <c r="K1176" i="2"/>
  <c r="K1177" i="2"/>
  <c r="K1178" i="2"/>
  <c r="K1179" i="2"/>
  <c r="K1180" i="2"/>
  <c r="K1181" i="2"/>
  <c r="K1182" i="2"/>
  <c r="K1183" i="2"/>
  <c r="K1184" i="2"/>
  <c r="K1185" i="2"/>
  <c r="K1186" i="2"/>
  <c r="K1187" i="2"/>
  <c r="K1188" i="2"/>
  <c r="K1189" i="2"/>
  <c r="K1190" i="2"/>
  <c r="K1191" i="2"/>
  <c r="K1192" i="2"/>
  <c r="K1193" i="2"/>
  <c r="K1194" i="2"/>
  <c r="K1195" i="2"/>
  <c r="K1196" i="2"/>
  <c r="K1197" i="2"/>
  <c r="K1198" i="2"/>
  <c r="K1199" i="2"/>
  <c r="K1200" i="2"/>
  <c r="K1201" i="2"/>
  <c r="K1202" i="2"/>
  <c r="K1203" i="2"/>
  <c r="K1204" i="2"/>
  <c r="K1205" i="2"/>
  <c r="K1206" i="2"/>
  <c r="K1207" i="2"/>
  <c r="K1208" i="2"/>
  <c r="K1209" i="2"/>
  <c r="K1210" i="2"/>
  <c r="K1211" i="2"/>
  <c r="K1212" i="2"/>
  <c r="K1213" i="2"/>
  <c r="K1214" i="2"/>
  <c r="K1215" i="2"/>
  <c r="K1216" i="2"/>
  <c r="K1217" i="2"/>
  <c r="K1218" i="2"/>
  <c r="K1219" i="2"/>
  <c r="K1220" i="2"/>
  <c r="K1221" i="2"/>
  <c r="K1222" i="2"/>
  <c r="K1223" i="2"/>
  <c r="K1224" i="2"/>
  <c r="K1225" i="2"/>
  <c r="K1226" i="2"/>
  <c r="K1227" i="2"/>
  <c r="K1228" i="2"/>
  <c r="K1229" i="2"/>
  <c r="K1230" i="2"/>
  <c r="K1231" i="2"/>
  <c r="K1232" i="2"/>
  <c r="K1233" i="2"/>
  <c r="K1234" i="2"/>
  <c r="K1235" i="2"/>
  <c r="K1236" i="2"/>
  <c r="K1237" i="2"/>
  <c r="K1238" i="2"/>
  <c r="K1239" i="2"/>
  <c r="K1240" i="2"/>
  <c r="K1241" i="2"/>
  <c r="K1242" i="2"/>
  <c r="K1243" i="2"/>
  <c r="K1244" i="2"/>
  <c r="K1245" i="2"/>
  <c r="K1246" i="2"/>
  <c r="K1247" i="2"/>
  <c r="K1248" i="2"/>
  <c r="K1249" i="2"/>
  <c r="K1250" i="2"/>
  <c r="K1251" i="2"/>
  <c r="K1252" i="2"/>
  <c r="K1253" i="2"/>
  <c r="K1254" i="2"/>
  <c r="K1255" i="2"/>
  <c r="K1256" i="2"/>
  <c r="K1257" i="2"/>
  <c r="K1258" i="2"/>
  <c r="K1259" i="2"/>
  <c r="K1260" i="2"/>
  <c r="K1261" i="2"/>
  <c r="K1262" i="2"/>
  <c r="K1263" i="2"/>
  <c r="K1264" i="2"/>
  <c r="K1265" i="2"/>
  <c r="K1266" i="2"/>
  <c r="K1267" i="2"/>
  <c r="K1268" i="2"/>
  <c r="K1269" i="2"/>
  <c r="K1270" i="2"/>
  <c r="K1271" i="2"/>
  <c r="K1272" i="2"/>
  <c r="K1273" i="2"/>
  <c r="K1274" i="2"/>
  <c r="K1275" i="2"/>
  <c r="K1276" i="2"/>
  <c r="K1277" i="2"/>
  <c r="K1278" i="2"/>
  <c r="K1279" i="2"/>
  <c r="K1280" i="2"/>
  <c r="K1281" i="2"/>
  <c r="K1282" i="2"/>
  <c r="K1283" i="2"/>
  <c r="K1284" i="2"/>
  <c r="K1285" i="2"/>
  <c r="K1286" i="2"/>
  <c r="K1287" i="2"/>
  <c r="K1288" i="2"/>
  <c r="K1289" i="2"/>
  <c r="K1290" i="2"/>
  <c r="K1291" i="2"/>
  <c r="K1292" i="2"/>
  <c r="K1293" i="2"/>
  <c r="K1294" i="2"/>
  <c r="K1295" i="2"/>
  <c r="K1296" i="2"/>
  <c r="K1297" i="2"/>
  <c r="K1298" i="2"/>
  <c r="K1299" i="2"/>
  <c r="K1300" i="2"/>
  <c r="K1301" i="2"/>
  <c r="K1302" i="2"/>
  <c r="K1303" i="2"/>
  <c r="K1304" i="2"/>
  <c r="K1305" i="2"/>
  <c r="K1306" i="2"/>
  <c r="K1307" i="2"/>
  <c r="K1308" i="2"/>
  <c r="K1309" i="2"/>
  <c r="K1310" i="2"/>
  <c r="K1311" i="2"/>
  <c r="K1312" i="2"/>
  <c r="K1313" i="2"/>
  <c r="K1314" i="2"/>
  <c r="K1315" i="2"/>
  <c r="K1316" i="2"/>
  <c r="K1317" i="2"/>
  <c r="K1318" i="2"/>
  <c r="K1319" i="2"/>
  <c r="K1320" i="2"/>
  <c r="K1321" i="2"/>
  <c r="K1322" i="2"/>
  <c r="K1323" i="2"/>
  <c r="K1324" i="2"/>
  <c r="K1325" i="2"/>
  <c r="K1326" i="2"/>
  <c r="K1327" i="2"/>
  <c r="K1328" i="2"/>
  <c r="K1329" i="2"/>
  <c r="K1330" i="2"/>
  <c r="K1331" i="2"/>
  <c r="K1332" i="2"/>
  <c r="K1333" i="2"/>
  <c r="K1334" i="2"/>
  <c r="K1335" i="2"/>
  <c r="K1336" i="2"/>
  <c r="K1337" i="2"/>
  <c r="K1338" i="2"/>
  <c r="K1339" i="2"/>
  <c r="K1340" i="2"/>
  <c r="K1341" i="2"/>
  <c r="K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6" i="2"/>
  <c r="C177" i="2"/>
  <c r="C178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C191" i="2"/>
  <c r="C192" i="2"/>
  <c r="C193" i="2"/>
  <c r="C194" i="2"/>
  <c r="C195" i="2"/>
  <c r="C196" i="2"/>
  <c r="C197" i="2"/>
  <c r="C198" i="2"/>
  <c r="C199" i="2"/>
  <c r="C200" i="2"/>
  <c r="C201" i="2"/>
  <c r="C202" i="2"/>
  <c r="C203" i="2"/>
  <c r="C204" i="2"/>
  <c r="C205" i="2"/>
  <c r="C206" i="2"/>
  <c r="C207" i="2"/>
  <c r="C208" i="2"/>
  <c r="C209" i="2"/>
  <c r="C210" i="2"/>
  <c r="C211" i="2"/>
  <c r="C212" i="2"/>
  <c r="C213" i="2"/>
  <c r="C214" i="2"/>
  <c r="C215" i="2"/>
  <c r="C216" i="2"/>
  <c r="C217" i="2"/>
  <c r="C218" i="2"/>
  <c r="C219" i="2"/>
  <c r="C220" i="2"/>
  <c r="C221" i="2"/>
  <c r="C222" i="2"/>
  <c r="C223" i="2"/>
  <c r="C224" i="2"/>
  <c r="C225" i="2"/>
  <c r="C226" i="2"/>
  <c r="C227" i="2"/>
  <c r="C228" i="2"/>
  <c r="C229" i="2"/>
  <c r="C230" i="2"/>
  <c r="C231" i="2"/>
  <c r="C232" i="2"/>
  <c r="C233" i="2"/>
  <c r="C234" i="2"/>
  <c r="C235" i="2"/>
  <c r="C236" i="2"/>
  <c r="C237" i="2"/>
  <c r="C238" i="2"/>
  <c r="C239" i="2"/>
  <c r="C240" i="2"/>
  <c r="C241" i="2"/>
  <c r="C242" i="2"/>
  <c r="C243" i="2"/>
  <c r="C244" i="2"/>
  <c r="C245" i="2"/>
  <c r="C246" i="2"/>
  <c r="C247" i="2"/>
  <c r="C248" i="2"/>
  <c r="C249" i="2"/>
  <c r="C250" i="2"/>
  <c r="C251" i="2"/>
  <c r="C252" i="2"/>
  <c r="C253" i="2"/>
  <c r="C254" i="2"/>
  <c r="C255" i="2"/>
  <c r="C256" i="2"/>
  <c r="C257" i="2"/>
  <c r="C258" i="2"/>
  <c r="C259" i="2"/>
  <c r="C260" i="2"/>
  <c r="C261" i="2"/>
  <c r="C262" i="2"/>
  <c r="C263" i="2"/>
  <c r="C264" i="2"/>
  <c r="C265" i="2"/>
  <c r="C266" i="2"/>
  <c r="C267" i="2"/>
  <c r="C268" i="2"/>
  <c r="C269" i="2"/>
  <c r="C270" i="2"/>
  <c r="C271" i="2"/>
  <c r="C272" i="2"/>
  <c r="C273" i="2"/>
  <c r="C274" i="2"/>
  <c r="C275" i="2"/>
  <c r="C276" i="2"/>
  <c r="C277" i="2"/>
  <c r="C278" i="2"/>
  <c r="C279" i="2"/>
  <c r="C280" i="2"/>
  <c r="C281" i="2"/>
  <c r="C282" i="2"/>
  <c r="C283" i="2"/>
  <c r="C284" i="2"/>
  <c r="C285" i="2"/>
  <c r="C286" i="2"/>
  <c r="C287" i="2"/>
  <c r="C288" i="2"/>
  <c r="C289" i="2"/>
  <c r="C290" i="2"/>
  <c r="C291" i="2"/>
  <c r="C292" i="2"/>
  <c r="C293" i="2"/>
  <c r="C294" i="2"/>
  <c r="C295" i="2"/>
  <c r="C296" i="2"/>
  <c r="C297" i="2"/>
  <c r="C298" i="2"/>
  <c r="C299" i="2"/>
  <c r="C300" i="2"/>
  <c r="C301" i="2"/>
  <c r="C302" i="2"/>
  <c r="C303" i="2"/>
  <c r="C304" i="2"/>
  <c r="C305" i="2"/>
  <c r="C306" i="2"/>
  <c r="C307" i="2"/>
  <c r="C308" i="2"/>
  <c r="C309" i="2"/>
  <c r="C310" i="2"/>
  <c r="C311" i="2"/>
  <c r="C312" i="2"/>
  <c r="C313" i="2"/>
  <c r="C314" i="2"/>
  <c r="C315" i="2"/>
  <c r="C316" i="2"/>
  <c r="C317" i="2"/>
  <c r="C318" i="2"/>
  <c r="C319" i="2"/>
  <c r="C320" i="2"/>
  <c r="C321" i="2"/>
  <c r="C322" i="2"/>
  <c r="C323" i="2"/>
  <c r="C324" i="2"/>
  <c r="C325" i="2"/>
  <c r="C326" i="2"/>
  <c r="C327" i="2"/>
  <c r="C328" i="2"/>
  <c r="C329" i="2"/>
  <c r="C330" i="2"/>
  <c r="C331" i="2"/>
  <c r="C332" i="2"/>
  <c r="C333" i="2"/>
  <c r="C334" i="2"/>
  <c r="C335" i="2"/>
  <c r="C336" i="2"/>
  <c r="C337" i="2"/>
  <c r="C338" i="2"/>
  <c r="C339" i="2"/>
  <c r="C340" i="2"/>
  <c r="C341" i="2"/>
  <c r="C342" i="2"/>
  <c r="C343" i="2"/>
  <c r="C344" i="2"/>
  <c r="C345" i="2"/>
  <c r="C346" i="2"/>
  <c r="C347" i="2"/>
  <c r="C348" i="2"/>
  <c r="C349" i="2"/>
  <c r="C350" i="2"/>
  <c r="C351" i="2"/>
  <c r="C352" i="2"/>
  <c r="C353" i="2"/>
  <c r="C354" i="2"/>
  <c r="C355" i="2"/>
  <c r="C356" i="2"/>
  <c r="C357" i="2"/>
  <c r="C358" i="2"/>
  <c r="C359" i="2"/>
  <c r="C360" i="2"/>
  <c r="C361" i="2"/>
  <c r="C362" i="2"/>
  <c r="C363" i="2"/>
  <c r="C364" i="2"/>
  <c r="C365" i="2"/>
  <c r="C366" i="2"/>
  <c r="C367" i="2"/>
  <c r="C368" i="2"/>
  <c r="C369" i="2"/>
  <c r="C370" i="2"/>
  <c r="C371" i="2"/>
  <c r="C372" i="2"/>
  <c r="C373" i="2"/>
  <c r="C374" i="2"/>
  <c r="C375" i="2"/>
  <c r="C376" i="2"/>
  <c r="C377" i="2"/>
  <c r="C378" i="2"/>
  <c r="C379" i="2"/>
  <c r="C380" i="2"/>
  <c r="C381" i="2"/>
  <c r="C382" i="2"/>
  <c r="C383" i="2"/>
  <c r="C384" i="2"/>
  <c r="C385" i="2"/>
  <c r="C386" i="2"/>
  <c r="C387" i="2"/>
  <c r="C388" i="2"/>
  <c r="C389" i="2"/>
  <c r="C390" i="2"/>
  <c r="C391" i="2"/>
  <c r="C392" i="2"/>
  <c r="C393" i="2"/>
  <c r="C394" i="2"/>
  <c r="C395" i="2"/>
  <c r="C396" i="2"/>
  <c r="C397" i="2"/>
  <c r="C398" i="2"/>
  <c r="C399" i="2"/>
  <c r="C400" i="2"/>
  <c r="C401" i="2"/>
  <c r="C402" i="2"/>
  <c r="C403" i="2"/>
  <c r="C404" i="2"/>
  <c r="C405" i="2"/>
  <c r="C406" i="2"/>
  <c r="C407" i="2"/>
  <c r="C408" i="2"/>
  <c r="C409" i="2"/>
  <c r="C410" i="2"/>
  <c r="C411" i="2"/>
  <c r="C412" i="2"/>
  <c r="C413" i="2"/>
  <c r="C414" i="2"/>
  <c r="C415" i="2"/>
  <c r="C416" i="2"/>
  <c r="C417" i="2"/>
  <c r="C418" i="2"/>
  <c r="C419" i="2"/>
  <c r="C420" i="2"/>
  <c r="C421" i="2"/>
  <c r="C422" i="2"/>
  <c r="C423" i="2"/>
  <c r="C424" i="2"/>
  <c r="C425" i="2"/>
  <c r="C426" i="2"/>
  <c r="C427" i="2"/>
  <c r="C428" i="2"/>
  <c r="C429" i="2"/>
  <c r="C430" i="2"/>
  <c r="C431" i="2"/>
  <c r="C432" i="2"/>
  <c r="C433" i="2"/>
  <c r="C434" i="2"/>
  <c r="C435" i="2"/>
  <c r="C436" i="2"/>
  <c r="C437" i="2"/>
  <c r="C438" i="2"/>
  <c r="C439" i="2"/>
  <c r="C440" i="2"/>
  <c r="C441" i="2"/>
  <c r="C442" i="2"/>
  <c r="C443" i="2"/>
  <c r="C444" i="2"/>
  <c r="C445" i="2"/>
  <c r="C446" i="2"/>
  <c r="C447" i="2"/>
  <c r="C448" i="2"/>
  <c r="C449" i="2"/>
  <c r="C450" i="2"/>
  <c r="C451" i="2"/>
  <c r="C452" i="2"/>
  <c r="C453" i="2"/>
  <c r="C454" i="2"/>
  <c r="C455" i="2"/>
  <c r="C456" i="2"/>
  <c r="C457" i="2"/>
  <c r="C458" i="2"/>
  <c r="C459" i="2"/>
  <c r="C460" i="2"/>
  <c r="C461" i="2"/>
  <c r="C462" i="2"/>
  <c r="C463" i="2"/>
  <c r="C464" i="2"/>
  <c r="C465" i="2"/>
  <c r="C466" i="2"/>
  <c r="C467" i="2"/>
  <c r="C468" i="2"/>
  <c r="C469" i="2"/>
  <c r="C470" i="2"/>
  <c r="C471" i="2"/>
  <c r="C472" i="2"/>
  <c r="C473" i="2"/>
  <c r="C474" i="2"/>
  <c r="C475" i="2"/>
  <c r="C476" i="2"/>
  <c r="C477" i="2"/>
  <c r="C478" i="2"/>
  <c r="C479" i="2"/>
  <c r="C480" i="2"/>
  <c r="C481" i="2"/>
  <c r="C482" i="2"/>
  <c r="C483" i="2"/>
  <c r="C484" i="2"/>
  <c r="C485" i="2"/>
  <c r="C486" i="2"/>
  <c r="C487" i="2"/>
  <c r="C488" i="2"/>
  <c r="C489" i="2"/>
  <c r="C490" i="2"/>
  <c r="C491" i="2"/>
  <c r="C492" i="2"/>
  <c r="C493" i="2"/>
  <c r="C494" i="2"/>
  <c r="C495" i="2"/>
  <c r="C496" i="2"/>
  <c r="C497" i="2"/>
  <c r="C498" i="2"/>
  <c r="C499" i="2"/>
  <c r="C500" i="2"/>
  <c r="C501" i="2"/>
  <c r="C502" i="2"/>
  <c r="C503" i="2"/>
  <c r="C504" i="2"/>
  <c r="C505" i="2"/>
  <c r="C506" i="2"/>
  <c r="C507" i="2"/>
  <c r="C508" i="2"/>
  <c r="C509" i="2"/>
  <c r="C510" i="2"/>
  <c r="C511" i="2"/>
  <c r="C512" i="2"/>
  <c r="C513" i="2"/>
  <c r="C514" i="2"/>
  <c r="C515" i="2"/>
  <c r="C516" i="2"/>
  <c r="C517" i="2"/>
  <c r="C518" i="2"/>
  <c r="C519" i="2"/>
  <c r="C520" i="2"/>
  <c r="C521" i="2"/>
  <c r="C522" i="2"/>
  <c r="C523" i="2"/>
  <c r="C524" i="2"/>
  <c r="C525" i="2"/>
  <c r="C526" i="2"/>
  <c r="C527" i="2"/>
  <c r="C528" i="2"/>
  <c r="C529" i="2"/>
  <c r="C530" i="2"/>
  <c r="C531" i="2"/>
  <c r="C532" i="2"/>
  <c r="C533" i="2"/>
  <c r="C534" i="2"/>
  <c r="C535" i="2"/>
  <c r="C536" i="2"/>
  <c r="C537" i="2"/>
  <c r="C538" i="2"/>
  <c r="C539" i="2"/>
  <c r="C540" i="2"/>
  <c r="C541" i="2"/>
  <c r="C542" i="2"/>
  <c r="C543" i="2"/>
  <c r="C544" i="2"/>
  <c r="C545" i="2"/>
  <c r="C546" i="2"/>
  <c r="C547" i="2"/>
  <c r="C548" i="2"/>
  <c r="C549" i="2"/>
  <c r="C550" i="2"/>
  <c r="C551" i="2"/>
  <c r="C552" i="2"/>
  <c r="C553" i="2"/>
  <c r="C554" i="2"/>
  <c r="C555" i="2"/>
  <c r="C556" i="2"/>
  <c r="C557" i="2"/>
  <c r="C558" i="2"/>
  <c r="C559" i="2"/>
  <c r="C560" i="2"/>
  <c r="C561" i="2"/>
  <c r="C562" i="2"/>
  <c r="C563" i="2"/>
  <c r="C564" i="2"/>
  <c r="C565" i="2"/>
  <c r="C566" i="2"/>
  <c r="C567" i="2"/>
  <c r="C568" i="2"/>
  <c r="C569" i="2"/>
  <c r="C570" i="2"/>
  <c r="C571" i="2"/>
  <c r="C572" i="2"/>
  <c r="C573" i="2"/>
  <c r="C574" i="2"/>
  <c r="C575" i="2"/>
  <c r="C576" i="2"/>
  <c r="C577" i="2"/>
  <c r="C578" i="2"/>
  <c r="C579" i="2"/>
  <c r="C580" i="2"/>
  <c r="C581" i="2"/>
  <c r="C582" i="2"/>
  <c r="C583" i="2"/>
  <c r="C584" i="2"/>
  <c r="C585" i="2"/>
  <c r="C586" i="2"/>
  <c r="C587" i="2"/>
  <c r="C588" i="2"/>
  <c r="C589" i="2"/>
  <c r="C590" i="2"/>
  <c r="C591" i="2"/>
  <c r="C592" i="2"/>
  <c r="C593" i="2"/>
  <c r="C594" i="2"/>
  <c r="C595" i="2"/>
  <c r="C596" i="2"/>
  <c r="C597" i="2"/>
  <c r="C598" i="2"/>
  <c r="C599" i="2"/>
  <c r="C600" i="2"/>
  <c r="C601" i="2"/>
  <c r="C602" i="2"/>
  <c r="C603" i="2"/>
  <c r="C604" i="2"/>
  <c r="C605" i="2"/>
  <c r="C606" i="2"/>
  <c r="C607" i="2"/>
  <c r="C608" i="2"/>
  <c r="C609" i="2"/>
  <c r="C610" i="2"/>
  <c r="C611" i="2"/>
  <c r="C612" i="2"/>
  <c r="C613" i="2"/>
  <c r="C614" i="2"/>
  <c r="C615" i="2"/>
  <c r="C616" i="2"/>
  <c r="C617" i="2"/>
  <c r="C618" i="2"/>
  <c r="C619" i="2"/>
  <c r="C620" i="2"/>
  <c r="C621" i="2"/>
  <c r="C622" i="2"/>
  <c r="C623" i="2"/>
  <c r="C624" i="2"/>
  <c r="C625" i="2"/>
  <c r="C626" i="2"/>
  <c r="C627" i="2"/>
  <c r="C628" i="2"/>
  <c r="C629" i="2"/>
  <c r="C630" i="2"/>
  <c r="C631" i="2"/>
  <c r="C632" i="2"/>
  <c r="C633" i="2"/>
  <c r="C634" i="2"/>
  <c r="C635" i="2"/>
  <c r="C636" i="2"/>
  <c r="C637" i="2"/>
  <c r="C638" i="2"/>
  <c r="C639" i="2"/>
  <c r="C640" i="2"/>
  <c r="C641" i="2"/>
  <c r="C642" i="2"/>
  <c r="C643" i="2"/>
  <c r="C644" i="2"/>
  <c r="C645" i="2"/>
  <c r="C646" i="2"/>
  <c r="C647" i="2"/>
  <c r="C648" i="2"/>
  <c r="C649" i="2"/>
  <c r="C650" i="2"/>
  <c r="C651" i="2"/>
  <c r="C652" i="2"/>
  <c r="C653" i="2"/>
  <c r="C654" i="2"/>
  <c r="C655" i="2"/>
  <c r="C656" i="2"/>
  <c r="C657" i="2"/>
  <c r="C658" i="2"/>
  <c r="C659" i="2"/>
  <c r="C660" i="2"/>
  <c r="C661" i="2"/>
  <c r="C662" i="2"/>
  <c r="C663" i="2"/>
  <c r="C664" i="2"/>
  <c r="C665" i="2"/>
  <c r="C666" i="2"/>
  <c r="C667" i="2"/>
  <c r="C668" i="2"/>
  <c r="C669" i="2"/>
  <c r="C670" i="2"/>
  <c r="C671" i="2"/>
  <c r="C672" i="2"/>
  <c r="C673" i="2"/>
  <c r="C674" i="2"/>
  <c r="C675" i="2"/>
  <c r="C676" i="2"/>
  <c r="C677" i="2"/>
  <c r="C678" i="2"/>
  <c r="C679" i="2"/>
  <c r="C680" i="2"/>
  <c r="C681" i="2"/>
  <c r="C682" i="2"/>
  <c r="C683" i="2"/>
  <c r="C684" i="2"/>
  <c r="C685" i="2"/>
  <c r="C686" i="2"/>
  <c r="C687" i="2"/>
  <c r="C688" i="2"/>
  <c r="C689" i="2"/>
  <c r="C690" i="2"/>
  <c r="C691" i="2"/>
  <c r="C692" i="2"/>
  <c r="C693" i="2"/>
  <c r="C694" i="2"/>
  <c r="C695" i="2"/>
  <c r="C696" i="2"/>
  <c r="C697" i="2"/>
  <c r="C698" i="2"/>
  <c r="C699" i="2"/>
  <c r="C700" i="2"/>
  <c r="C701" i="2"/>
  <c r="C702" i="2"/>
  <c r="C703" i="2"/>
  <c r="C704" i="2"/>
  <c r="C705" i="2"/>
  <c r="C706" i="2"/>
  <c r="C707" i="2"/>
  <c r="C708" i="2"/>
  <c r="C709" i="2"/>
  <c r="C710" i="2"/>
  <c r="C711" i="2"/>
  <c r="C712" i="2"/>
  <c r="C713" i="2"/>
  <c r="C714" i="2"/>
  <c r="C715" i="2"/>
  <c r="C716" i="2"/>
  <c r="C717" i="2"/>
  <c r="C718" i="2"/>
  <c r="C719" i="2"/>
  <c r="C720" i="2"/>
  <c r="C721" i="2"/>
  <c r="C722" i="2"/>
  <c r="C723" i="2"/>
  <c r="C724" i="2"/>
  <c r="C725" i="2"/>
  <c r="C726" i="2"/>
  <c r="C727" i="2"/>
  <c r="C728" i="2"/>
  <c r="C729" i="2"/>
  <c r="C730" i="2"/>
  <c r="C731" i="2"/>
  <c r="C732" i="2"/>
  <c r="C733" i="2"/>
  <c r="C734" i="2"/>
  <c r="C735" i="2"/>
  <c r="C736" i="2"/>
  <c r="C737" i="2"/>
  <c r="C738" i="2"/>
  <c r="C739" i="2"/>
  <c r="C740" i="2"/>
  <c r="C741" i="2"/>
  <c r="C742" i="2"/>
  <c r="C743" i="2"/>
  <c r="C744" i="2"/>
  <c r="C745" i="2"/>
  <c r="C746" i="2"/>
  <c r="C747" i="2"/>
  <c r="C748" i="2"/>
  <c r="C749" i="2"/>
  <c r="C750" i="2"/>
  <c r="C751" i="2"/>
  <c r="C752" i="2"/>
  <c r="C753" i="2"/>
  <c r="C754" i="2"/>
  <c r="C755" i="2"/>
  <c r="C756" i="2"/>
  <c r="C757" i="2"/>
  <c r="C758" i="2"/>
  <c r="C759" i="2"/>
  <c r="C760" i="2"/>
  <c r="C761" i="2"/>
  <c r="C762" i="2"/>
  <c r="C763" i="2"/>
  <c r="C764" i="2"/>
  <c r="C765" i="2"/>
  <c r="C766" i="2"/>
  <c r="C767" i="2"/>
  <c r="C768" i="2"/>
  <c r="C769" i="2"/>
  <c r="C770" i="2"/>
  <c r="C771" i="2"/>
  <c r="C772" i="2"/>
  <c r="C773" i="2"/>
  <c r="C774" i="2"/>
  <c r="C775" i="2"/>
  <c r="C776" i="2"/>
  <c r="C777" i="2"/>
  <c r="C778" i="2"/>
  <c r="C779" i="2"/>
  <c r="C780" i="2"/>
  <c r="C781" i="2"/>
  <c r="C782" i="2"/>
  <c r="C783" i="2"/>
  <c r="C784" i="2"/>
  <c r="C785" i="2"/>
  <c r="C786" i="2"/>
  <c r="C787" i="2"/>
  <c r="C788" i="2"/>
  <c r="C789" i="2"/>
  <c r="C790" i="2"/>
  <c r="C791" i="2"/>
  <c r="C792" i="2"/>
  <c r="C793" i="2"/>
  <c r="C794" i="2"/>
  <c r="C795" i="2"/>
  <c r="C796" i="2"/>
  <c r="C797" i="2"/>
  <c r="C798" i="2"/>
  <c r="C799" i="2"/>
  <c r="C800" i="2"/>
  <c r="C801" i="2"/>
  <c r="C802" i="2"/>
  <c r="C803" i="2"/>
  <c r="C804" i="2"/>
  <c r="C805" i="2"/>
  <c r="C806" i="2"/>
  <c r="C807" i="2"/>
  <c r="C808" i="2"/>
  <c r="C809" i="2"/>
  <c r="C810" i="2"/>
  <c r="C811" i="2"/>
  <c r="C812" i="2"/>
  <c r="C813" i="2"/>
  <c r="C814" i="2"/>
  <c r="C815" i="2"/>
  <c r="C816" i="2"/>
  <c r="C817" i="2"/>
  <c r="C818" i="2"/>
  <c r="C819" i="2"/>
  <c r="C820" i="2"/>
  <c r="C821" i="2"/>
  <c r="C822" i="2"/>
  <c r="C823" i="2"/>
  <c r="C824" i="2"/>
  <c r="C825" i="2"/>
  <c r="C826" i="2"/>
  <c r="C827" i="2"/>
  <c r="C828" i="2"/>
  <c r="C829" i="2"/>
  <c r="C830" i="2"/>
  <c r="C831" i="2"/>
  <c r="C832" i="2"/>
  <c r="C833" i="2"/>
  <c r="C834" i="2"/>
  <c r="C835" i="2"/>
  <c r="C836" i="2"/>
  <c r="C837" i="2"/>
  <c r="C838" i="2"/>
  <c r="C839" i="2"/>
  <c r="C840" i="2"/>
  <c r="C841" i="2"/>
  <c r="C842" i="2"/>
  <c r="C843" i="2"/>
  <c r="C844" i="2"/>
  <c r="C845" i="2"/>
  <c r="C846" i="2"/>
  <c r="C847" i="2"/>
  <c r="C848" i="2"/>
  <c r="C849" i="2"/>
  <c r="C850" i="2"/>
  <c r="C851" i="2"/>
  <c r="C852" i="2"/>
  <c r="C853" i="2"/>
  <c r="C854" i="2"/>
  <c r="C855" i="2"/>
  <c r="C856" i="2"/>
  <c r="C857" i="2"/>
  <c r="C858" i="2"/>
  <c r="C859" i="2"/>
  <c r="C860" i="2"/>
  <c r="C861" i="2"/>
  <c r="C862" i="2"/>
  <c r="C863" i="2"/>
  <c r="C864" i="2"/>
  <c r="C865" i="2"/>
  <c r="C866" i="2"/>
  <c r="C867" i="2"/>
  <c r="C868" i="2"/>
  <c r="C869" i="2"/>
  <c r="C870" i="2"/>
  <c r="C871" i="2"/>
  <c r="C872" i="2"/>
  <c r="C873" i="2"/>
  <c r="C874" i="2"/>
  <c r="C875" i="2"/>
  <c r="C876" i="2"/>
  <c r="C877" i="2"/>
  <c r="C878" i="2"/>
  <c r="C879" i="2"/>
  <c r="C880" i="2"/>
  <c r="C881" i="2"/>
  <c r="C882" i="2"/>
  <c r="C883" i="2"/>
  <c r="C884" i="2"/>
  <c r="C885" i="2"/>
  <c r="C886" i="2"/>
  <c r="C887" i="2"/>
  <c r="C888" i="2"/>
  <c r="C889" i="2"/>
  <c r="C890" i="2"/>
  <c r="C891" i="2"/>
  <c r="C892" i="2"/>
  <c r="C893" i="2"/>
  <c r="C894" i="2"/>
  <c r="C895" i="2"/>
  <c r="C896" i="2"/>
  <c r="C897" i="2"/>
  <c r="C898" i="2"/>
  <c r="C899" i="2"/>
  <c r="C900" i="2"/>
  <c r="C901" i="2"/>
  <c r="C902" i="2"/>
  <c r="C903" i="2"/>
  <c r="C904" i="2"/>
  <c r="C905" i="2"/>
  <c r="C906" i="2"/>
  <c r="C907" i="2"/>
  <c r="C908" i="2"/>
  <c r="C909" i="2"/>
  <c r="C910" i="2"/>
  <c r="C911" i="2"/>
  <c r="C912" i="2"/>
  <c r="C913" i="2"/>
  <c r="C914" i="2"/>
  <c r="C915" i="2"/>
  <c r="C916" i="2"/>
  <c r="C917" i="2"/>
  <c r="C918" i="2"/>
  <c r="C919" i="2"/>
  <c r="C920" i="2"/>
  <c r="C921" i="2"/>
  <c r="C922" i="2"/>
  <c r="C923" i="2"/>
  <c r="C924" i="2"/>
  <c r="C925" i="2"/>
  <c r="C926" i="2"/>
  <c r="C927" i="2"/>
  <c r="C928" i="2"/>
  <c r="C929" i="2"/>
  <c r="C930" i="2"/>
  <c r="C931" i="2"/>
  <c r="C932" i="2"/>
  <c r="C933" i="2"/>
  <c r="C934" i="2"/>
  <c r="C935" i="2"/>
  <c r="C936" i="2"/>
  <c r="C937" i="2"/>
  <c r="C938" i="2"/>
  <c r="C939" i="2"/>
  <c r="C940" i="2"/>
  <c r="C941" i="2"/>
  <c r="C942" i="2"/>
  <c r="C943" i="2"/>
  <c r="C944" i="2"/>
  <c r="C945" i="2"/>
  <c r="C946" i="2"/>
  <c r="C947" i="2"/>
  <c r="C948" i="2"/>
  <c r="C949" i="2"/>
  <c r="C950" i="2"/>
  <c r="C951" i="2"/>
  <c r="C952" i="2"/>
  <c r="C953" i="2"/>
  <c r="C954" i="2"/>
  <c r="C955" i="2"/>
  <c r="C956" i="2"/>
  <c r="C957" i="2"/>
  <c r="C958" i="2"/>
  <c r="C959" i="2"/>
  <c r="C960" i="2"/>
  <c r="C961" i="2"/>
  <c r="C962" i="2"/>
  <c r="C963" i="2"/>
  <c r="C964" i="2"/>
  <c r="C965" i="2"/>
  <c r="C966" i="2"/>
  <c r="C967" i="2"/>
  <c r="C968" i="2"/>
  <c r="C969" i="2"/>
  <c r="C970" i="2"/>
  <c r="C971" i="2"/>
  <c r="C972" i="2"/>
  <c r="C973" i="2"/>
  <c r="C974" i="2"/>
  <c r="C975" i="2"/>
  <c r="C976" i="2"/>
  <c r="C977" i="2"/>
  <c r="C978" i="2"/>
  <c r="C979" i="2"/>
  <c r="C980" i="2"/>
  <c r="C981" i="2"/>
  <c r="C982" i="2"/>
  <c r="C983" i="2"/>
  <c r="C984" i="2"/>
  <c r="C985" i="2"/>
  <c r="C986" i="2"/>
  <c r="C987" i="2"/>
  <c r="C988" i="2"/>
  <c r="C989" i="2"/>
  <c r="C990" i="2"/>
  <c r="C991" i="2"/>
  <c r="C992" i="2"/>
  <c r="C993" i="2"/>
  <c r="C994" i="2"/>
  <c r="C995" i="2"/>
  <c r="C996" i="2"/>
  <c r="C997" i="2"/>
  <c r="C998" i="2"/>
  <c r="C999" i="2"/>
  <c r="C1000" i="2"/>
  <c r="C1001" i="2"/>
  <c r="C1002" i="2"/>
  <c r="C1003" i="2"/>
  <c r="C1004" i="2"/>
  <c r="C1005" i="2"/>
  <c r="C1006" i="2"/>
  <c r="C1007" i="2"/>
  <c r="C1008" i="2"/>
  <c r="C1009" i="2"/>
  <c r="C1010" i="2"/>
  <c r="C1011" i="2"/>
  <c r="C1012" i="2"/>
  <c r="C1013" i="2"/>
  <c r="C1014" i="2"/>
  <c r="C1015" i="2"/>
  <c r="C1016" i="2"/>
  <c r="C1017" i="2"/>
  <c r="C1018" i="2"/>
  <c r="C1019" i="2"/>
  <c r="C1020" i="2"/>
  <c r="C1021" i="2"/>
  <c r="C1022" i="2"/>
  <c r="C1023" i="2"/>
  <c r="C1024" i="2"/>
  <c r="C1025" i="2"/>
  <c r="C1026" i="2"/>
  <c r="C1027" i="2"/>
  <c r="C1028" i="2"/>
  <c r="C1029" i="2"/>
  <c r="C1030" i="2"/>
  <c r="C1031" i="2"/>
  <c r="C1032" i="2"/>
  <c r="C1033" i="2"/>
  <c r="C1034" i="2"/>
  <c r="C1035" i="2"/>
  <c r="C1036" i="2"/>
  <c r="C1037" i="2"/>
  <c r="C1038" i="2"/>
  <c r="C1039" i="2"/>
  <c r="C1040" i="2"/>
  <c r="C1041" i="2"/>
  <c r="C1042" i="2"/>
  <c r="C1043" i="2"/>
  <c r="C1044" i="2"/>
  <c r="C1045" i="2"/>
  <c r="C1046" i="2"/>
  <c r="C1047" i="2"/>
  <c r="C1048" i="2"/>
  <c r="C1049" i="2"/>
  <c r="C1050" i="2"/>
  <c r="C1051" i="2"/>
  <c r="C1052" i="2"/>
  <c r="C1053" i="2"/>
  <c r="C1054" i="2"/>
  <c r="C1055" i="2"/>
  <c r="C1056" i="2"/>
  <c r="C1057" i="2"/>
  <c r="C1058" i="2"/>
  <c r="C1059" i="2"/>
  <c r="C1060" i="2"/>
  <c r="C1061" i="2"/>
  <c r="C1062" i="2"/>
  <c r="C1063" i="2"/>
  <c r="C1064" i="2"/>
  <c r="C1065" i="2"/>
  <c r="C1066" i="2"/>
  <c r="C1067" i="2"/>
  <c r="C1068" i="2"/>
  <c r="C1069" i="2"/>
  <c r="C1070" i="2"/>
  <c r="C1071" i="2"/>
  <c r="C1072" i="2"/>
  <c r="C1073" i="2"/>
  <c r="C1074" i="2"/>
  <c r="C1075" i="2"/>
  <c r="C1076" i="2"/>
  <c r="C1077" i="2"/>
  <c r="C1078" i="2"/>
  <c r="C1079" i="2"/>
  <c r="C1080" i="2"/>
  <c r="C1081" i="2"/>
  <c r="C1082" i="2"/>
  <c r="C1083" i="2"/>
  <c r="C1084" i="2"/>
  <c r="C1085" i="2"/>
  <c r="C1086" i="2"/>
  <c r="C1087" i="2"/>
  <c r="C1088" i="2"/>
  <c r="C1089" i="2"/>
  <c r="C1090" i="2"/>
  <c r="C1091" i="2"/>
  <c r="C1092" i="2"/>
  <c r="C1093" i="2"/>
  <c r="C1094" i="2"/>
  <c r="C1095" i="2"/>
  <c r="C1096" i="2"/>
  <c r="C1097" i="2"/>
  <c r="C1098" i="2"/>
  <c r="C1099" i="2"/>
  <c r="C1100" i="2"/>
  <c r="C1101" i="2"/>
  <c r="C1102" i="2"/>
  <c r="C1103" i="2"/>
  <c r="C1104" i="2"/>
  <c r="C1105" i="2"/>
  <c r="C1106" i="2"/>
  <c r="C1107" i="2"/>
  <c r="C1108" i="2"/>
  <c r="C1109" i="2"/>
  <c r="C1110" i="2"/>
  <c r="C1111" i="2"/>
  <c r="C1112" i="2"/>
  <c r="C1113" i="2"/>
  <c r="C1114" i="2"/>
  <c r="C1115" i="2"/>
  <c r="C1116" i="2"/>
  <c r="C1117" i="2"/>
  <c r="C1118" i="2"/>
  <c r="C1119" i="2"/>
  <c r="C1120" i="2"/>
  <c r="C1121" i="2"/>
  <c r="C1122" i="2"/>
  <c r="C1123" i="2"/>
  <c r="C1124" i="2"/>
  <c r="C1125" i="2"/>
  <c r="C1126" i="2"/>
  <c r="C1127" i="2"/>
  <c r="C1128" i="2"/>
  <c r="C1129" i="2"/>
  <c r="C1130" i="2"/>
  <c r="C1131" i="2"/>
  <c r="C1132" i="2"/>
  <c r="C1133" i="2"/>
  <c r="C1134" i="2"/>
  <c r="C1135" i="2"/>
  <c r="C1136" i="2"/>
  <c r="C1137" i="2"/>
  <c r="C1138" i="2"/>
  <c r="C1139" i="2"/>
  <c r="C1140" i="2"/>
  <c r="C1141" i="2"/>
  <c r="C1142" i="2"/>
  <c r="C1143" i="2"/>
  <c r="C1144" i="2"/>
  <c r="C1145" i="2"/>
  <c r="C1146" i="2"/>
  <c r="C1147" i="2"/>
  <c r="C1148" i="2"/>
  <c r="C1149" i="2"/>
  <c r="C1150" i="2"/>
  <c r="C1151" i="2"/>
  <c r="C1152" i="2"/>
  <c r="C1153" i="2"/>
  <c r="C1154" i="2"/>
  <c r="C1155" i="2"/>
  <c r="C1156" i="2"/>
  <c r="C1157" i="2"/>
  <c r="C1158" i="2"/>
  <c r="C1159" i="2"/>
  <c r="C1160" i="2"/>
  <c r="C1161" i="2"/>
  <c r="C1162" i="2"/>
  <c r="C1163" i="2"/>
  <c r="C1164" i="2"/>
  <c r="C1165" i="2"/>
  <c r="C1166" i="2"/>
  <c r="C1167" i="2"/>
  <c r="C1168" i="2"/>
  <c r="C1169" i="2"/>
  <c r="C1170" i="2"/>
  <c r="C1171" i="2"/>
  <c r="C1172" i="2"/>
  <c r="C1173" i="2"/>
  <c r="C1174" i="2"/>
  <c r="C1175" i="2"/>
  <c r="C1176" i="2"/>
  <c r="C1177" i="2"/>
  <c r="C1178" i="2"/>
  <c r="C1179" i="2"/>
  <c r="C1180" i="2"/>
  <c r="C1181" i="2"/>
  <c r="C1182" i="2"/>
  <c r="C1183" i="2"/>
  <c r="C1184" i="2"/>
  <c r="C1185" i="2"/>
  <c r="C1186" i="2"/>
  <c r="C1187" i="2"/>
  <c r="C1188" i="2"/>
  <c r="C1189" i="2"/>
  <c r="C1190" i="2"/>
  <c r="C1191" i="2"/>
  <c r="C1192" i="2"/>
  <c r="C1193" i="2"/>
  <c r="C1194" i="2"/>
  <c r="C1195" i="2"/>
  <c r="C1196" i="2"/>
  <c r="C1197" i="2"/>
  <c r="C1198" i="2"/>
  <c r="C1199" i="2"/>
  <c r="C1200" i="2"/>
  <c r="C1201" i="2"/>
  <c r="C1202" i="2"/>
  <c r="C1203" i="2"/>
  <c r="C1204" i="2"/>
  <c r="C1205" i="2"/>
  <c r="C1206" i="2"/>
  <c r="C1207" i="2"/>
  <c r="C1208" i="2"/>
  <c r="C1209" i="2"/>
  <c r="C1210" i="2"/>
  <c r="C1211" i="2"/>
  <c r="C1212" i="2"/>
  <c r="C1213" i="2"/>
  <c r="C1214" i="2"/>
  <c r="C1215" i="2"/>
  <c r="C1216" i="2"/>
  <c r="C1217" i="2"/>
  <c r="C1218" i="2"/>
  <c r="C1219" i="2"/>
  <c r="C1220" i="2"/>
  <c r="C1221" i="2"/>
  <c r="C1222" i="2"/>
  <c r="C1223" i="2"/>
  <c r="C1224" i="2"/>
  <c r="C1225" i="2"/>
  <c r="C1226" i="2"/>
  <c r="C1227" i="2"/>
  <c r="C1228" i="2"/>
  <c r="C1229" i="2"/>
  <c r="C1230" i="2"/>
  <c r="C1231" i="2"/>
  <c r="C1232" i="2"/>
  <c r="C1233" i="2"/>
  <c r="C1234" i="2"/>
  <c r="C1235" i="2"/>
  <c r="C1236" i="2"/>
  <c r="C1237" i="2"/>
  <c r="C1238" i="2"/>
  <c r="C1239" i="2"/>
  <c r="C1240" i="2"/>
  <c r="C1241" i="2"/>
  <c r="C1242" i="2"/>
  <c r="C1243" i="2"/>
  <c r="C1244" i="2"/>
  <c r="C1245" i="2"/>
  <c r="C1246" i="2"/>
  <c r="C1247" i="2"/>
  <c r="C1248" i="2"/>
  <c r="C1249" i="2"/>
  <c r="C1250" i="2"/>
  <c r="C1251" i="2"/>
  <c r="C1252" i="2"/>
  <c r="C1253" i="2"/>
  <c r="C1254" i="2"/>
  <c r="C1255" i="2"/>
  <c r="C1256" i="2"/>
  <c r="C1257" i="2"/>
  <c r="C1258" i="2"/>
  <c r="C1259" i="2"/>
  <c r="C1260" i="2"/>
  <c r="C1261" i="2"/>
  <c r="C1262" i="2"/>
  <c r="C1263" i="2"/>
  <c r="C1264" i="2"/>
  <c r="C1265" i="2"/>
  <c r="C1266" i="2"/>
  <c r="C1267" i="2"/>
  <c r="C1268" i="2"/>
  <c r="C1269" i="2"/>
  <c r="C1270" i="2"/>
  <c r="C1271" i="2"/>
  <c r="C1272" i="2"/>
  <c r="C1273" i="2"/>
  <c r="C1274" i="2"/>
  <c r="C1275" i="2"/>
  <c r="C1276" i="2"/>
  <c r="C1277" i="2"/>
  <c r="C1278" i="2"/>
  <c r="C1279" i="2"/>
  <c r="C1280" i="2"/>
  <c r="C1281" i="2"/>
  <c r="C1282" i="2"/>
  <c r="C1283" i="2"/>
  <c r="C1284" i="2"/>
  <c r="C1285" i="2"/>
  <c r="C1286" i="2"/>
  <c r="C1287" i="2"/>
  <c r="C1288" i="2"/>
  <c r="C1289" i="2"/>
  <c r="C1290" i="2"/>
  <c r="C1291" i="2"/>
  <c r="C1292" i="2"/>
  <c r="C1293" i="2"/>
  <c r="C1294" i="2"/>
  <c r="C1295" i="2"/>
  <c r="C1296" i="2"/>
  <c r="C1297" i="2"/>
  <c r="C1298" i="2"/>
  <c r="C1299" i="2"/>
  <c r="C1300" i="2"/>
  <c r="C1301" i="2"/>
  <c r="C1302" i="2"/>
  <c r="C1303" i="2"/>
  <c r="C1304" i="2"/>
  <c r="C1305" i="2"/>
  <c r="C1306" i="2"/>
  <c r="C1307" i="2"/>
  <c r="C1308" i="2"/>
  <c r="C1309" i="2"/>
  <c r="C1310" i="2"/>
  <c r="C1311" i="2"/>
  <c r="C1312" i="2"/>
  <c r="C1313" i="2"/>
  <c r="C1314" i="2"/>
  <c r="C1315" i="2"/>
  <c r="C1316" i="2"/>
  <c r="C1317" i="2"/>
  <c r="C1318" i="2"/>
  <c r="C1319" i="2"/>
  <c r="C1320" i="2"/>
  <c r="C1321" i="2"/>
  <c r="C1322" i="2"/>
  <c r="C1323" i="2"/>
  <c r="C1324" i="2"/>
  <c r="C1325" i="2"/>
  <c r="C1326" i="2"/>
  <c r="C1327" i="2"/>
  <c r="C1328" i="2"/>
  <c r="C1329" i="2"/>
  <c r="C1330" i="2"/>
  <c r="C1331" i="2"/>
  <c r="C1332" i="2"/>
  <c r="C1333" i="2"/>
  <c r="C1334" i="2"/>
  <c r="C1335" i="2"/>
  <c r="C1336" i="2"/>
  <c r="C1337" i="2"/>
  <c r="C1338" i="2"/>
  <c r="C1339" i="2"/>
  <c r="C1340" i="2"/>
  <c r="C1341" i="2"/>
  <c r="C4" i="2"/>
  <c r="O5" i="4"/>
  <c r="N5" i="4"/>
  <c r="M6" i="4"/>
  <c r="M7" i="4"/>
  <c r="M8" i="4"/>
  <c r="M9" i="4"/>
  <c r="M10" i="4"/>
  <c r="M11" i="4"/>
  <c r="M12" i="4"/>
  <c r="M13" i="4"/>
  <c r="M14" i="4"/>
  <c r="M15" i="4"/>
  <c r="M16" i="4"/>
  <c r="M17" i="4"/>
  <c r="M18" i="4"/>
  <c r="M19" i="4"/>
  <c r="M20" i="4"/>
  <c r="M21" i="4"/>
  <c r="M22" i="4"/>
  <c r="M23" i="4"/>
  <c r="M24" i="4"/>
  <c r="M25" i="4"/>
  <c r="M26" i="4"/>
  <c r="M27" i="4"/>
  <c r="M28" i="4"/>
  <c r="M29" i="4"/>
  <c r="M30" i="4"/>
  <c r="M31" i="4"/>
  <c r="M32" i="4"/>
  <c r="M33" i="4"/>
  <c r="M34" i="4"/>
  <c r="M35" i="4"/>
  <c r="M36" i="4"/>
  <c r="M37" i="4"/>
  <c r="M38" i="4"/>
  <c r="M39" i="4"/>
  <c r="M40" i="4"/>
  <c r="M41" i="4"/>
  <c r="M42" i="4"/>
  <c r="M43" i="4"/>
  <c r="M44" i="4"/>
  <c r="M45" i="4"/>
  <c r="M46" i="4"/>
  <c r="M47" i="4"/>
  <c r="M48" i="4"/>
  <c r="M49" i="4"/>
  <c r="M50" i="4"/>
  <c r="M51" i="4"/>
  <c r="M52" i="4"/>
  <c r="M53" i="4"/>
  <c r="M54" i="4"/>
  <c r="M55" i="4"/>
  <c r="M56" i="4"/>
  <c r="M57" i="4"/>
  <c r="M58" i="4"/>
  <c r="M59" i="4"/>
  <c r="M60" i="4"/>
  <c r="M61" i="4"/>
  <c r="M62" i="4"/>
  <c r="M63" i="4"/>
  <c r="M64" i="4"/>
  <c r="M65" i="4"/>
  <c r="M66" i="4"/>
  <c r="M67" i="4"/>
  <c r="M68" i="4"/>
  <c r="M69" i="4"/>
  <c r="M70" i="4"/>
  <c r="M71" i="4"/>
  <c r="M72" i="4"/>
  <c r="M73" i="4"/>
  <c r="M74" i="4"/>
  <c r="M75" i="4"/>
  <c r="M76" i="4"/>
  <c r="M77" i="4"/>
  <c r="M78" i="4"/>
  <c r="M79" i="4"/>
  <c r="M80" i="4"/>
  <c r="M81" i="4"/>
  <c r="M82" i="4"/>
  <c r="M83" i="4"/>
  <c r="M84" i="4"/>
  <c r="M85" i="4"/>
  <c r="M86" i="4"/>
  <c r="M87" i="4"/>
  <c r="M88" i="4"/>
  <c r="M89" i="4"/>
  <c r="M90" i="4"/>
  <c r="M91" i="4"/>
  <c r="M92" i="4"/>
  <c r="M93" i="4"/>
  <c r="M94" i="4"/>
  <c r="M95" i="4"/>
  <c r="M96" i="4"/>
  <c r="M97" i="4"/>
  <c r="M98" i="4"/>
  <c r="M99" i="4"/>
  <c r="M100" i="4"/>
  <c r="M101" i="4"/>
  <c r="M102" i="4"/>
  <c r="M103" i="4"/>
  <c r="M104" i="4"/>
  <c r="M105" i="4"/>
  <c r="M106" i="4"/>
  <c r="M107" i="4"/>
  <c r="M108" i="4"/>
  <c r="M109" i="4"/>
  <c r="M110" i="4"/>
  <c r="M111" i="4"/>
  <c r="M112" i="4"/>
  <c r="M113" i="4"/>
  <c r="M114" i="4"/>
  <c r="M115" i="4"/>
  <c r="M116" i="4"/>
  <c r="M117" i="4"/>
  <c r="M118" i="4"/>
  <c r="M119" i="4"/>
  <c r="M120" i="4"/>
  <c r="M121" i="4"/>
  <c r="M122" i="4"/>
  <c r="M123" i="4"/>
  <c r="M124" i="4"/>
  <c r="M125" i="4"/>
  <c r="M126" i="4"/>
  <c r="M127" i="4"/>
  <c r="M128" i="4"/>
  <c r="M129" i="4"/>
  <c r="M130" i="4"/>
  <c r="M131" i="4"/>
  <c r="M132" i="4"/>
  <c r="M133" i="4"/>
  <c r="M134" i="4"/>
  <c r="M135" i="4"/>
  <c r="M136" i="4"/>
  <c r="M137" i="4"/>
  <c r="M138" i="4"/>
  <c r="M139" i="4"/>
  <c r="M140" i="4"/>
  <c r="M141" i="4"/>
  <c r="M142" i="4"/>
  <c r="M143" i="4"/>
  <c r="M144" i="4"/>
  <c r="M145" i="4"/>
  <c r="M146" i="4"/>
  <c r="M147" i="4"/>
  <c r="M148" i="4"/>
  <c r="M149" i="4"/>
  <c r="M150" i="4"/>
  <c r="M151" i="4"/>
  <c r="M152" i="4"/>
  <c r="M153" i="4"/>
  <c r="M154" i="4"/>
  <c r="M155" i="4"/>
  <c r="M156" i="4"/>
  <c r="M157" i="4"/>
  <c r="M158" i="4"/>
  <c r="M159" i="4"/>
  <c r="M160" i="4"/>
  <c r="M161" i="4"/>
  <c r="M162" i="4"/>
  <c r="M163" i="4"/>
  <c r="M164" i="4"/>
  <c r="M165" i="4"/>
  <c r="M166" i="4"/>
  <c r="M167" i="4"/>
  <c r="M168" i="4"/>
  <c r="M169" i="4"/>
  <c r="M170" i="4"/>
  <c r="M171" i="4"/>
  <c r="M172" i="4"/>
  <c r="M173" i="4"/>
  <c r="M174" i="4"/>
  <c r="M175" i="4"/>
  <c r="M176" i="4"/>
  <c r="M177" i="4"/>
  <c r="M178" i="4"/>
  <c r="M179" i="4"/>
  <c r="M180" i="4"/>
  <c r="M181" i="4"/>
  <c r="M182" i="4"/>
  <c r="M183" i="4"/>
  <c r="M184" i="4"/>
  <c r="M185" i="4"/>
  <c r="M186" i="4"/>
  <c r="M187" i="4"/>
  <c r="M188" i="4"/>
  <c r="M189" i="4"/>
  <c r="M190" i="4"/>
  <c r="M191" i="4"/>
  <c r="M192" i="4"/>
  <c r="M193" i="4"/>
  <c r="M194" i="4"/>
  <c r="M195" i="4"/>
  <c r="M196" i="4"/>
  <c r="M197" i="4"/>
  <c r="M198" i="4"/>
  <c r="M199" i="4"/>
  <c r="M200" i="4"/>
  <c r="M201" i="4"/>
  <c r="M202" i="4"/>
  <c r="M203" i="4"/>
  <c r="M204" i="4"/>
  <c r="M205" i="4"/>
  <c r="M206" i="4"/>
  <c r="M207" i="4"/>
  <c r="M208" i="4"/>
  <c r="M209" i="4"/>
  <c r="M210" i="4"/>
  <c r="M211" i="4"/>
  <c r="M212" i="4"/>
  <c r="M213" i="4"/>
  <c r="M214" i="4"/>
  <c r="M215" i="4"/>
  <c r="M216" i="4"/>
  <c r="M217" i="4"/>
  <c r="M218" i="4"/>
  <c r="M219" i="4"/>
  <c r="M220" i="4"/>
  <c r="M221" i="4"/>
  <c r="M222" i="4"/>
  <c r="M223" i="4"/>
  <c r="M224" i="4"/>
  <c r="M225" i="4"/>
  <c r="M226" i="4"/>
  <c r="M227" i="4"/>
  <c r="M228" i="4"/>
  <c r="M229" i="4"/>
  <c r="M230" i="4"/>
  <c r="M231" i="4"/>
  <c r="M232" i="4"/>
  <c r="M233" i="4"/>
  <c r="M234" i="4"/>
  <c r="M235" i="4"/>
  <c r="M236" i="4"/>
  <c r="M237" i="4"/>
  <c r="M238" i="4"/>
  <c r="M239" i="4"/>
  <c r="M240" i="4"/>
  <c r="M241" i="4"/>
  <c r="M242" i="4"/>
  <c r="M243" i="4"/>
  <c r="M244" i="4"/>
  <c r="M245" i="4"/>
  <c r="M246" i="4"/>
  <c r="M247" i="4"/>
  <c r="M248" i="4"/>
  <c r="M249" i="4"/>
  <c r="M250" i="4"/>
  <c r="M251" i="4"/>
  <c r="M252" i="4"/>
  <c r="M253" i="4"/>
  <c r="M254" i="4"/>
  <c r="M255" i="4"/>
  <c r="M256" i="4"/>
  <c r="M257" i="4"/>
  <c r="M258" i="4"/>
  <c r="M259" i="4"/>
  <c r="M260" i="4"/>
  <c r="M261" i="4"/>
  <c r="M262" i="4"/>
  <c r="M263" i="4"/>
  <c r="M264" i="4"/>
  <c r="M265" i="4"/>
  <c r="M266" i="4"/>
  <c r="M267" i="4"/>
  <c r="M268" i="4"/>
  <c r="M269" i="4"/>
  <c r="M270" i="4"/>
  <c r="M271" i="4"/>
  <c r="M272" i="4"/>
  <c r="M273" i="4"/>
  <c r="M274" i="4"/>
  <c r="M275" i="4"/>
  <c r="M276" i="4"/>
  <c r="M277" i="4"/>
  <c r="M278" i="4"/>
  <c r="M279" i="4"/>
  <c r="M280" i="4"/>
  <c r="M281" i="4"/>
  <c r="M282" i="4"/>
  <c r="M283" i="4"/>
  <c r="M284" i="4"/>
  <c r="M285" i="4"/>
  <c r="M286" i="4"/>
  <c r="M287" i="4"/>
  <c r="M288" i="4"/>
  <c r="M289" i="4"/>
  <c r="M290" i="4"/>
  <c r="M291" i="4"/>
  <c r="M292" i="4"/>
  <c r="M293" i="4"/>
  <c r="M294" i="4"/>
  <c r="M295" i="4"/>
  <c r="M296" i="4"/>
  <c r="M297" i="4"/>
  <c r="M298" i="4"/>
  <c r="M299" i="4"/>
  <c r="M300" i="4"/>
  <c r="M301" i="4"/>
  <c r="M302" i="4"/>
  <c r="M303" i="4"/>
  <c r="M304" i="4"/>
  <c r="M305" i="4"/>
  <c r="M306" i="4"/>
  <c r="M307" i="4"/>
  <c r="M308" i="4"/>
  <c r="M309" i="4"/>
  <c r="M310" i="4"/>
  <c r="M311" i="4"/>
  <c r="M312" i="4"/>
  <c r="M313" i="4"/>
  <c r="M314" i="4"/>
  <c r="M315" i="4"/>
  <c r="M316" i="4"/>
  <c r="M317" i="4"/>
  <c r="M318" i="4"/>
  <c r="M319" i="4"/>
  <c r="M320" i="4"/>
  <c r="M321" i="4"/>
  <c r="M322" i="4"/>
  <c r="M323" i="4"/>
  <c r="M324" i="4"/>
  <c r="M325" i="4"/>
  <c r="M326" i="4"/>
  <c r="M327" i="4"/>
  <c r="M328" i="4"/>
  <c r="M329" i="4"/>
  <c r="M330" i="4"/>
  <c r="M331" i="4"/>
  <c r="M332" i="4"/>
  <c r="M333" i="4"/>
  <c r="M334" i="4"/>
  <c r="M335" i="4"/>
  <c r="M336" i="4"/>
  <c r="M337" i="4"/>
  <c r="M338" i="4"/>
  <c r="M339" i="4"/>
  <c r="M340" i="4"/>
  <c r="M341" i="4"/>
  <c r="M342" i="4"/>
  <c r="M343" i="4"/>
  <c r="M344" i="4"/>
  <c r="M345" i="4"/>
  <c r="M346" i="4"/>
  <c r="M347" i="4"/>
  <c r="M348" i="4"/>
  <c r="M349" i="4"/>
  <c r="M350" i="4"/>
  <c r="M351" i="4"/>
  <c r="M352" i="4"/>
  <c r="M353" i="4"/>
  <c r="M354" i="4"/>
  <c r="M355" i="4"/>
  <c r="M356" i="4"/>
  <c r="M357" i="4"/>
  <c r="M358" i="4"/>
  <c r="M359" i="4"/>
  <c r="M360" i="4"/>
  <c r="M361" i="4"/>
  <c r="M362" i="4"/>
  <c r="M363" i="4"/>
  <c r="M364" i="4"/>
  <c r="M365" i="4"/>
  <c r="M366" i="4"/>
  <c r="M367" i="4"/>
  <c r="M368" i="4"/>
  <c r="M369" i="4"/>
  <c r="M370" i="4"/>
  <c r="M371" i="4"/>
  <c r="M372" i="4"/>
  <c r="M373" i="4"/>
  <c r="M374" i="4"/>
  <c r="M375" i="4"/>
  <c r="M376" i="4"/>
  <c r="M377" i="4"/>
  <c r="M378" i="4"/>
  <c r="M379" i="4"/>
  <c r="M380" i="4"/>
  <c r="M381" i="4"/>
  <c r="M382" i="4"/>
  <c r="M383" i="4"/>
  <c r="M384" i="4"/>
  <c r="M385" i="4"/>
  <c r="M386" i="4"/>
  <c r="M387" i="4"/>
  <c r="M388" i="4"/>
  <c r="M389" i="4"/>
  <c r="M390" i="4"/>
  <c r="M391" i="4"/>
  <c r="M392" i="4"/>
  <c r="M393" i="4"/>
  <c r="M394" i="4"/>
  <c r="M395" i="4"/>
  <c r="M396" i="4"/>
  <c r="M397" i="4"/>
  <c r="M398" i="4"/>
  <c r="M399" i="4"/>
  <c r="M400" i="4"/>
  <c r="M401" i="4"/>
  <c r="M402" i="4"/>
  <c r="M403" i="4"/>
  <c r="M404" i="4"/>
  <c r="M405" i="4"/>
  <c r="M406" i="4"/>
  <c r="M407" i="4"/>
  <c r="M408" i="4"/>
  <c r="M409" i="4"/>
  <c r="M410" i="4"/>
  <c r="M411" i="4"/>
  <c r="M412" i="4"/>
  <c r="M413" i="4"/>
  <c r="M414" i="4"/>
  <c r="M415" i="4"/>
  <c r="M416" i="4"/>
  <c r="M417" i="4"/>
  <c r="M418" i="4"/>
  <c r="M419" i="4"/>
  <c r="M420" i="4"/>
  <c r="M421" i="4"/>
  <c r="M422" i="4"/>
  <c r="M423" i="4"/>
  <c r="M424" i="4"/>
  <c r="M425" i="4"/>
  <c r="M426" i="4"/>
  <c r="M427" i="4"/>
  <c r="M428" i="4"/>
  <c r="M429" i="4"/>
  <c r="M430" i="4"/>
  <c r="M431" i="4"/>
  <c r="M432" i="4"/>
  <c r="M433" i="4"/>
  <c r="M434" i="4"/>
  <c r="M435" i="4"/>
  <c r="M436" i="4"/>
  <c r="M437" i="4"/>
  <c r="M438" i="4"/>
  <c r="M439" i="4"/>
  <c r="M440" i="4"/>
  <c r="M441" i="4"/>
  <c r="M442" i="4"/>
  <c r="M443" i="4"/>
  <c r="M444" i="4"/>
  <c r="M445" i="4"/>
  <c r="M446" i="4"/>
  <c r="M447" i="4"/>
  <c r="M448" i="4"/>
  <c r="M449" i="4"/>
  <c r="M450" i="4"/>
  <c r="M451" i="4"/>
  <c r="M452" i="4"/>
  <c r="M453" i="4"/>
  <c r="M454" i="4"/>
  <c r="M455" i="4"/>
  <c r="M456" i="4"/>
  <c r="M457" i="4"/>
  <c r="M458" i="4"/>
  <c r="M459" i="4"/>
  <c r="M460" i="4"/>
  <c r="M461" i="4"/>
  <c r="M462" i="4"/>
  <c r="M463" i="4"/>
  <c r="M464" i="4"/>
  <c r="M465" i="4"/>
  <c r="M466" i="4"/>
  <c r="M467" i="4"/>
  <c r="M468" i="4"/>
  <c r="M469" i="4"/>
  <c r="M470" i="4"/>
  <c r="M471" i="4"/>
  <c r="M472" i="4"/>
  <c r="M473" i="4"/>
  <c r="M474" i="4"/>
  <c r="M475" i="4"/>
  <c r="M476" i="4"/>
  <c r="M477" i="4"/>
  <c r="M478" i="4"/>
  <c r="M479" i="4"/>
  <c r="M480" i="4"/>
  <c r="M481" i="4"/>
  <c r="M482" i="4"/>
  <c r="M483" i="4"/>
  <c r="M484" i="4"/>
  <c r="M485" i="4"/>
  <c r="M486" i="4"/>
  <c r="M487" i="4"/>
  <c r="M488" i="4"/>
  <c r="M489" i="4"/>
  <c r="M490" i="4"/>
  <c r="M491" i="4"/>
  <c r="M492" i="4"/>
  <c r="M493" i="4"/>
  <c r="M494" i="4"/>
  <c r="M495" i="4"/>
  <c r="M496" i="4"/>
  <c r="M497" i="4"/>
  <c r="M498" i="4"/>
  <c r="M499" i="4"/>
  <c r="M500" i="4"/>
  <c r="M501" i="4"/>
  <c r="M502" i="4"/>
  <c r="M503" i="4"/>
  <c r="M504" i="4"/>
  <c r="M505" i="4"/>
  <c r="M506" i="4"/>
  <c r="M507" i="4"/>
  <c r="M508" i="4"/>
  <c r="M509" i="4"/>
  <c r="M510" i="4"/>
  <c r="M511" i="4"/>
  <c r="M512" i="4"/>
  <c r="M513" i="4"/>
  <c r="M514" i="4"/>
  <c r="M515" i="4"/>
  <c r="M516" i="4"/>
  <c r="M517" i="4"/>
  <c r="M518" i="4"/>
  <c r="M519" i="4"/>
  <c r="M520" i="4"/>
  <c r="M521" i="4"/>
  <c r="M522" i="4"/>
  <c r="M523" i="4"/>
  <c r="M524" i="4"/>
  <c r="M525" i="4"/>
  <c r="M526" i="4"/>
  <c r="M527" i="4"/>
  <c r="M528" i="4"/>
  <c r="M529" i="4"/>
  <c r="M530" i="4"/>
  <c r="M531" i="4"/>
  <c r="M532" i="4"/>
  <c r="M533" i="4"/>
  <c r="M534" i="4"/>
  <c r="M535" i="4"/>
  <c r="M536" i="4"/>
  <c r="M537" i="4"/>
  <c r="M538" i="4"/>
  <c r="M539" i="4"/>
  <c r="M540" i="4"/>
  <c r="M541" i="4"/>
  <c r="M542" i="4"/>
  <c r="M543" i="4"/>
  <c r="M544" i="4"/>
  <c r="M545" i="4"/>
  <c r="M546" i="4"/>
  <c r="M547" i="4"/>
  <c r="M548" i="4"/>
  <c r="M549" i="4"/>
  <c r="M550" i="4"/>
  <c r="M551" i="4"/>
  <c r="M552" i="4"/>
  <c r="M553" i="4"/>
  <c r="M554" i="4"/>
  <c r="M555" i="4"/>
  <c r="M556" i="4"/>
  <c r="M557" i="4"/>
  <c r="M558" i="4"/>
  <c r="M559" i="4"/>
  <c r="M560" i="4"/>
  <c r="M561" i="4"/>
  <c r="M562" i="4"/>
  <c r="M563" i="4"/>
  <c r="M564" i="4"/>
  <c r="M565" i="4"/>
  <c r="M566" i="4"/>
  <c r="M567" i="4"/>
  <c r="M568" i="4"/>
  <c r="M569" i="4"/>
  <c r="M570" i="4"/>
  <c r="M571" i="4"/>
  <c r="M572" i="4"/>
  <c r="M573" i="4"/>
  <c r="M574" i="4"/>
  <c r="M575" i="4"/>
  <c r="M576" i="4"/>
  <c r="M577" i="4"/>
  <c r="M578" i="4"/>
  <c r="M579" i="4"/>
  <c r="M580" i="4"/>
  <c r="M581" i="4"/>
  <c r="M582" i="4"/>
  <c r="M583" i="4"/>
  <c r="M584" i="4"/>
  <c r="M585" i="4"/>
  <c r="M586" i="4"/>
  <c r="M587" i="4"/>
  <c r="M588" i="4"/>
  <c r="M589" i="4"/>
  <c r="M590" i="4"/>
  <c r="M591" i="4"/>
  <c r="M592" i="4"/>
  <c r="M593" i="4"/>
  <c r="M594" i="4"/>
  <c r="M595" i="4"/>
  <c r="M596" i="4"/>
  <c r="M597" i="4"/>
  <c r="M598" i="4"/>
  <c r="M599" i="4"/>
  <c r="M600" i="4"/>
  <c r="M601" i="4"/>
  <c r="M602" i="4"/>
  <c r="M603" i="4"/>
  <c r="M604" i="4"/>
  <c r="M605" i="4"/>
  <c r="M606" i="4"/>
  <c r="M607" i="4"/>
  <c r="M608" i="4"/>
  <c r="M609" i="4"/>
  <c r="M610" i="4"/>
  <c r="M611" i="4"/>
  <c r="M612" i="4"/>
  <c r="M613" i="4"/>
  <c r="M614" i="4"/>
  <c r="M615" i="4"/>
  <c r="M616" i="4"/>
  <c r="M617" i="4"/>
  <c r="M618" i="4"/>
  <c r="M619" i="4"/>
  <c r="M620" i="4"/>
  <c r="M621" i="4"/>
  <c r="M622" i="4"/>
  <c r="M623" i="4"/>
  <c r="M624" i="4"/>
  <c r="M625" i="4"/>
  <c r="M626" i="4"/>
  <c r="M627" i="4"/>
  <c r="M628" i="4"/>
  <c r="M629" i="4"/>
  <c r="M630" i="4"/>
  <c r="M631" i="4"/>
  <c r="M632" i="4"/>
  <c r="M633" i="4"/>
  <c r="M634" i="4"/>
  <c r="M635" i="4"/>
  <c r="M636" i="4"/>
  <c r="M637" i="4"/>
  <c r="M638" i="4"/>
  <c r="M639" i="4"/>
  <c r="M640" i="4"/>
  <c r="M641" i="4"/>
  <c r="M642" i="4"/>
  <c r="M643" i="4"/>
  <c r="M644" i="4"/>
  <c r="M645" i="4"/>
  <c r="M646" i="4"/>
  <c r="M647" i="4"/>
  <c r="M648" i="4"/>
  <c r="M649" i="4"/>
  <c r="M650" i="4"/>
  <c r="M651" i="4"/>
  <c r="M652" i="4"/>
  <c r="M653" i="4"/>
  <c r="M654" i="4"/>
  <c r="M655" i="4"/>
  <c r="M656" i="4"/>
  <c r="M657" i="4"/>
  <c r="M658" i="4"/>
  <c r="M659" i="4"/>
  <c r="M660" i="4"/>
  <c r="M661" i="4"/>
  <c r="M662" i="4"/>
  <c r="M663" i="4"/>
  <c r="M664" i="4"/>
  <c r="M665" i="4"/>
  <c r="M666" i="4"/>
  <c r="M667" i="4"/>
  <c r="M668" i="4"/>
  <c r="M669" i="4"/>
  <c r="M670" i="4"/>
  <c r="M671" i="4"/>
  <c r="M672" i="4"/>
  <c r="M673" i="4"/>
  <c r="M674" i="4"/>
  <c r="M675" i="4"/>
  <c r="M676" i="4"/>
  <c r="M677" i="4"/>
  <c r="M678" i="4"/>
  <c r="M679" i="4"/>
  <c r="M680" i="4"/>
  <c r="M681" i="4"/>
  <c r="M682" i="4"/>
  <c r="M683" i="4"/>
  <c r="M684" i="4"/>
  <c r="M685" i="4"/>
  <c r="M686" i="4"/>
  <c r="M687" i="4"/>
  <c r="M688" i="4"/>
  <c r="M689" i="4"/>
  <c r="M690" i="4"/>
  <c r="M691" i="4"/>
  <c r="M692" i="4"/>
  <c r="M693" i="4"/>
  <c r="M694" i="4"/>
  <c r="M695" i="4"/>
  <c r="M696" i="4"/>
  <c r="M697" i="4"/>
  <c r="M698" i="4"/>
  <c r="M699" i="4"/>
  <c r="M700" i="4"/>
  <c r="M701" i="4"/>
  <c r="M702" i="4"/>
  <c r="M703" i="4"/>
  <c r="M704" i="4"/>
  <c r="M705" i="4"/>
  <c r="M706" i="4"/>
  <c r="M707" i="4"/>
  <c r="M708" i="4"/>
  <c r="M709" i="4"/>
  <c r="M710" i="4"/>
  <c r="M711" i="4"/>
  <c r="M712" i="4"/>
  <c r="M713" i="4"/>
  <c r="M714" i="4"/>
  <c r="M715" i="4"/>
  <c r="M716" i="4"/>
  <c r="M717" i="4"/>
  <c r="M718" i="4"/>
  <c r="M719" i="4"/>
  <c r="M720" i="4"/>
  <c r="M721" i="4"/>
  <c r="M722" i="4"/>
  <c r="M723" i="4"/>
  <c r="M724" i="4"/>
  <c r="M725" i="4"/>
  <c r="M726" i="4"/>
  <c r="M727" i="4"/>
  <c r="M728" i="4"/>
  <c r="M729" i="4"/>
  <c r="M730" i="4"/>
  <c r="M731" i="4"/>
  <c r="M732" i="4"/>
  <c r="M733" i="4"/>
  <c r="M734" i="4"/>
  <c r="M735" i="4"/>
  <c r="M736" i="4"/>
  <c r="M737" i="4"/>
  <c r="M738" i="4"/>
  <c r="M739" i="4"/>
  <c r="M740" i="4"/>
  <c r="M741" i="4"/>
  <c r="M742" i="4"/>
  <c r="M743" i="4"/>
  <c r="M744" i="4"/>
  <c r="M745" i="4"/>
  <c r="M746" i="4"/>
  <c r="M747" i="4"/>
  <c r="M748" i="4"/>
  <c r="M749" i="4"/>
  <c r="M750" i="4"/>
  <c r="M751" i="4"/>
  <c r="M752" i="4"/>
  <c r="M753" i="4"/>
  <c r="M754" i="4"/>
  <c r="M755" i="4"/>
  <c r="M756" i="4"/>
  <c r="M757" i="4"/>
  <c r="M758" i="4"/>
  <c r="M759" i="4"/>
  <c r="M760" i="4"/>
  <c r="M761" i="4"/>
  <c r="M762" i="4"/>
  <c r="M763" i="4"/>
  <c r="M764" i="4"/>
  <c r="M765" i="4"/>
  <c r="M766" i="4"/>
  <c r="M767" i="4"/>
  <c r="M768" i="4"/>
  <c r="M769" i="4"/>
  <c r="M770" i="4"/>
  <c r="M771" i="4"/>
  <c r="M772" i="4"/>
  <c r="M773" i="4"/>
  <c r="M774" i="4"/>
  <c r="M775" i="4"/>
  <c r="M776" i="4"/>
  <c r="M777" i="4"/>
  <c r="M778" i="4"/>
  <c r="M779" i="4"/>
  <c r="M780" i="4"/>
  <c r="M781" i="4"/>
  <c r="M782" i="4"/>
  <c r="M783" i="4"/>
  <c r="M784" i="4"/>
  <c r="M785" i="4"/>
  <c r="M786" i="4"/>
  <c r="M787" i="4"/>
  <c r="M788" i="4"/>
  <c r="M789" i="4"/>
  <c r="M790" i="4"/>
  <c r="M791" i="4"/>
  <c r="M792" i="4"/>
  <c r="M793" i="4"/>
  <c r="M794" i="4"/>
  <c r="M795" i="4"/>
  <c r="M796" i="4"/>
  <c r="M797" i="4"/>
  <c r="M798" i="4"/>
  <c r="M799" i="4"/>
  <c r="M800" i="4"/>
  <c r="M801" i="4"/>
  <c r="M802" i="4"/>
  <c r="M803" i="4"/>
  <c r="M804" i="4"/>
  <c r="M805" i="4"/>
  <c r="M806" i="4"/>
  <c r="M807" i="4"/>
  <c r="M808" i="4"/>
  <c r="M809" i="4"/>
  <c r="M810" i="4"/>
  <c r="M811" i="4"/>
  <c r="M812" i="4"/>
  <c r="M813" i="4"/>
  <c r="M814" i="4"/>
  <c r="M815" i="4"/>
  <c r="M816" i="4"/>
  <c r="M817" i="4"/>
  <c r="M818" i="4"/>
  <c r="M819" i="4"/>
  <c r="M820" i="4"/>
  <c r="M821" i="4"/>
  <c r="M822" i="4"/>
  <c r="M823" i="4"/>
  <c r="M824" i="4"/>
  <c r="M825" i="4"/>
  <c r="M826" i="4"/>
  <c r="M827" i="4"/>
  <c r="M828" i="4"/>
  <c r="M829" i="4"/>
  <c r="M830" i="4"/>
  <c r="M831" i="4"/>
  <c r="M832" i="4"/>
  <c r="M833" i="4"/>
  <c r="M834" i="4"/>
  <c r="M835" i="4"/>
  <c r="M836" i="4"/>
  <c r="M837" i="4"/>
  <c r="M838" i="4"/>
  <c r="M839" i="4"/>
  <c r="M840" i="4"/>
  <c r="M841" i="4"/>
  <c r="M842" i="4"/>
  <c r="M843" i="4"/>
  <c r="M844" i="4"/>
  <c r="M845" i="4"/>
  <c r="M846" i="4"/>
  <c r="M847" i="4"/>
  <c r="M848" i="4"/>
  <c r="M849" i="4"/>
  <c r="M850" i="4"/>
  <c r="M851" i="4"/>
  <c r="M852" i="4"/>
  <c r="M853" i="4"/>
  <c r="M854" i="4"/>
  <c r="M855" i="4"/>
  <c r="M856" i="4"/>
  <c r="M857" i="4"/>
  <c r="M858" i="4"/>
  <c r="M859" i="4"/>
  <c r="M860" i="4"/>
  <c r="M861" i="4"/>
  <c r="M862" i="4"/>
  <c r="M863" i="4"/>
  <c r="M864" i="4"/>
  <c r="M865" i="4"/>
  <c r="M866" i="4"/>
  <c r="M867" i="4"/>
  <c r="M868" i="4"/>
  <c r="M869" i="4"/>
  <c r="M870" i="4"/>
  <c r="M871" i="4"/>
  <c r="M872" i="4"/>
  <c r="M873" i="4"/>
  <c r="M874" i="4"/>
  <c r="M875" i="4"/>
  <c r="M876" i="4"/>
  <c r="M877" i="4"/>
  <c r="M878" i="4"/>
  <c r="M879" i="4"/>
  <c r="M880" i="4"/>
  <c r="M881" i="4"/>
  <c r="M882" i="4"/>
  <c r="M883" i="4"/>
  <c r="M884" i="4"/>
  <c r="M885" i="4"/>
  <c r="M886" i="4"/>
  <c r="M887" i="4"/>
  <c r="M888" i="4"/>
  <c r="M889" i="4"/>
  <c r="M890" i="4"/>
  <c r="M891" i="4"/>
  <c r="M892" i="4"/>
  <c r="M893" i="4"/>
  <c r="M894" i="4"/>
  <c r="M895" i="4"/>
  <c r="M896" i="4"/>
  <c r="M897" i="4"/>
  <c r="M898" i="4"/>
  <c r="M899" i="4"/>
  <c r="M900" i="4"/>
  <c r="M901" i="4"/>
  <c r="M902" i="4"/>
  <c r="M903" i="4"/>
  <c r="M904" i="4"/>
  <c r="M905" i="4"/>
  <c r="M906" i="4"/>
  <c r="M907" i="4"/>
  <c r="M908" i="4"/>
  <c r="M909" i="4"/>
  <c r="M910" i="4"/>
  <c r="M911" i="4"/>
  <c r="M912" i="4"/>
  <c r="M913" i="4"/>
  <c r="M914" i="4"/>
  <c r="M915" i="4"/>
  <c r="M916" i="4"/>
  <c r="M917" i="4"/>
  <c r="M918" i="4"/>
  <c r="M919" i="4"/>
  <c r="M920" i="4"/>
  <c r="M921" i="4"/>
  <c r="M922" i="4"/>
  <c r="M923" i="4"/>
  <c r="M924" i="4"/>
  <c r="M925" i="4"/>
  <c r="M926" i="4"/>
  <c r="M927" i="4"/>
  <c r="M928" i="4"/>
  <c r="M929" i="4"/>
  <c r="M930" i="4"/>
  <c r="M931" i="4"/>
  <c r="M932" i="4"/>
  <c r="M933" i="4"/>
  <c r="M934" i="4"/>
  <c r="M935" i="4"/>
  <c r="M936" i="4"/>
  <c r="M937" i="4"/>
  <c r="M938" i="4"/>
  <c r="M939" i="4"/>
  <c r="M940" i="4"/>
  <c r="M941" i="4"/>
  <c r="M942" i="4"/>
  <c r="M943" i="4"/>
  <c r="M944" i="4"/>
  <c r="M945" i="4"/>
  <c r="M946" i="4"/>
  <c r="M947" i="4"/>
  <c r="M948" i="4"/>
  <c r="M949" i="4"/>
  <c r="M950" i="4"/>
  <c r="M951" i="4"/>
  <c r="M952" i="4"/>
  <c r="M953" i="4"/>
  <c r="M954" i="4"/>
  <c r="M955" i="4"/>
  <c r="M956" i="4"/>
  <c r="M957" i="4"/>
  <c r="M958" i="4"/>
  <c r="M959" i="4"/>
  <c r="M960" i="4"/>
  <c r="M961" i="4"/>
  <c r="M962" i="4"/>
  <c r="M963" i="4"/>
  <c r="M964" i="4"/>
  <c r="M965" i="4"/>
  <c r="M966" i="4"/>
  <c r="M967" i="4"/>
  <c r="M968" i="4"/>
  <c r="M969" i="4"/>
  <c r="M970" i="4"/>
  <c r="M971" i="4"/>
  <c r="M972" i="4"/>
  <c r="M973" i="4"/>
  <c r="M974" i="4"/>
  <c r="M975" i="4"/>
  <c r="M976" i="4"/>
  <c r="M977" i="4"/>
  <c r="M978" i="4"/>
  <c r="M979" i="4"/>
  <c r="M980" i="4"/>
  <c r="M981" i="4"/>
  <c r="M982" i="4"/>
  <c r="M983" i="4"/>
  <c r="M984" i="4"/>
  <c r="M985" i="4"/>
  <c r="M986" i="4"/>
  <c r="M987" i="4"/>
  <c r="M988" i="4"/>
  <c r="M989" i="4"/>
  <c r="M990" i="4"/>
  <c r="M991" i="4"/>
  <c r="M992" i="4"/>
  <c r="M993" i="4"/>
  <c r="M994" i="4"/>
  <c r="M995" i="4"/>
  <c r="M996" i="4"/>
  <c r="M997" i="4"/>
  <c r="M998" i="4"/>
  <c r="M999" i="4"/>
  <c r="M1000" i="4"/>
  <c r="M1001" i="4"/>
  <c r="M1002" i="4"/>
  <c r="M1003" i="4"/>
  <c r="M1004" i="4"/>
  <c r="M1005" i="4"/>
  <c r="M1006" i="4"/>
  <c r="M1007" i="4"/>
  <c r="M1008" i="4"/>
  <c r="M1009" i="4"/>
  <c r="M1010" i="4"/>
  <c r="M1011" i="4"/>
  <c r="M1012" i="4"/>
  <c r="M1013" i="4"/>
  <c r="M1014" i="4"/>
  <c r="M1015" i="4"/>
  <c r="M1016" i="4"/>
  <c r="M1017" i="4"/>
  <c r="M1018" i="4"/>
  <c r="M1019" i="4"/>
  <c r="M1020" i="4"/>
  <c r="M1021" i="4"/>
  <c r="M1022" i="4"/>
  <c r="M1023" i="4"/>
  <c r="M1024" i="4"/>
  <c r="M1025" i="4"/>
  <c r="M1026" i="4"/>
  <c r="M1027" i="4"/>
  <c r="M1028" i="4"/>
  <c r="M1029" i="4"/>
  <c r="M1030" i="4"/>
  <c r="M1031" i="4"/>
  <c r="M1032" i="4"/>
  <c r="M1033" i="4"/>
  <c r="M1034" i="4"/>
  <c r="M1035" i="4"/>
  <c r="M1036" i="4"/>
  <c r="M1037" i="4"/>
  <c r="M1038" i="4"/>
  <c r="M1039" i="4"/>
  <c r="M1040" i="4"/>
  <c r="M1041" i="4"/>
  <c r="M1042" i="4"/>
  <c r="M1043" i="4"/>
  <c r="M1044" i="4"/>
  <c r="M1045" i="4"/>
  <c r="M1046" i="4"/>
  <c r="M1047" i="4"/>
  <c r="M1048" i="4"/>
  <c r="M1049" i="4"/>
  <c r="M1050" i="4"/>
  <c r="M1051" i="4"/>
  <c r="M1052" i="4"/>
  <c r="M1053" i="4"/>
  <c r="M1054" i="4"/>
  <c r="M1055" i="4"/>
  <c r="M1056" i="4"/>
  <c r="M1057" i="4"/>
  <c r="M1058" i="4"/>
  <c r="M1059" i="4"/>
  <c r="M1060" i="4"/>
  <c r="M1061" i="4"/>
  <c r="M1062" i="4"/>
  <c r="M1063" i="4"/>
  <c r="M1064" i="4"/>
  <c r="M1065" i="4"/>
  <c r="M1066" i="4"/>
  <c r="M1067" i="4"/>
  <c r="M1068" i="4"/>
  <c r="M1069" i="4"/>
  <c r="M1070" i="4"/>
  <c r="M1071" i="4"/>
  <c r="M1072" i="4"/>
  <c r="M1073" i="4"/>
  <c r="M1074" i="4"/>
  <c r="M1075" i="4"/>
  <c r="M1076" i="4"/>
  <c r="M1077" i="4"/>
  <c r="M1078" i="4"/>
  <c r="M1079" i="4"/>
  <c r="M1080" i="4"/>
  <c r="M1081" i="4"/>
  <c r="M1082" i="4"/>
  <c r="M1083" i="4"/>
  <c r="M1084" i="4"/>
  <c r="M1085" i="4"/>
  <c r="M1086" i="4"/>
  <c r="M1087" i="4"/>
  <c r="M1088" i="4"/>
  <c r="M1089" i="4"/>
  <c r="M1090" i="4"/>
  <c r="M1091" i="4"/>
  <c r="M1092" i="4"/>
  <c r="M1093" i="4"/>
  <c r="M1094" i="4"/>
  <c r="M1095" i="4"/>
  <c r="M1096" i="4"/>
  <c r="M1097" i="4"/>
  <c r="M1098" i="4"/>
  <c r="M1099" i="4"/>
  <c r="M1100" i="4"/>
  <c r="M1101" i="4"/>
  <c r="M1102" i="4"/>
  <c r="M1103" i="4"/>
  <c r="M1104" i="4"/>
  <c r="M1105" i="4"/>
  <c r="M1106" i="4"/>
  <c r="M1107" i="4"/>
  <c r="M1108" i="4"/>
  <c r="M1109" i="4"/>
  <c r="M1110" i="4"/>
  <c r="M1111" i="4"/>
  <c r="M1112" i="4"/>
  <c r="M1113" i="4"/>
  <c r="M1114" i="4"/>
  <c r="M1115" i="4"/>
  <c r="M1116" i="4"/>
  <c r="M1117" i="4"/>
  <c r="M1118" i="4"/>
  <c r="M1119" i="4"/>
  <c r="M1120" i="4"/>
  <c r="M1121" i="4"/>
  <c r="M1122" i="4"/>
  <c r="M1123" i="4"/>
  <c r="M1124" i="4"/>
  <c r="M1125" i="4"/>
  <c r="M1126" i="4"/>
  <c r="M1127" i="4"/>
  <c r="M1128" i="4"/>
  <c r="M1129" i="4"/>
  <c r="M1130" i="4"/>
  <c r="M1131" i="4"/>
  <c r="M1132" i="4"/>
  <c r="M1133" i="4"/>
  <c r="M1134" i="4"/>
  <c r="M1135" i="4"/>
  <c r="M1136" i="4"/>
  <c r="M1137" i="4"/>
  <c r="M1138" i="4"/>
  <c r="M1139" i="4"/>
  <c r="M1140" i="4"/>
  <c r="M1141" i="4"/>
  <c r="M1142" i="4"/>
  <c r="M1143" i="4"/>
  <c r="M1144" i="4"/>
  <c r="M1145" i="4"/>
  <c r="M1146" i="4"/>
  <c r="M1147" i="4"/>
  <c r="M1148" i="4"/>
  <c r="M1149" i="4"/>
  <c r="M1150" i="4"/>
  <c r="M1151" i="4"/>
  <c r="M1152" i="4"/>
  <c r="M1153" i="4"/>
  <c r="M1154" i="4"/>
  <c r="M1155" i="4"/>
  <c r="M1156" i="4"/>
  <c r="M1157" i="4"/>
  <c r="M1158" i="4"/>
  <c r="M1159" i="4"/>
  <c r="M1160" i="4"/>
  <c r="M1161" i="4"/>
  <c r="M1162" i="4"/>
  <c r="M1163" i="4"/>
  <c r="M1164" i="4"/>
  <c r="M1165" i="4"/>
  <c r="M1166" i="4"/>
  <c r="M1167" i="4"/>
  <c r="M1168" i="4"/>
  <c r="M1169" i="4"/>
  <c r="M1170" i="4"/>
  <c r="M1171" i="4"/>
  <c r="M1172" i="4"/>
  <c r="M1173" i="4"/>
  <c r="M1174" i="4"/>
  <c r="M1175" i="4"/>
  <c r="M1176" i="4"/>
  <c r="M1177" i="4"/>
  <c r="M1178" i="4"/>
  <c r="M1179" i="4"/>
  <c r="M1180" i="4"/>
  <c r="M1181" i="4"/>
  <c r="M1182" i="4"/>
  <c r="M1183" i="4"/>
  <c r="M1184" i="4"/>
  <c r="M1185" i="4"/>
  <c r="M1186" i="4"/>
  <c r="M1187" i="4"/>
  <c r="M1188" i="4"/>
  <c r="M1189" i="4"/>
  <c r="M1190" i="4"/>
  <c r="M1191" i="4"/>
  <c r="M1192" i="4"/>
  <c r="M1193" i="4"/>
  <c r="M1194" i="4"/>
  <c r="M1195" i="4"/>
  <c r="M1196" i="4"/>
  <c r="M1197" i="4"/>
  <c r="M1198" i="4"/>
  <c r="M1199" i="4"/>
  <c r="M1200" i="4"/>
  <c r="M1201" i="4"/>
  <c r="M1202" i="4"/>
  <c r="M1203" i="4"/>
  <c r="M1204" i="4"/>
  <c r="M1205" i="4"/>
  <c r="M1206" i="4"/>
  <c r="M1207" i="4"/>
  <c r="M1208" i="4"/>
  <c r="M1209" i="4"/>
  <c r="M1210" i="4"/>
  <c r="M1211" i="4"/>
  <c r="M1212" i="4"/>
  <c r="M1213" i="4"/>
  <c r="M1214" i="4"/>
  <c r="M1215" i="4"/>
  <c r="M1216" i="4"/>
  <c r="M1217" i="4"/>
  <c r="M1218" i="4"/>
  <c r="M1219" i="4"/>
  <c r="M1220" i="4"/>
  <c r="M1221" i="4"/>
  <c r="M1222" i="4"/>
  <c r="M1223" i="4"/>
  <c r="M1224" i="4"/>
  <c r="M1225" i="4"/>
  <c r="M1226" i="4"/>
  <c r="M1227" i="4"/>
  <c r="M1228" i="4"/>
  <c r="M1229" i="4"/>
  <c r="M1230" i="4"/>
  <c r="M1231" i="4"/>
  <c r="M1232" i="4"/>
  <c r="M1233" i="4"/>
  <c r="M1234" i="4"/>
  <c r="M1235" i="4"/>
  <c r="M1236" i="4"/>
  <c r="M1237" i="4"/>
  <c r="M1238" i="4"/>
  <c r="M1239" i="4"/>
  <c r="M1240" i="4"/>
  <c r="M1241" i="4"/>
  <c r="M1242" i="4"/>
  <c r="M1243" i="4"/>
  <c r="M1244" i="4"/>
  <c r="M1245" i="4"/>
  <c r="M1246" i="4"/>
  <c r="M1247" i="4"/>
  <c r="M1248" i="4"/>
  <c r="M1249" i="4"/>
  <c r="M1250" i="4"/>
  <c r="M1251" i="4"/>
  <c r="M1252" i="4"/>
  <c r="M1253" i="4"/>
  <c r="M1254" i="4"/>
  <c r="M1255" i="4"/>
  <c r="M1256" i="4"/>
  <c r="M1257" i="4"/>
  <c r="M1258" i="4"/>
  <c r="M1259" i="4"/>
  <c r="M1260" i="4"/>
  <c r="M1261" i="4"/>
  <c r="M1262" i="4"/>
  <c r="M1263" i="4"/>
  <c r="M1264" i="4"/>
  <c r="M1265" i="4"/>
  <c r="M1266" i="4"/>
  <c r="M1267" i="4"/>
  <c r="M1268" i="4"/>
  <c r="M1269" i="4"/>
  <c r="M1270" i="4"/>
  <c r="M1271" i="4"/>
  <c r="M1272" i="4"/>
  <c r="M1273" i="4"/>
  <c r="M1274" i="4"/>
  <c r="M1275" i="4"/>
  <c r="M1276" i="4"/>
  <c r="M1277" i="4"/>
  <c r="M1278" i="4"/>
  <c r="M1279" i="4"/>
  <c r="M1280" i="4"/>
  <c r="M1281" i="4"/>
  <c r="M1282" i="4"/>
  <c r="M1283" i="4"/>
  <c r="M1284" i="4"/>
  <c r="M1285" i="4"/>
  <c r="M1286" i="4"/>
  <c r="M1287" i="4"/>
  <c r="M1288" i="4"/>
  <c r="M1289" i="4"/>
  <c r="M1290" i="4"/>
  <c r="M1291" i="4"/>
  <c r="M1292" i="4"/>
  <c r="M1293" i="4"/>
  <c r="M1294" i="4"/>
  <c r="M1295" i="4"/>
  <c r="M1296" i="4"/>
  <c r="M1297" i="4"/>
  <c r="M1298" i="4"/>
  <c r="M1299" i="4"/>
  <c r="M1300" i="4"/>
  <c r="M1301" i="4"/>
  <c r="M1302" i="4"/>
  <c r="M1303" i="4"/>
  <c r="M1304" i="4"/>
  <c r="M1305" i="4"/>
  <c r="M1306" i="4"/>
  <c r="M1307" i="4"/>
  <c r="M1308" i="4"/>
  <c r="M1309" i="4"/>
  <c r="M1310" i="4"/>
  <c r="M1311" i="4"/>
  <c r="M1312" i="4"/>
  <c r="M1313" i="4"/>
  <c r="M1314" i="4"/>
  <c r="M1315" i="4"/>
  <c r="M1316" i="4"/>
  <c r="M1317" i="4"/>
  <c r="M1318" i="4"/>
  <c r="M1319" i="4"/>
  <c r="M1320" i="4"/>
  <c r="M1321" i="4"/>
  <c r="M1322" i="4"/>
  <c r="M1323" i="4"/>
  <c r="M1324" i="4"/>
  <c r="M1325" i="4"/>
  <c r="M1326" i="4"/>
  <c r="M1327" i="4"/>
  <c r="M1328" i="4"/>
  <c r="M1329" i="4"/>
  <c r="M1330" i="4"/>
  <c r="M1331" i="4"/>
  <c r="M1332" i="4"/>
  <c r="M1333" i="4"/>
  <c r="M1334" i="4"/>
  <c r="M1335" i="4"/>
  <c r="M1336" i="4"/>
  <c r="M1337" i="4"/>
  <c r="M1338" i="4"/>
  <c r="M1339" i="4"/>
  <c r="M1340" i="4"/>
  <c r="M1341" i="4"/>
  <c r="M1342" i="4"/>
  <c r="M5" i="4"/>
  <c r="O9" i="4" s="1"/>
  <c r="O12" i="4" s="1"/>
  <c r="L6" i="4"/>
  <c r="L7" i="4"/>
  <c r="L8" i="4"/>
  <c r="L9" i="4"/>
  <c r="L10" i="4"/>
  <c r="L11" i="4"/>
  <c r="L12" i="4"/>
  <c r="L13" i="4"/>
  <c r="L14" i="4"/>
  <c r="L15" i="4"/>
  <c r="L16" i="4"/>
  <c r="L17" i="4"/>
  <c r="L18" i="4"/>
  <c r="L19" i="4"/>
  <c r="L20" i="4"/>
  <c r="L21" i="4"/>
  <c r="L22" i="4"/>
  <c r="L23" i="4"/>
  <c r="L24" i="4"/>
  <c r="L25" i="4"/>
  <c r="L26" i="4"/>
  <c r="L27" i="4"/>
  <c r="L28" i="4"/>
  <c r="L29" i="4"/>
  <c r="L30" i="4"/>
  <c r="L31" i="4"/>
  <c r="L32" i="4"/>
  <c r="L33" i="4"/>
  <c r="L34" i="4"/>
  <c r="L35" i="4"/>
  <c r="L36" i="4"/>
  <c r="L37" i="4"/>
  <c r="L38" i="4"/>
  <c r="L39" i="4"/>
  <c r="L40" i="4"/>
  <c r="L41" i="4"/>
  <c r="L42" i="4"/>
  <c r="L43" i="4"/>
  <c r="L44" i="4"/>
  <c r="L45" i="4"/>
  <c r="L46" i="4"/>
  <c r="L47" i="4"/>
  <c r="L48" i="4"/>
  <c r="L49" i="4"/>
  <c r="L50" i="4"/>
  <c r="L51" i="4"/>
  <c r="L52" i="4"/>
  <c r="L53" i="4"/>
  <c r="L54" i="4"/>
  <c r="L55" i="4"/>
  <c r="L56" i="4"/>
  <c r="L57" i="4"/>
  <c r="L58" i="4"/>
  <c r="L59" i="4"/>
  <c r="L60" i="4"/>
  <c r="L61" i="4"/>
  <c r="L62" i="4"/>
  <c r="L63" i="4"/>
  <c r="L64" i="4"/>
  <c r="L65" i="4"/>
  <c r="L66" i="4"/>
  <c r="L67" i="4"/>
  <c r="L68" i="4"/>
  <c r="L69" i="4"/>
  <c r="L70" i="4"/>
  <c r="L71" i="4"/>
  <c r="L72" i="4"/>
  <c r="L73" i="4"/>
  <c r="L74" i="4"/>
  <c r="L75" i="4"/>
  <c r="L76" i="4"/>
  <c r="L77" i="4"/>
  <c r="L78" i="4"/>
  <c r="L79" i="4"/>
  <c r="L80" i="4"/>
  <c r="L81" i="4"/>
  <c r="L82" i="4"/>
  <c r="L83" i="4"/>
  <c r="L84" i="4"/>
  <c r="L85" i="4"/>
  <c r="L86" i="4"/>
  <c r="L87" i="4"/>
  <c r="L88" i="4"/>
  <c r="L89" i="4"/>
  <c r="L90" i="4"/>
  <c r="L91" i="4"/>
  <c r="L92" i="4"/>
  <c r="L93" i="4"/>
  <c r="L94" i="4"/>
  <c r="L95" i="4"/>
  <c r="L96" i="4"/>
  <c r="L97" i="4"/>
  <c r="L98" i="4"/>
  <c r="L99" i="4"/>
  <c r="L100" i="4"/>
  <c r="L101" i="4"/>
  <c r="L102" i="4"/>
  <c r="L103" i="4"/>
  <c r="L104" i="4"/>
  <c r="L105" i="4"/>
  <c r="L106" i="4"/>
  <c r="L107" i="4"/>
  <c r="L108" i="4"/>
  <c r="L109" i="4"/>
  <c r="L110" i="4"/>
  <c r="L111" i="4"/>
  <c r="L112" i="4"/>
  <c r="L113" i="4"/>
  <c r="L114" i="4"/>
  <c r="L115" i="4"/>
  <c r="L116" i="4"/>
  <c r="L117" i="4"/>
  <c r="L118" i="4"/>
  <c r="L119" i="4"/>
  <c r="L120" i="4"/>
  <c r="L121" i="4"/>
  <c r="L122" i="4"/>
  <c r="L123" i="4"/>
  <c r="L124" i="4"/>
  <c r="L125" i="4"/>
  <c r="L126" i="4"/>
  <c r="L127" i="4"/>
  <c r="L128" i="4"/>
  <c r="L129" i="4"/>
  <c r="L130" i="4"/>
  <c r="L131" i="4"/>
  <c r="L132" i="4"/>
  <c r="L133" i="4"/>
  <c r="L134" i="4"/>
  <c r="L135" i="4"/>
  <c r="L136" i="4"/>
  <c r="L137" i="4"/>
  <c r="L138" i="4"/>
  <c r="L139" i="4"/>
  <c r="L140" i="4"/>
  <c r="L141" i="4"/>
  <c r="L142" i="4"/>
  <c r="L143" i="4"/>
  <c r="L144" i="4"/>
  <c r="L145" i="4"/>
  <c r="L146" i="4"/>
  <c r="L147" i="4"/>
  <c r="L148" i="4"/>
  <c r="L149" i="4"/>
  <c r="L150" i="4"/>
  <c r="L151" i="4"/>
  <c r="L152" i="4"/>
  <c r="L153" i="4"/>
  <c r="L154" i="4"/>
  <c r="L155" i="4"/>
  <c r="L156" i="4"/>
  <c r="L157" i="4"/>
  <c r="L158" i="4"/>
  <c r="L159" i="4"/>
  <c r="L160" i="4"/>
  <c r="L161" i="4"/>
  <c r="L162" i="4"/>
  <c r="L163" i="4"/>
  <c r="L164" i="4"/>
  <c r="L165" i="4"/>
  <c r="L166" i="4"/>
  <c r="L167" i="4"/>
  <c r="L168" i="4"/>
  <c r="L169" i="4"/>
  <c r="L170" i="4"/>
  <c r="L171" i="4"/>
  <c r="L172" i="4"/>
  <c r="L173" i="4"/>
  <c r="L174" i="4"/>
  <c r="L175" i="4"/>
  <c r="L176" i="4"/>
  <c r="L177" i="4"/>
  <c r="L178" i="4"/>
  <c r="L179" i="4"/>
  <c r="L180" i="4"/>
  <c r="L181" i="4"/>
  <c r="L182" i="4"/>
  <c r="L183" i="4"/>
  <c r="L184" i="4"/>
  <c r="L185" i="4"/>
  <c r="L186" i="4"/>
  <c r="L187" i="4"/>
  <c r="L188" i="4"/>
  <c r="L189" i="4"/>
  <c r="L190" i="4"/>
  <c r="L191" i="4"/>
  <c r="L192" i="4"/>
  <c r="L193" i="4"/>
  <c r="L194" i="4"/>
  <c r="L195" i="4"/>
  <c r="L196" i="4"/>
  <c r="L197" i="4"/>
  <c r="L198" i="4"/>
  <c r="L199" i="4"/>
  <c r="L200" i="4"/>
  <c r="L201" i="4"/>
  <c r="L202" i="4"/>
  <c r="L203" i="4"/>
  <c r="L204" i="4"/>
  <c r="L205" i="4"/>
  <c r="L206" i="4"/>
  <c r="L207" i="4"/>
  <c r="L208" i="4"/>
  <c r="L209" i="4"/>
  <c r="L210" i="4"/>
  <c r="L211" i="4"/>
  <c r="L212" i="4"/>
  <c r="L213" i="4"/>
  <c r="L214" i="4"/>
  <c r="L215" i="4"/>
  <c r="L216" i="4"/>
  <c r="L217" i="4"/>
  <c r="L218" i="4"/>
  <c r="L219" i="4"/>
  <c r="L220" i="4"/>
  <c r="L221" i="4"/>
  <c r="L222" i="4"/>
  <c r="L223" i="4"/>
  <c r="L224" i="4"/>
  <c r="L225" i="4"/>
  <c r="L226" i="4"/>
  <c r="L227" i="4"/>
  <c r="L228" i="4"/>
  <c r="L229" i="4"/>
  <c r="L230" i="4"/>
  <c r="L231" i="4"/>
  <c r="L232" i="4"/>
  <c r="L233" i="4"/>
  <c r="L234" i="4"/>
  <c r="L235" i="4"/>
  <c r="L236" i="4"/>
  <c r="L237" i="4"/>
  <c r="L238" i="4"/>
  <c r="L239" i="4"/>
  <c r="L240" i="4"/>
  <c r="L241" i="4"/>
  <c r="L242" i="4"/>
  <c r="L243" i="4"/>
  <c r="L244" i="4"/>
  <c r="L245" i="4"/>
  <c r="L246" i="4"/>
  <c r="L247" i="4"/>
  <c r="L248" i="4"/>
  <c r="L249" i="4"/>
  <c r="L250" i="4"/>
  <c r="L251" i="4"/>
  <c r="L252" i="4"/>
  <c r="L253" i="4"/>
  <c r="L254" i="4"/>
  <c r="L255" i="4"/>
  <c r="L256" i="4"/>
  <c r="L257" i="4"/>
  <c r="L258" i="4"/>
  <c r="L259" i="4"/>
  <c r="L260" i="4"/>
  <c r="L261" i="4"/>
  <c r="L262" i="4"/>
  <c r="L263" i="4"/>
  <c r="L264" i="4"/>
  <c r="L265" i="4"/>
  <c r="L266" i="4"/>
  <c r="L267" i="4"/>
  <c r="L268" i="4"/>
  <c r="L269" i="4"/>
  <c r="L270" i="4"/>
  <c r="L271" i="4"/>
  <c r="L272" i="4"/>
  <c r="L273" i="4"/>
  <c r="L274" i="4"/>
  <c r="L275" i="4"/>
  <c r="L276" i="4"/>
  <c r="L277" i="4"/>
  <c r="L278" i="4"/>
  <c r="L279" i="4"/>
  <c r="L280" i="4"/>
  <c r="L281" i="4"/>
  <c r="L282" i="4"/>
  <c r="L283" i="4"/>
  <c r="L284" i="4"/>
  <c r="L285" i="4"/>
  <c r="L286" i="4"/>
  <c r="L287" i="4"/>
  <c r="L288" i="4"/>
  <c r="L289" i="4"/>
  <c r="L290" i="4"/>
  <c r="L291" i="4"/>
  <c r="L292" i="4"/>
  <c r="L293" i="4"/>
  <c r="L294" i="4"/>
  <c r="L295" i="4"/>
  <c r="L296" i="4"/>
  <c r="L297" i="4"/>
  <c r="L298" i="4"/>
  <c r="L299" i="4"/>
  <c r="L300" i="4"/>
  <c r="L301" i="4"/>
  <c r="L302" i="4"/>
  <c r="L303" i="4"/>
  <c r="L304" i="4"/>
  <c r="L305" i="4"/>
  <c r="L306" i="4"/>
  <c r="L307" i="4"/>
  <c r="L308" i="4"/>
  <c r="L309" i="4"/>
  <c r="L310" i="4"/>
  <c r="L311" i="4"/>
  <c r="L312" i="4"/>
  <c r="L313" i="4"/>
  <c r="L314" i="4"/>
  <c r="L315" i="4"/>
  <c r="L316" i="4"/>
  <c r="L317" i="4"/>
  <c r="L318" i="4"/>
  <c r="L319" i="4"/>
  <c r="L320" i="4"/>
  <c r="L321" i="4"/>
  <c r="L322" i="4"/>
  <c r="L323" i="4"/>
  <c r="L324" i="4"/>
  <c r="L325" i="4"/>
  <c r="L326" i="4"/>
  <c r="L327" i="4"/>
  <c r="L328" i="4"/>
  <c r="L329" i="4"/>
  <c r="L330" i="4"/>
  <c r="L331" i="4"/>
  <c r="L332" i="4"/>
  <c r="L333" i="4"/>
  <c r="L334" i="4"/>
  <c r="L335" i="4"/>
  <c r="L336" i="4"/>
  <c r="L337" i="4"/>
  <c r="L338" i="4"/>
  <c r="L339" i="4"/>
  <c r="L340" i="4"/>
  <c r="L341" i="4"/>
  <c r="L342" i="4"/>
  <c r="L343" i="4"/>
  <c r="L344" i="4"/>
  <c r="L345" i="4"/>
  <c r="L346" i="4"/>
  <c r="L347" i="4"/>
  <c r="L348" i="4"/>
  <c r="L349" i="4"/>
  <c r="L350" i="4"/>
  <c r="L351" i="4"/>
  <c r="L352" i="4"/>
  <c r="L353" i="4"/>
  <c r="L354" i="4"/>
  <c r="L355" i="4"/>
  <c r="L356" i="4"/>
  <c r="L357" i="4"/>
  <c r="L358" i="4"/>
  <c r="L359" i="4"/>
  <c r="L360" i="4"/>
  <c r="L361" i="4"/>
  <c r="L362" i="4"/>
  <c r="L363" i="4"/>
  <c r="L364" i="4"/>
  <c r="L365" i="4"/>
  <c r="L366" i="4"/>
  <c r="L367" i="4"/>
  <c r="L368" i="4"/>
  <c r="L369" i="4"/>
  <c r="L370" i="4"/>
  <c r="L371" i="4"/>
  <c r="L372" i="4"/>
  <c r="L373" i="4"/>
  <c r="L374" i="4"/>
  <c r="L375" i="4"/>
  <c r="L376" i="4"/>
  <c r="L377" i="4"/>
  <c r="L378" i="4"/>
  <c r="L379" i="4"/>
  <c r="L380" i="4"/>
  <c r="L381" i="4"/>
  <c r="L382" i="4"/>
  <c r="L383" i="4"/>
  <c r="L384" i="4"/>
  <c r="L385" i="4"/>
  <c r="L386" i="4"/>
  <c r="L387" i="4"/>
  <c r="L388" i="4"/>
  <c r="L389" i="4"/>
  <c r="L390" i="4"/>
  <c r="L391" i="4"/>
  <c r="L392" i="4"/>
  <c r="L393" i="4"/>
  <c r="L394" i="4"/>
  <c r="L395" i="4"/>
  <c r="L396" i="4"/>
  <c r="L397" i="4"/>
  <c r="L398" i="4"/>
  <c r="L399" i="4"/>
  <c r="L400" i="4"/>
  <c r="L401" i="4"/>
  <c r="L402" i="4"/>
  <c r="L403" i="4"/>
  <c r="L404" i="4"/>
  <c r="L405" i="4"/>
  <c r="L406" i="4"/>
  <c r="L407" i="4"/>
  <c r="L408" i="4"/>
  <c r="L409" i="4"/>
  <c r="L410" i="4"/>
  <c r="L411" i="4"/>
  <c r="L412" i="4"/>
  <c r="L413" i="4"/>
  <c r="L414" i="4"/>
  <c r="L415" i="4"/>
  <c r="L416" i="4"/>
  <c r="L417" i="4"/>
  <c r="L418" i="4"/>
  <c r="L419" i="4"/>
  <c r="L420" i="4"/>
  <c r="L421" i="4"/>
  <c r="L422" i="4"/>
  <c r="L423" i="4"/>
  <c r="L424" i="4"/>
  <c r="L425" i="4"/>
  <c r="L426" i="4"/>
  <c r="L427" i="4"/>
  <c r="L428" i="4"/>
  <c r="L429" i="4"/>
  <c r="L430" i="4"/>
  <c r="L431" i="4"/>
  <c r="L432" i="4"/>
  <c r="L433" i="4"/>
  <c r="L434" i="4"/>
  <c r="L435" i="4"/>
  <c r="L436" i="4"/>
  <c r="L437" i="4"/>
  <c r="L438" i="4"/>
  <c r="L439" i="4"/>
  <c r="L440" i="4"/>
  <c r="L441" i="4"/>
  <c r="L442" i="4"/>
  <c r="L443" i="4"/>
  <c r="L444" i="4"/>
  <c r="L445" i="4"/>
  <c r="L446" i="4"/>
  <c r="L447" i="4"/>
  <c r="L448" i="4"/>
  <c r="L449" i="4"/>
  <c r="L450" i="4"/>
  <c r="L451" i="4"/>
  <c r="L452" i="4"/>
  <c r="L453" i="4"/>
  <c r="L454" i="4"/>
  <c r="L455" i="4"/>
  <c r="L456" i="4"/>
  <c r="L457" i="4"/>
  <c r="L458" i="4"/>
  <c r="L459" i="4"/>
  <c r="L460" i="4"/>
  <c r="L461" i="4"/>
  <c r="L462" i="4"/>
  <c r="L463" i="4"/>
  <c r="L464" i="4"/>
  <c r="L465" i="4"/>
  <c r="L466" i="4"/>
  <c r="L467" i="4"/>
  <c r="L468" i="4"/>
  <c r="L469" i="4"/>
  <c r="L470" i="4"/>
  <c r="L471" i="4"/>
  <c r="L472" i="4"/>
  <c r="L473" i="4"/>
  <c r="L474" i="4"/>
  <c r="L475" i="4"/>
  <c r="L476" i="4"/>
  <c r="L477" i="4"/>
  <c r="L478" i="4"/>
  <c r="L479" i="4"/>
  <c r="L480" i="4"/>
  <c r="L481" i="4"/>
  <c r="L482" i="4"/>
  <c r="L483" i="4"/>
  <c r="L484" i="4"/>
  <c r="L485" i="4"/>
  <c r="L486" i="4"/>
  <c r="L487" i="4"/>
  <c r="L488" i="4"/>
  <c r="L489" i="4"/>
  <c r="L490" i="4"/>
  <c r="L491" i="4"/>
  <c r="L492" i="4"/>
  <c r="L493" i="4"/>
  <c r="L494" i="4"/>
  <c r="L495" i="4"/>
  <c r="L496" i="4"/>
  <c r="L497" i="4"/>
  <c r="L498" i="4"/>
  <c r="L499" i="4"/>
  <c r="L500" i="4"/>
  <c r="L501" i="4"/>
  <c r="L502" i="4"/>
  <c r="L503" i="4"/>
  <c r="L504" i="4"/>
  <c r="L505" i="4"/>
  <c r="L506" i="4"/>
  <c r="L507" i="4"/>
  <c r="L508" i="4"/>
  <c r="L509" i="4"/>
  <c r="L510" i="4"/>
  <c r="L511" i="4"/>
  <c r="L512" i="4"/>
  <c r="L513" i="4"/>
  <c r="L514" i="4"/>
  <c r="L515" i="4"/>
  <c r="L516" i="4"/>
  <c r="L517" i="4"/>
  <c r="L518" i="4"/>
  <c r="L519" i="4"/>
  <c r="L520" i="4"/>
  <c r="L521" i="4"/>
  <c r="L522" i="4"/>
  <c r="L523" i="4"/>
  <c r="L524" i="4"/>
  <c r="L525" i="4"/>
  <c r="L526" i="4"/>
  <c r="L527" i="4"/>
  <c r="L528" i="4"/>
  <c r="L529" i="4"/>
  <c r="L530" i="4"/>
  <c r="L531" i="4"/>
  <c r="L532" i="4"/>
  <c r="L533" i="4"/>
  <c r="L534" i="4"/>
  <c r="L535" i="4"/>
  <c r="L536" i="4"/>
  <c r="L537" i="4"/>
  <c r="L538" i="4"/>
  <c r="L539" i="4"/>
  <c r="L540" i="4"/>
  <c r="L541" i="4"/>
  <c r="L542" i="4"/>
  <c r="L543" i="4"/>
  <c r="L544" i="4"/>
  <c r="L545" i="4"/>
  <c r="L546" i="4"/>
  <c r="L547" i="4"/>
  <c r="L548" i="4"/>
  <c r="L549" i="4"/>
  <c r="L550" i="4"/>
  <c r="L551" i="4"/>
  <c r="L552" i="4"/>
  <c r="L553" i="4"/>
  <c r="L554" i="4"/>
  <c r="L555" i="4"/>
  <c r="L556" i="4"/>
  <c r="L557" i="4"/>
  <c r="L558" i="4"/>
  <c r="L559" i="4"/>
  <c r="L560" i="4"/>
  <c r="L561" i="4"/>
  <c r="L562" i="4"/>
  <c r="L563" i="4"/>
  <c r="L564" i="4"/>
  <c r="L565" i="4"/>
  <c r="L566" i="4"/>
  <c r="L567" i="4"/>
  <c r="L568" i="4"/>
  <c r="L569" i="4"/>
  <c r="L570" i="4"/>
  <c r="L571" i="4"/>
  <c r="L572" i="4"/>
  <c r="L573" i="4"/>
  <c r="L574" i="4"/>
  <c r="L575" i="4"/>
  <c r="L576" i="4"/>
  <c r="L577" i="4"/>
  <c r="L578" i="4"/>
  <c r="L579" i="4"/>
  <c r="L580" i="4"/>
  <c r="L581" i="4"/>
  <c r="L582" i="4"/>
  <c r="L583" i="4"/>
  <c r="L584" i="4"/>
  <c r="L585" i="4"/>
  <c r="L586" i="4"/>
  <c r="L587" i="4"/>
  <c r="L588" i="4"/>
  <c r="L589" i="4"/>
  <c r="L590" i="4"/>
  <c r="L591" i="4"/>
  <c r="L592" i="4"/>
  <c r="L593" i="4"/>
  <c r="L594" i="4"/>
  <c r="L595" i="4"/>
  <c r="L596" i="4"/>
  <c r="L597" i="4"/>
  <c r="L598" i="4"/>
  <c r="L599" i="4"/>
  <c r="L600" i="4"/>
  <c r="L601" i="4"/>
  <c r="L602" i="4"/>
  <c r="L603" i="4"/>
  <c r="L604" i="4"/>
  <c r="L605" i="4"/>
  <c r="L606" i="4"/>
  <c r="L607" i="4"/>
  <c r="L608" i="4"/>
  <c r="L609" i="4"/>
  <c r="L610" i="4"/>
  <c r="L611" i="4"/>
  <c r="L612" i="4"/>
  <c r="L613" i="4"/>
  <c r="L614" i="4"/>
  <c r="L615" i="4"/>
  <c r="L616" i="4"/>
  <c r="L617" i="4"/>
  <c r="L618" i="4"/>
  <c r="L619" i="4"/>
  <c r="L620" i="4"/>
  <c r="L621" i="4"/>
  <c r="L622" i="4"/>
  <c r="L623" i="4"/>
  <c r="L624" i="4"/>
  <c r="L625" i="4"/>
  <c r="L626" i="4"/>
  <c r="L627" i="4"/>
  <c r="L628" i="4"/>
  <c r="L629" i="4"/>
  <c r="L630" i="4"/>
  <c r="L631" i="4"/>
  <c r="L632" i="4"/>
  <c r="L633" i="4"/>
  <c r="L634" i="4"/>
  <c r="L635" i="4"/>
  <c r="L636" i="4"/>
  <c r="L637" i="4"/>
  <c r="L638" i="4"/>
  <c r="L639" i="4"/>
  <c r="L640" i="4"/>
  <c r="L641" i="4"/>
  <c r="L642" i="4"/>
  <c r="L643" i="4"/>
  <c r="L644" i="4"/>
  <c r="L645" i="4"/>
  <c r="L646" i="4"/>
  <c r="L647" i="4"/>
  <c r="L648" i="4"/>
  <c r="L649" i="4"/>
  <c r="L650" i="4"/>
  <c r="L651" i="4"/>
  <c r="L652" i="4"/>
  <c r="L653" i="4"/>
  <c r="L654" i="4"/>
  <c r="L655" i="4"/>
  <c r="L656" i="4"/>
  <c r="L657" i="4"/>
  <c r="L658" i="4"/>
  <c r="L659" i="4"/>
  <c r="L660" i="4"/>
  <c r="L661" i="4"/>
  <c r="L662" i="4"/>
  <c r="L663" i="4"/>
  <c r="L664" i="4"/>
  <c r="L665" i="4"/>
  <c r="L666" i="4"/>
  <c r="L667" i="4"/>
  <c r="L668" i="4"/>
  <c r="L669" i="4"/>
  <c r="L670" i="4"/>
  <c r="L671" i="4"/>
  <c r="L672" i="4"/>
  <c r="L673" i="4"/>
  <c r="L674" i="4"/>
  <c r="L675" i="4"/>
  <c r="L676" i="4"/>
  <c r="L677" i="4"/>
  <c r="L678" i="4"/>
  <c r="L679" i="4"/>
  <c r="L680" i="4"/>
  <c r="L681" i="4"/>
  <c r="L682" i="4"/>
  <c r="L683" i="4"/>
  <c r="L684" i="4"/>
  <c r="L685" i="4"/>
  <c r="L686" i="4"/>
  <c r="L687" i="4"/>
  <c r="L688" i="4"/>
  <c r="L689" i="4"/>
  <c r="L690" i="4"/>
  <c r="L691" i="4"/>
  <c r="L692" i="4"/>
  <c r="L693" i="4"/>
  <c r="L694" i="4"/>
  <c r="L695" i="4"/>
  <c r="L696" i="4"/>
  <c r="L697" i="4"/>
  <c r="L698" i="4"/>
  <c r="L699" i="4"/>
  <c r="L700" i="4"/>
  <c r="L701" i="4"/>
  <c r="L702" i="4"/>
  <c r="L703" i="4"/>
  <c r="L704" i="4"/>
  <c r="L705" i="4"/>
  <c r="L706" i="4"/>
  <c r="L707" i="4"/>
  <c r="L708" i="4"/>
  <c r="L709" i="4"/>
  <c r="L710" i="4"/>
  <c r="L711" i="4"/>
  <c r="L712" i="4"/>
  <c r="L713" i="4"/>
  <c r="L714" i="4"/>
  <c r="L715" i="4"/>
  <c r="L716" i="4"/>
  <c r="L717" i="4"/>
  <c r="L718" i="4"/>
  <c r="L719" i="4"/>
  <c r="L720" i="4"/>
  <c r="L721" i="4"/>
  <c r="L722" i="4"/>
  <c r="L723" i="4"/>
  <c r="L724" i="4"/>
  <c r="L725" i="4"/>
  <c r="L726" i="4"/>
  <c r="L727" i="4"/>
  <c r="L728" i="4"/>
  <c r="L729" i="4"/>
  <c r="L730" i="4"/>
  <c r="L731" i="4"/>
  <c r="L732" i="4"/>
  <c r="L733" i="4"/>
  <c r="L734" i="4"/>
  <c r="L735" i="4"/>
  <c r="L736" i="4"/>
  <c r="L737" i="4"/>
  <c r="L738" i="4"/>
  <c r="L739" i="4"/>
  <c r="L740" i="4"/>
  <c r="L741" i="4"/>
  <c r="L742" i="4"/>
  <c r="L743" i="4"/>
  <c r="L744" i="4"/>
  <c r="L745" i="4"/>
  <c r="L746" i="4"/>
  <c r="L747" i="4"/>
  <c r="L748" i="4"/>
  <c r="L749" i="4"/>
  <c r="L750" i="4"/>
  <c r="L751" i="4"/>
  <c r="L752" i="4"/>
  <c r="L753" i="4"/>
  <c r="L754" i="4"/>
  <c r="L755" i="4"/>
  <c r="L756" i="4"/>
  <c r="L757" i="4"/>
  <c r="L758" i="4"/>
  <c r="L759" i="4"/>
  <c r="L760" i="4"/>
  <c r="L761" i="4"/>
  <c r="L762" i="4"/>
  <c r="L763" i="4"/>
  <c r="L764" i="4"/>
  <c r="L765" i="4"/>
  <c r="L766" i="4"/>
  <c r="L767" i="4"/>
  <c r="L768" i="4"/>
  <c r="L769" i="4"/>
  <c r="L770" i="4"/>
  <c r="L771" i="4"/>
  <c r="L772" i="4"/>
  <c r="L773" i="4"/>
  <c r="L774" i="4"/>
  <c r="L775" i="4"/>
  <c r="L776" i="4"/>
  <c r="L777" i="4"/>
  <c r="L778" i="4"/>
  <c r="L779" i="4"/>
  <c r="L780" i="4"/>
  <c r="L781" i="4"/>
  <c r="L782" i="4"/>
  <c r="L783" i="4"/>
  <c r="L784" i="4"/>
  <c r="L785" i="4"/>
  <c r="L786" i="4"/>
  <c r="L787" i="4"/>
  <c r="L788" i="4"/>
  <c r="L789" i="4"/>
  <c r="L790" i="4"/>
  <c r="L791" i="4"/>
  <c r="L792" i="4"/>
  <c r="L793" i="4"/>
  <c r="L794" i="4"/>
  <c r="L795" i="4"/>
  <c r="L796" i="4"/>
  <c r="L797" i="4"/>
  <c r="L798" i="4"/>
  <c r="L799" i="4"/>
  <c r="L800" i="4"/>
  <c r="L801" i="4"/>
  <c r="L802" i="4"/>
  <c r="L803" i="4"/>
  <c r="L804" i="4"/>
  <c r="L805" i="4"/>
  <c r="L806" i="4"/>
  <c r="L807" i="4"/>
  <c r="L808" i="4"/>
  <c r="L809" i="4"/>
  <c r="L810" i="4"/>
  <c r="L811" i="4"/>
  <c r="L812" i="4"/>
  <c r="L813" i="4"/>
  <c r="L814" i="4"/>
  <c r="L815" i="4"/>
  <c r="L816" i="4"/>
  <c r="L817" i="4"/>
  <c r="L818" i="4"/>
  <c r="L819" i="4"/>
  <c r="L820" i="4"/>
  <c r="L821" i="4"/>
  <c r="L822" i="4"/>
  <c r="L823" i="4"/>
  <c r="L824" i="4"/>
  <c r="L825" i="4"/>
  <c r="L826" i="4"/>
  <c r="L827" i="4"/>
  <c r="L828" i="4"/>
  <c r="L829" i="4"/>
  <c r="L830" i="4"/>
  <c r="L831" i="4"/>
  <c r="L832" i="4"/>
  <c r="L833" i="4"/>
  <c r="L834" i="4"/>
  <c r="L835" i="4"/>
  <c r="L836" i="4"/>
  <c r="L837" i="4"/>
  <c r="L838" i="4"/>
  <c r="L839" i="4"/>
  <c r="L840" i="4"/>
  <c r="L841" i="4"/>
  <c r="L842" i="4"/>
  <c r="L843" i="4"/>
  <c r="L844" i="4"/>
  <c r="L845" i="4"/>
  <c r="L846" i="4"/>
  <c r="L847" i="4"/>
  <c r="L848" i="4"/>
  <c r="L849" i="4"/>
  <c r="L850" i="4"/>
  <c r="L851" i="4"/>
  <c r="L852" i="4"/>
  <c r="L853" i="4"/>
  <c r="L854" i="4"/>
  <c r="L855" i="4"/>
  <c r="L856" i="4"/>
  <c r="L857" i="4"/>
  <c r="L858" i="4"/>
  <c r="L859" i="4"/>
  <c r="L860" i="4"/>
  <c r="L861" i="4"/>
  <c r="L862" i="4"/>
  <c r="L863" i="4"/>
  <c r="L864" i="4"/>
  <c r="L865" i="4"/>
  <c r="L866" i="4"/>
  <c r="L867" i="4"/>
  <c r="L868" i="4"/>
  <c r="L869" i="4"/>
  <c r="L870" i="4"/>
  <c r="L871" i="4"/>
  <c r="L872" i="4"/>
  <c r="L873" i="4"/>
  <c r="L874" i="4"/>
  <c r="L875" i="4"/>
  <c r="L876" i="4"/>
  <c r="L877" i="4"/>
  <c r="L878" i="4"/>
  <c r="L879" i="4"/>
  <c r="L880" i="4"/>
  <c r="L881" i="4"/>
  <c r="L882" i="4"/>
  <c r="L883" i="4"/>
  <c r="L884" i="4"/>
  <c r="L885" i="4"/>
  <c r="L886" i="4"/>
  <c r="L887" i="4"/>
  <c r="L888" i="4"/>
  <c r="L889" i="4"/>
  <c r="L890" i="4"/>
  <c r="L891" i="4"/>
  <c r="L892" i="4"/>
  <c r="L893" i="4"/>
  <c r="L894" i="4"/>
  <c r="L895" i="4"/>
  <c r="L896" i="4"/>
  <c r="L897" i="4"/>
  <c r="L898" i="4"/>
  <c r="L899" i="4"/>
  <c r="L900" i="4"/>
  <c r="L901" i="4"/>
  <c r="L902" i="4"/>
  <c r="L903" i="4"/>
  <c r="L904" i="4"/>
  <c r="L905" i="4"/>
  <c r="L906" i="4"/>
  <c r="L907" i="4"/>
  <c r="L908" i="4"/>
  <c r="L909" i="4"/>
  <c r="L910" i="4"/>
  <c r="L911" i="4"/>
  <c r="L912" i="4"/>
  <c r="L913" i="4"/>
  <c r="L914" i="4"/>
  <c r="L915" i="4"/>
  <c r="L916" i="4"/>
  <c r="L917" i="4"/>
  <c r="L918" i="4"/>
  <c r="L919" i="4"/>
  <c r="L920" i="4"/>
  <c r="L921" i="4"/>
  <c r="L922" i="4"/>
  <c r="L923" i="4"/>
  <c r="L924" i="4"/>
  <c r="L925" i="4"/>
  <c r="L926" i="4"/>
  <c r="L927" i="4"/>
  <c r="L928" i="4"/>
  <c r="L929" i="4"/>
  <c r="L930" i="4"/>
  <c r="L931" i="4"/>
  <c r="L932" i="4"/>
  <c r="L933" i="4"/>
  <c r="L934" i="4"/>
  <c r="L935" i="4"/>
  <c r="L936" i="4"/>
  <c r="L937" i="4"/>
  <c r="L938" i="4"/>
  <c r="L939" i="4"/>
  <c r="L940" i="4"/>
  <c r="L941" i="4"/>
  <c r="L942" i="4"/>
  <c r="L943" i="4"/>
  <c r="L944" i="4"/>
  <c r="L945" i="4"/>
  <c r="L946" i="4"/>
  <c r="L947" i="4"/>
  <c r="L948" i="4"/>
  <c r="L949" i="4"/>
  <c r="L950" i="4"/>
  <c r="L951" i="4"/>
  <c r="L952" i="4"/>
  <c r="L953" i="4"/>
  <c r="L954" i="4"/>
  <c r="L955" i="4"/>
  <c r="L956" i="4"/>
  <c r="L957" i="4"/>
  <c r="L958" i="4"/>
  <c r="L959" i="4"/>
  <c r="L960" i="4"/>
  <c r="L961" i="4"/>
  <c r="L962" i="4"/>
  <c r="L963" i="4"/>
  <c r="L964" i="4"/>
  <c r="L965" i="4"/>
  <c r="L966" i="4"/>
  <c r="L967" i="4"/>
  <c r="L968" i="4"/>
  <c r="L969" i="4"/>
  <c r="L970" i="4"/>
  <c r="L971" i="4"/>
  <c r="L972" i="4"/>
  <c r="L973" i="4"/>
  <c r="L974" i="4"/>
  <c r="L975" i="4"/>
  <c r="L976" i="4"/>
  <c r="L977" i="4"/>
  <c r="L978" i="4"/>
  <c r="L979" i="4"/>
  <c r="L980" i="4"/>
  <c r="L981" i="4"/>
  <c r="L982" i="4"/>
  <c r="L983" i="4"/>
  <c r="L984" i="4"/>
  <c r="L985" i="4"/>
  <c r="L986" i="4"/>
  <c r="L987" i="4"/>
  <c r="L988" i="4"/>
  <c r="L989" i="4"/>
  <c r="L990" i="4"/>
  <c r="L991" i="4"/>
  <c r="L992" i="4"/>
  <c r="L993" i="4"/>
  <c r="L994" i="4"/>
  <c r="L995" i="4"/>
  <c r="L996" i="4"/>
  <c r="L997" i="4"/>
  <c r="L998" i="4"/>
  <c r="L999" i="4"/>
  <c r="L1000" i="4"/>
  <c r="L1001" i="4"/>
  <c r="L1002" i="4"/>
  <c r="L1003" i="4"/>
  <c r="L1004" i="4"/>
  <c r="L1005" i="4"/>
  <c r="L1006" i="4"/>
  <c r="L1007" i="4"/>
  <c r="L1008" i="4"/>
  <c r="L1009" i="4"/>
  <c r="L1010" i="4"/>
  <c r="L1011" i="4"/>
  <c r="L1012" i="4"/>
  <c r="L1013" i="4"/>
  <c r="L1014" i="4"/>
  <c r="L1015" i="4"/>
  <c r="L1016" i="4"/>
  <c r="L1017" i="4"/>
  <c r="L1018" i="4"/>
  <c r="L1019" i="4"/>
  <c r="L1020" i="4"/>
  <c r="L1021" i="4"/>
  <c r="L1022" i="4"/>
  <c r="L1023" i="4"/>
  <c r="L1024" i="4"/>
  <c r="L1025" i="4"/>
  <c r="L1026" i="4"/>
  <c r="L1027" i="4"/>
  <c r="L1028" i="4"/>
  <c r="L1029" i="4"/>
  <c r="L1030" i="4"/>
  <c r="L1031" i="4"/>
  <c r="L1032" i="4"/>
  <c r="L1033" i="4"/>
  <c r="L1034" i="4"/>
  <c r="L1035" i="4"/>
  <c r="L1036" i="4"/>
  <c r="L1037" i="4"/>
  <c r="L1038" i="4"/>
  <c r="L1039" i="4"/>
  <c r="L1040" i="4"/>
  <c r="L1041" i="4"/>
  <c r="L1042" i="4"/>
  <c r="L1043" i="4"/>
  <c r="L1044" i="4"/>
  <c r="L1045" i="4"/>
  <c r="L1046" i="4"/>
  <c r="L1047" i="4"/>
  <c r="L1048" i="4"/>
  <c r="L1049" i="4"/>
  <c r="L1050" i="4"/>
  <c r="L1051" i="4"/>
  <c r="L1052" i="4"/>
  <c r="L1053" i="4"/>
  <c r="L1054" i="4"/>
  <c r="L1055" i="4"/>
  <c r="L1056" i="4"/>
  <c r="L1057" i="4"/>
  <c r="L1058" i="4"/>
  <c r="L1059" i="4"/>
  <c r="L1060" i="4"/>
  <c r="L1061" i="4"/>
  <c r="L1062" i="4"/>
  <c r="L1063" i="4"/>
  <c r="L1064" i="4"/>
  <c r="L1065" i="4"/>
  <c r="L1066" i="4"/>
  <c r="L1067" i="4"/>
  <c r="L1068" i="4"/>
  <c r="L1069" i="4"/>
  <c r="L1070" i="4"/>
  <c r="L1071" i="4"/>
  <c r="L1072" i="4"/>
  <c r="L1073" i="4"/>
  <c r="L1074" i="4"/>
  <c r="L1075" i="4"/>
  <c r="L1076" i="4"/>
  <c r="L1077" i="4"/>
  <c r="L1078" i="4"/>
  <c r="L1079" i="4"/>
  <c r="L1080" i="4"/>
  <c r="L1081" i="4"/>
  <c r="L1082" i="4"/>
  <c r="L1083" i="4"/>
  <c r="L1084" i="4"/>
  <c r="L1085" i="4"/>
  <c r="L1086" i="4"/>
  <c r="L1087" i="4"/>
  <c r="L1088" i="4"/>
  <c r="L1089" i="4"/>
  <c r="L1090" i="4"/>
  <c r="L1091" i="4"/>
  <c r="L1092" i="4"/>
  <c r="L1093" i="4"/>
  <c r="L1094" i="4"/>
  <c r="L1095" i="4"/>
  <c r="L1096" i="4"/>
  <c r="L1097" i="4"/>
  <c r="L1098" i="4"/>
  <c r="L1099" i="4"/>
  <c r="L1100" i="4"/>
  <c r="L1101" i="4"/>
  <c r="L1102" i="4"/>
  <c r="L1103" i="4"/>
  <c r="L1104" i="4"/>
  <c r="L1105" i="4"/>
  <c r="L1106" i="4"/>
  <c r="L1107" i="4"/>
  <c r="L1108" i="4"/>
  <c r="L1109" i="4"/>
  <c r="L1110" i="4"/>
  <c r="L1111" i="4"/>
  <c r="L1112" i="4"/>
  <c r="L1113" i="4"/>
  <c r="L1114" i="4"/>
  <c r="L1115" i="4"/>
  <c r="L1116" i="4"/>
  <c r="L1117" i="4"/>
  <c r="L1118" i="4"/>
  <c r="L1119" i="4"/>
  <c r="L1120" i="4"/>
  <c r="L1121" i="4"/>
  <c r="L1122" i="4"/>
  <c r="L1123" i="4"/>
  <c r="L1124" i="4"/>
  <c r="L1125" i="4"/>
  <c r="L1126" i="4"/>
  <c r="L1127" i="4"/>
  <c r="L1128" i="4"/>
  <c r="L1129" i="4"/>
  <c r="L1130" i="4"/>
  <c r="L1131" i="4"/>
  <c r="L1132" i="4"/>
  <c r="L1133" i="4"/>
  <c r="L1134" i="4"/>
  <c r="L1135" i="4"/>
  <c r="L1136" i="4"/>
  <c r="L1137" i="4"/>
  <c r="L1138" i="4"/>
  <c r="L1139" i="4"/>
  <c r="L1140" i="4"/>
  <c r="L1141" i="4"/>
  <c r="L1142" i="4"/>
  <c r="L1143" i="4"/>
  <c r="L1144" i="4"/>
  <c r="L1145" i="4"/>
  <c r="L1146" i="4"/>
  <c r="L1147" i="4"/>
  <c r="L1148" i="4"/>
  <c r="L1149" i="4"/>
  <c r="L1150" i="4"/>
  <c r="L1151" i="4"/>
  <c r="L1152" i="4"/>
  <c r="L1153" i="4"/>
  <c r="L1154" i="4"/>
  <c r="L1155" i="4"/>
  <c r="L1156" i="4"/>
  <c r="L1157" i="4"/>
  <c r="L1158" i="4"/>
  <c r="L1159" i="4"/>
  <c r="L1160" i="4"/>
  <c r="L1161" i="4"/>
  <c r="L1162" i="4"/>
  <c r="L1163" i="4"/>
  <c r="L1164" i="4"/>
  <c r="L1165" i="4"/>
  <c r="L1166" i="4"/>
  <c r="L1167" i="4"/>
  <c r="L1168" i="4"/>
  <c r="L1169" i="4"/>
  <c r="L1170" i="4"/>
  <c r="L1171" i="4"/>
  <c r="L1172" i="4"/>
  <c r="L1173" i="4"/>
  <c r="L1174" i="4"/>
  <c r="L1175" i="4"/>
  <c r="L1176" i="4"/>
  <c r="L1177" i="4"/>
  <c r="L1178" i="4"/>
  <c r="L1179" i="4"/>
  <c r="L1180" i="4"/>
  <c r="L1181" i="4"/>
  <c r="L1182" i="4"/>
  <c r="L1183" i="4"/>
  <c r="L1184" i="4"/>
  <c r="L1185" i="4"/>
  <c r="L1186" i="4"/>
  <c r="L1187" i="4"/>
  <c r="L1188" i="4"/>
  <c r="L1189" i="4"/>
  <c r="L1190" i="4"/>
  <c r="L1191" i="4"/>
  <c r="L1192" i="4"/>
  <c r="L1193" i="4"/>
  <c r="L1194" i="4"/>
  <c r="L1195" i="4"/>
  <c r="L1196" i="4"/>
  <c r="L1197" i="4"/>
  <c r="L1198" i="4"/>
  <c r="L1199" i="4"/>
  <c r="L1200" i="4"/>
  <c r="L1201" i="4"/>
  <c r="L1202" i="4"/>
  <c r="L1203" i="4"/>
  <c r="L1204" i="4"/>
  <c r="L1205" i="4"/>
  <c r="L1206" i="4"/>
  <c r="L1207" i="4"/>
  <c r="L1208" i="4"/>
  <c r="L1209" i="4"/>
  <c r="L1210" i="4"/>
  <c r="L1211" i="4"/>
  <c r="L1212" i="4"/>
  <c r="L1213" i="4"/>
  <c r="L1214" i="4"/>
  <c r="L1215" i="4"/>
  <c r="L1216" i="4"/>
  <c r="L1217" i="4"/>
  <c r="L1218" i="4"/>
  <c r="L1219" i="4"/>
  <c r="L1220" i="4"/>
  <c r="L1221" i="4"/>
  <c r="L1222" i="4"/>
  <c r="L1223" i="4"/>
  <c r="L1224" i="4"/>
  <c r="L1225" i="4"/>
  <c r="L1226" i="4"/>
  <c r="L1227" i="4"/>
  <c r="L1228" i="4"/>
  <c r="L1229" i="4"/>
  <c r="L1230" i="4"/>
  <c r="L1231" i="4"/>
  <c r="L1232" i="4"/>
  <c r="L1233" i="4"/>
  <c r="L1234" i="4"/>
  <c r="L1235" i="4"/>
  <c r="L1236" i="4"/>
  <c r="L1237" i="4"/>
  <c r="L1238" i="4"/>
  <c r="L1239" i="4"/>
  <c r="L1240" i="4"/>
  <c r="L1241" i="4"/>
  <c r="L1242" i="4"/>
  <c r="L1243" i="4"/>
  <c r="L1244" i="4"/>
  <c r="L1245" i="4"/>
  <c r="L1246" i="4"/>
  <c r="L1247" i="4"/>
  <c r="L1248" i="4"/>
  <c r="L1249" i="4"/>
  <c r="L1250" i="4"/>
  <c r="L1251" i="4"/>
  <c r="L1252" i="4"/>
  <c r="L1253" i="4"/>
  <c r="L1254" i="4"/>
  <c r="L1255" i="4"/>
  <c r="L1256" i="4"/>
  <c r="L1257" i="4"/>
  <c r="L1258" i="4"/>
  <c r="L1259" i="4"/>
  <c r="L1260" i="4"/>
  <c r="L1261" i="4"/>
  <c r="L1262" i="4"/>
  <c r="L1263" i="4"/>
  <c r="L1264" i="4"/>
  <c r="L1265" i="4"/>
  <c r="L1266" i="4"/>
  <c r="L1267" i="4"/>
  <c r="L1268" i="4"/>
  <c r="L1269" i="4"/>
  <c r="L1270" i="4"/>
  <c r="L1271" i="4"/>
  <c r="L1272" i="4"/>
  <c r="L1273" i="4"/>
  <c r="L1274" i="4"/>
  <c r="L1275" i="4"/>
  <c r="L1276" i="4"/>
  <c r="L1277" i="4"/>
  <c r="L1278" i="4"/>
  <c r="L1279" i="4"/>
  <c r="L1280" i="4"/>
  <c r="L1281" i="4"/>
  <c r="L1282" i="4"/>
  <c r="L1283" i="4"/>
  <c r="L1284" i="4"/>
  <c r="L1285" i="4"/>
  <c r="L1286" i="4"/>
  <c r="L1287" i="4"/>
  <c r="L1288" i="4"/>
  <c r="L1289" i="4"/>
  <c r="L1290" i="4"/>
  <c r="L1291" i="4"/>
  <c r="L1292" i="4"/>
  <c r="L1293" i="4"/>
  <c r="L1294" i="4"/>
  <c r="L1295" i="4"/>
  <c r="L1296" i="4"/>
  <c r="L1297" i="4"/>
  <c r="L1298" i="4"/>
  <c r="L1299" i="4"/>
  <c r="L1300" i="4"/>
  <c r="L1301" i="4"/>
  <c r="L1302" i="4"/>
  <c r="L1303" i="4"/>
  <c r="L1304" i="4"/>
  <c r="L1305" i="4"/>
  <c r="L1306" i="4"/>
  <c r="L1307" i="4"/>
  <c r="L1308" i="4"/>
  <c r="L1309" i="4"/>
  <c r="L1310" i="4"/>
  <c r="L1311" i="4"/>
  <c r="L1312" i="4"/>
  <c r="L1313" i="4"/>
  <c r="L1314" i="4"/>
  <c r="L1315" i="4"/>
  <c r="L1316" i="4"/>
  <c r="L1317" i="4"/>
  <c r="L1318" i="4"/>
  <c r="L1319" i="4"/>
  <c r="L1320" i="4"/>
  <c r="L1321" i="4"/>
  <c r="L1322" i="4"/>
  <c r="L1323" i="4"/>
  <c r="L1324" i="4"/>
  <c r="L1325" i="4"/>
  <c r="L1326" i="4"/>
  <c r="L1327" i="4"/>
  <c r="L1328" i="4"/>
  <c r="L1329" i="4"/>
  <c r="L1330" i="4"/>
  <c r="L1331" i="4"/>
  <c r="L1332" i="4"/>
  <c r="L1333" i="4"/>
  <c r="L1334" i="4"/>
  <c r="L1335" i="4"/>
  <c r="L1336" i="4"/>
  <c r="L1337" i="4"/>
  <c r="L1338" i="4"/>
  <c r="L1339" i="4"/>
  <c r="L1340" i="4"/>
  <c r="L1341" i="4"/>
  <c r="L1342" i="4"/>
  <c r="L5" i="4"/>
  <c r="N9" i="4" s="1"/>
  <c r="N12" i="4" s="1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2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8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2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0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29" i="4"/>
  <c r="B230" i="4"/>
  <c r="B231" i="4"/>
  <c r="B232" i="4"/>
  <c r="B233" i="4"/>
  <c r="B234" i="4"/>
  <c r="B235" i="4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249" i="4"/>
  <c r="B250" i="4"/>
  <c r="B251" i="4"/>
  <c r="B252" i="4"/>
  <c r="B253" i="4"/>
  <c r="B254" i="4"/>
  <c r="B255" i="4"/>
  <c r="B256" i="4"/>
  <c r="B257" i="4"/>
  <c r="B258" i="4"/>
  <c r="B259" i="4"/>
  <c r="B260" i="4"/>
  <c r="B261" i="4"/>
  <c r="B262" i="4"/>
  <c r="B263" i="4"/>
  <c r="B264" i="4"/>
  <c r="B265" i="4"/>
  <c r="B266" i="4"/>
  <c r="B267" i="4"/>
  <c r="B268" i="4"/>
  <c r="B269" i="4"/>
  <c r="B270" i="4"/>
  <c r="B271" i="4"/>
  <c r="B272" i="4"/>
  <c r="B273" i="4"/>
  <c r="B274" i="4"/>
  <c r="B275" i="4"/>
  <c r="B276" i="4"/>
  <c r="B277" i="4"/>
  <c r="B278" i="4"/>
  <c r="B279" i="4"/>
  <c r="B280" i="4"/>
  <c r="B281" i="4"/>
  <c r="B282" i="4"/>
  <c r="B283" i="4"/>
  <c r="B284" i="4"/>
  <c r="B285" i="4"/>
  <c r="B286" i="4"/>
  <c r="B287" i="4"/>
  <c r="B288" i="4"/>
  <c r="B289" i="4"/>
  <c r="B290" i="4"/>
  <c r="B291" i="4"/>
  <c r="B292" i="4"/>
  <c r="B293" i="4"/>
  <c r="B294" i="4"/>
  <c r="B295" i="4"/>
  <c r="B296" i="4"/>
  <c r="B297" i="4"/>
  <c r="B298" i="4"/>
  <c r="B299" i="4"/>
  <c r="B300" i="4"/>
  <c r="B301" i="4"/>
  <c r="B302" i="4"/>
  <c r="B303" i="4"/>
  <c r="B304" i="4"/>
  <c r="B305" i="4"/>
  <c r="B306" i="4"/>
  <c r="B307" i="4"/>
  <c r="B308" i="4"/>
  <c r="B309" i="4"/>
  <c r="B310" i="4"/>
  <c r="B311" i="4"/>
  <c r="B312" i="4"/>
  <c r="B313" i="4"/>
  <c r="B314" i="4"/>
  <c r="B315" i="4"/>
  <c r="B316" i="4"/>
  <c r="B317" i="4"/>
  <c r="B318" i="4"/>
  <c r="B319" i="4"/>
  <c r="B320" i="4"/>
  <c r="B321" i="4"/>
  <c r="B322" i="4"/>
  <c r="B323" i="4"/>
  <c r="B324" i="4"/>
  <c r="B325" i="4"/>
  <c r="B326" i="4"/>
  <c r="B327" i="4"/>
  <c r="B328" i="4"/>
  <c r="B329" i="4"/>
  <c r="B330" i="4"/>
  <c r="B331" i="4"/>
  <c r="B332" i="4"/>
  <c r="B333" i="4"/>
  <c r="B334" i="4"/>
  <c r="B335" i="4"/>
  <c r="B336" i="4"/>
  <c r="B337" i="4"/>
  <c r="B338" i="4"/>
  <c r="B339" i="4"/>
  <c r="B340" i="4"/>
  <c r="B341" i="4"/>
  <c r="B342" i="4"/>
  <c r="B343" i="4"/>
  <c r="B344" i="4"/>
  <c r="B345" i="4"/>
  <c r="B346" i="4"/>
  <c r="B347" i="4"/>
  <c r="B348" i="4"/>
  <c r="B349" i="4"/>
  <c r="B350" i="4"/>
  <c r="B351" i="4"/>
  <c r="B352" i="4"/>
  <c r="B353" i="4"/>
  <c r="B354" i="4"/>
  <c r="B355" i="4"/>
  <c r="B356" i="4"/>
  <c r="B357" i="4"/>
  <c r="B358" i="4"/>
  <c r="B359" i="4"/>
  <c r="B360" i="4"/>
  <c r="B361" i="4"/>
  <c r="B362" i="4"/>
  <c r="B363" i="4"/>
  <c r="B364" i="4"/>
  <c r="B365" i="4"/>
  <c r="B366" i="4"/>
  <c r="B367" i="4"/>
  <c r="B368" i="4"/>
  <c r="B369" i="4"/>
  <c r="B370" i="4"/>
  <c r="B371" i="4"/>
  <c r="B372" i="4"/>
  <c r="B373" i="4"/>
  <c r="B374" i="4"/>
  <c r="B375" i="4"/>
  <c r="B376" i="4"/>
  <c r="B377" i="4"/>
  <c r="B378" i="4"/>
  <c r="B379" i="4"/>
  <c r="B380" i="4"/>
  <c r="B381" i="4"/>
  <c r="B382" i="4"/>
  <c r="B383" i="4"/>
  <c r="B384" i="4"/>
  <c r="B385" i="4"/>
  <c r="B386" i="4"/>
  <c r="B387" i="4"/>
  <c r="B388" i="4"/>
  <c r="B389" i="4"/>
  <c r="B390" i="4"/>
  <c r="B391" i="4"/>
  <c r="B392" i="4"/>
  <c r="B393" i="4"/>
  <c r="B394" i="4"/>
  <c r="B395" i="4"/>
  <c r="B396" i="4"/>
  <c r="B397" i="4"/>
  <c r="B398" i="4"/>
  <c r="B399" i="4"/>
  <c r="B400" i="4"/>
  <c r="B401" i="4"/>
  <c r="B402" i="4"/>
  <c r="B403" i="4"/>
  <c r="B404" i="4"/>
  <c r="B405" i="4"/>
  <c r="B406" i="4"/>
  <c r="B407" i="4"/>
  <c r="B408" i="4"/>
  <c r="B409" i="4"/>
  <c r="B410" i="4"/>
  <c r="B411" i="4"/>
  <c r="B412" i="4"/>
  <c r="B413" i="4"/>
  <c r="B414" i="4"/>
  <c r="B415" i="4"/>
  <c r="B416" i="4"/>
  <c r="B417" i="4"/>
  <c r="B418" i="4"/>
  <c r="B419" i="4"/>
  <c r="B420" i="4"/>
  <c r="B421" i="4"/>
  <c r="B422" i="4"/>
  <c r="B423" i="4"/>
  <c r="B424" i="4"/>
  <c r="B425" i="4"/>
  <c r="B426" i="4"/>
  <c r="B427" i="4"/>
  <c r="B428" i="4"/>
  <c r="B429" i="4"/>
  <c r="B430" i="4"/>
  <c r="B431" i="4"/>
  <c r="B432" i="4"/>
  <c r="B433" i="4"/>
  <c r="B434" i="4"/>
  <c r="B435" i="4"/>
  <c r="B436" i="4"/>
  <c r="B437" i="4"/>
  <c r="B438" i="4"/>
  <c r="B439" i="4"/>
  <c r="B440" i="4"/>
  <c r="B441" i="4"/>
  <c r="B442" i="4"/>
  <c r="B443" i="4"/>
  <c r="B444" i="4"/>
  <c r="B445" i="4"/>
  <c r="B446" i="4"/>
  <c r="B447" i="4"/>
  <c r="B448" i="4"/>
  <c r="B449" i="4"/>
  <c r="B450" i="4"/>
  <c r="B451" i="4"/>
  <c r="B452" i="4"/>
  <c r="B453" i="4"/>
  <c r="B454" i="4"/>
  <c r="B455" i="4"/>
  <c r="B456" i="4"/>
  <c r="B457" i="4"/>
  <c r="B458" i="4"/>
  <c r="B459" i="4"/>
  <c r="B460" i="4"/>
  <c r="B461" i="4"/>
  <c r="B462" i="4"/>
  <c r="B463" i="4"/>
  <c r="B464" i="4"/>
  <c r="B465" i="4"/>
  <c r="B466" i="4"/>
  <c r="B467" i="4"/>
  <c r="B468" i="4"/>
  <c r="B469" i="4"/>
  <c r="B470" i="4"/>
  <c r="B471" i="4"/>
  <c r="B472" i="4"/>
  <c r="B473" i="4"/>
  <c r="B474" i="4"/>
  <c r="B475" i="4"/>
  <c r="B476" i="4"/>
  <c r="B477" i="4"/>
  <c r="B478" i="4"/>
  <c r="B479" i="4"/>
  <c r="B480" i="4"/>
  <c r="B481" i="4"/>
  <c r="B482" i="4"/>
  <c r="B483" i="4"/>
  <c r="B484" i="4"/>
  <c r="B485" i="4"/>
  <c r="B486" i="4"/>
  <c r="B487" i="4"/>
  <c r="B488" i="4"/>
  <c r="B489" i="4"/>
  <c r="B490" i="4"/>
  <c r="B491" i="4"/>
  <c r="B492" i="4"/>
  <c r="B493" i="4"/>
  <c r="B494" i="4"/>
  <c r="B495" i="4"/>
  <c r="B496" i="4"/>
  <c r="B497" i="4"/>
  <c r="B498" i="4"/>
  <c r="B499" i="4"/>
  <c r="B500" i="4"/>
  <c r="B501" i="4"/>
  <c r="B502" i="4"/>
  <c r="B503" i="4"/>
  <c r="B504" i="4"/>
  <c r="B505" i="4"/>
  <c r="B506" i="4"/>
  <c r="B507" i="4"/>
  <c r="B508" i="4"/>
  <c r="B509" i="4"/>
  <c r="B510" i="4"/>
  <c r="B511" i="4"/>
  <c r="B512" i="4"/>
  <c r="B513" i="4"/>
  <c r="B514" i="4"/>
  <c r="B515" i="4"/>
  <c r="B516" i="4"/>
  <c r="B517" i="4"/>
  <c r="B518" i="4"/>
  <c r="B519" i="4"/>
  <c r="B520" i="4"/>
  <c r="B521" i="4"/>
  <c r="B522" i="4"/>
  <c r="B523" i="4"/>
  <c r="B524" i="4"/>
  <c r="B525" i="4"/>
  <c r="B526" i="4"/>
  <c r="B527" i="4"/>
  <c r="B528" i="4"/>
  <c r="B529" i="4"/>
  <c r="B530" i="4"/>
  <c r="B531" i="4"/>
  <c r="B532" i="4"/>
  <c r="B533" i="4"/>
  <c r="B534" i="4"/>
  <c r="B535" i="4"/>
  <c r="B536" i="4"/>
  <c r="B537" i="4"/>
  <c r="B538" i="4"/>
  <c r="B539" i="4"/>
  <c r="B540" i="4"/>
  <c r="B541" i="4"/>
  <c r="B542" i="4"/>
  <c r="B543" i="4"/>
  <c r="B544" i="4"/>
  <c r="B545" i="4"/>
  <c r="B546" i="4"/>
  <c r="B547" i="4"/>
  <c r="B548" i="4"/>
  <c r="B549" i="4"/>
  <c r="B550" i="4"/>
  <c r="B551" i="4"/>
  <c r="B552" i="4"/>
  <c r="B553" i="4"/>
  <c r="B554" i="4"/>
  <c r="B555" i="4"/>
  <c r="B556" i="4"/>
  <c r="B557" i="4"/>
  <c r="B558" i="4"/>
  <c r="B559" i="4"/>
  <c r="B560" i="4"/>
  <c r="B561" i="4"/>
  <c r="B562" i="4"/>
  <c r="B563" i="4"/>
  <c r="B564" i="4"/>
  <c r="B565" i="4"/>
  <c r="B566" i="4"/>
  <c r="B567" i="4"/>
  <c r="B568" i="4"/>
  <c r="B569" i="4"/>
  <c r="B570" i="4"/>
  <c r="B571" i="4"/>
  <c r="B572" i="4"/>
  <c r="B573" i="4"/>
  <c r="B574" i="4"/>
  <c r="B575" i="4"/>
  <c r="B576" i="4"/>
  <c r="B577" i="4"/>
  <c r="B578" i="4"/>
  <c r="B579" i="4"/>
  <c r="B580" i="4"/>
  <c r="B581" i="4"/>
  <c r="B582" i="4"/>
  <c r="B583" i="4"/>
  <c r="B584" i="4"/>
  <c r="B585" i="4"/>
  <c r="B586" i="4"/>
  <c r="B587" i="4"/>
  <c r="B588" i="4"/>
  <c r="B589" i="4"/>
  <c r="B590" i="4"/>
  <c r="B591" i="4"/>
  <c r="B592" i="4"/>
  <c r="B593" i="4"/>
  <c r="B594" i="4"/>
  <c r="B595" i="4"/>
  <c r="B596" i="4"/>
  <c r="B597" i="4"/>
  <c r="B598" i="4"/>
  <c r="B599" i="4"/>
  <c r="B600" i="4"/>
  <c r="B601" i="4"/>
  <c r="B602" i="4"/>
  <c r="B603" i="4"/>
  <c r="B604" i="4"/>
  <c r="B605" i="4"/>
  <c r="B606" i="4"/>
  <c r="B607" i="4"/>
  <c r="B608" i="4"/>
  <c r="B609" i="4"/>
  <c r="B610" i="4"/>
  <c r="B611" i="4"/>
  <c r="B612" i="4"/>
  <c r="B613" i="4"/>
  <c r="B614" i="4"/>
  <c r="B615" i="4"/>
  <c r="B616" i="4"/>
  <c r="B617" i="4"/>
  <c r="B618" i="4"/>
  <c r="B619" i="4"/>
  <c r="B620" i="4"/>
  <c r="B621" i="4"/>
  <c r="B622" i="4"/>
  <c r="B623" i="4"/>
  <c r="B624" i="4"/>
  <c r="B625" i="4"/>
  <c r="B626" i="4"/>
  <c r="B627" i="4"/>
  <c r="B628" i="4"/>
  <c r="B629" i="4"/>
  <c r="B630" i="4"/>
  <c r="B631" i="4"/>
  <c r="B632" i="4"/>
  <c r="B633" i="4"/>
  <c r="B634" i="4"/>
  <c r="B635" i="4"/>
  <c r="B636" i="4"/>
  <c r="B637" i="4"/>
  <c r="B638" i="4"/>
  <c r="B639" i="4"/>
  <c r="B640" i="4"/>
  <c r="B641" i="4"/>
  <c r="B642" i="4"/>
  <c r="B643" i="4"/>
  <c r="B644" i="4"/>
  <c r="B645" i="4"/>
  <c r="B646" i="4"/>
  <c r="B647" i="4"/>
  <c r="B648" i="4"/>
  <c r="B649" i="4"/>
  <c r="B650" i="4"/>
  <c r="B651" i="4"/>
  <c r="B652" i="4"/>
  <c r="B653" i="4"/>
  <c r="B654" i="4"/>
  <c r="B655" i="4"/>
  <c r="B656" i="4"/>
  <c r="B657" i="4"/>
  <c r="B658" i="4"/>
  <c r="B659" i="4"/>
  <c r="B660" i="4"/>
  <c r="B661" i="4"/>
  <c r="B662" i="4"/>
  <c r="B663" i="4"/>
  <c r="B664" i="4"/>
  <c r="B665" i="4"/>
  <c r="B666" i="4"/>
  <c r="B667" i="4"/>
  <c r="B668" i="4"/>
  <c r="B669" i="4"/>
  <c r="B670" i="4"/>
  <c r="B671" i="4"/>
  <c r="B672" i="4"/>
  <c r="B673" i="4"/>
  <c r="B674" i="4"/>
  <c r="B675" i="4"/>
  <c r="B676" i="4"/>
  <c r="B677" i="4"/>
  <c r="B678" i="4"/>
  <c r="B679" i="4"/>
  <c r="B680" i="4"/>
  <c r="B681" i="4"/>
  <c r="B682" i="4"/>
  <c r="B683" i="4"/>
  <c r="B684" i="4"/>
  <c r="B685" i="4"/>
  <c r="B686" i="4"/>
  <c r="B687" i="4"/>
  <c r="B688" i="4"/>
  <c r="B689" i="4"/>
  <c r="B690" i="4"/>
  <c r="B691" i="4"/>
  <c r="B692" i="4"/>
  <c r="B693" i="4"/>
  <c r="B694" i="4"/>
  <c r="B695" i="4"/>
  <c r="B696" i="4"/>
  <c r="B697" i="4"/>
  <c r="B698" i="4"/>
  <c r="B699" i="4"/>
  <c r="B700" i="4"/>
  <c r="B701" i="4"/>
  <c r="B702" i="4"/>
  <c r="B703" i="4"/>
  <c r="B704" i="4"/>
  <c r="B705" i="4"/>
  <c r="B706" i="4"/>
  <c r="B707" i="4"/>
  <c r="B708" i="4"/>
  <c r="B709" i="4"/>
  <c r="B710" i="4"/>
  <c r="B711" i="4"/>
  <c r="B712" i="4"/>
  <c r="B713" i="4"/>
  <c r="B714" i="4"/>
  <c r="B715" i="4"/>
  <c r="B716" i="4"/>
  <c r="B717" i="4"/>
  <c r="B718" i="4"/>
  <c r="B719" i="4"/>
  <c r="B720" i="4"/>
  <c r="B721" i="4"/>
  <c r="B722" i="4"/>
  <c r="B723" i="4"/>
  <c r="B724" i="4"/>
  <c r="B725" i="4"/>
  <c r="B726" i="4"/>
  <c r="B727" i="4"/>
  <c r="B728" i="4"/>
  <c r="B729" i="4"/>
  <c r="B730" i="4"/>
  <c r="B731" i="4"/>
  <c r="B732" i="4"/>
  <c r="B733" i="4"/>
  <c r="B734" i="4"/>
  <c r="B735" i="4"/>
  <c r="B736" i="4"/>
  <c r="B737" i="4"/>
  <c r="B738" i="4"/>
  <c r="B739" i="4"/>
  <c r="B740" i="4"/>
  <c r="B741" i="4"/>
  <c r="B742" i="4"/>
  <c r="B743" i="4"/>
  <c r="B744" i="4"/>
  <c r="B745" i="4"/>
  <c r="B746" i="4"/>
  <c r="B747" i="4"/>
  <c r="B748" i="4"/>
  <c r="B749" i="4"/>
  <c r="B750" i="4"/>
  <c r="B751" i="4"/>
  <c r="B752" i="4"/>
  <c r="B753" i="4"/>
  <c r="B754" i="4"/>
  <c r="B755" i="4"/>
  <c r="B756" i="4"/>
  <c r="B757" i="4"/>
  <c r="B758" i="4"/>
  <c r="B759" i="4"/>
  <c r="B760" i="4"/>
  <c r="B761" i="4"/>
  <c r="B762" i="4"/>
  <c r="B763" i="4"/>
  <c r="B764" i="4"/>
  <c r="B765" i="4"/>
  <c r="B766" i="4"/>
  <c r="B767" i="4"/>
  <c r="B768" i="4"/>
  <c r="B769" i="4"/>
  <c r="B770" i="4"/>
  <c r="B771" i="4"/>
  <c r="B772" i="4"/>
  <c r="B773" i="4"/>
  <c r="B774" i="4"/>
  <c r="B775" i="4"/>
  <c r="B776" i="4"/>
  <c r="B777" i="4"/>
  <c r="B778" i="4"/>
  <c r="B779" i="4"/>
  <c r="B780" i="4"/>
  <c r="B781" i="4"/>
  <c r="B782" i="4"/>
  <c r="B783" i="4"/>
  <c r="B784" i="4"/>
  <c r="B785" i="4"/>
  <c r="B786" i="4"/>
  <c r="B787" i="4"/>
  <c r="B788" i="4"/>
  <c r="B789" i="4"/>
  <c r="B790" i="4"/>
  <c r="B791" i="4"/>
  <c r="B792" i="4"/>
  <c r="B793" i="4"/>
  <c r="B794" i="4"/>
  <c r="B795" i="4"/>
  <c r="B796" i="4"/>
  <c r="B797" i="4"/>
  <c r="B798" i="4"/>
  <c r="B799" i="4"/>
  <c r="B800" i="4"/>
  <c r="B801" i="4"/>
  <c r="B802" i="4"/>
  <c r="B803" i="4"/>
  <c r="B804" i="4"/>
  <c r="B805" i="4"/>
  <c r="B806" i="4"/>
  <c r="B807" i="4"/>
  <c r="B808" i="4"/>
  <c r="B809" i="4"/>
  <c r="B810" i="4"/>
  <c r="B811" i="4"/>
  <c r="B812" i="4"/>
  <c r="B813" i="4"/>
  <c r="B814" i="4"/>
  <c r="B815" i="4"/>
  <c r="B816" i="4"/>
  <c r="B817" i="4"/>
  <c r="B818" i="4"/>
  <c r="B819" i="4"/>
  <c r="B820" i="4"/>
  <c r="B821" i="4"/>
  <c r="B822" i="4"/>
  <c r="B823" i="4"/>
  <c r="B824" i="4"/>
  <c r="B825" i="4"/>
  <c r="B826" i="4"/>
  <c r="B827" i="4"/>
  <c r="B828" i="4"/>
  <c r="B829" i="4"/>
  <c r="B830" i="4"/>
  <c r="B831" i="4"/>
  <c r="B832" i="4"/>
  <c r="B833" i="4"/>
  <c r="B834" i="4"/>
  <c r="B835" i="4"/>
  <c r="B836" i="4"/>
  <c r="B837" i="4"/>
  <c r="B838" i="4"/>
  <c r="B839" i="4"/>
  <c r="B840" i="4"/>
  <c r="B841" i="4"/>
  <c r="B842" i="4"/>
  <c r="B843" i="4"/>
  <c r="B844" i="4"/>
  <c r="B845" i="4"/>
  <c r="B846" i="4"/>
  <c r="B847" i="4"/>
  <c r="B848" i="4"/>
  <c r="B849" i="4"/>
  <c r="B850" i="4"/>
  <c r="B851" i="4"/>
  <c r="B852" i="4"/>
  <c r="B853" i="4"/>
  <c r="B854" i="4"/>
  <c r="B855" i="4"/>
  <c r="B856" i="4"/>
  <c r="B857" i="4"/>
  <c r="B858" i="4"/>
  <c r="B859" i="4"/>
  <c r="B860" i="4"/>
  <c r="B861" i="4"/>
  <c r="B862" i="4"/>
  <c r="B863" i="4"/>
  <c r="B864" i="4"/>
  <c r="B865" i="4"/>
  <c r="B866" i="4"/>
  <c r="B867" i="4"/>
  <c r="B868" i="4"/>
  <c r="B869" i="4"/>
  <c r="B870" i="4"/>
  <c r="B871" i="4"/>
  <c r="B872" i="4"/>
  <c r="B873" i="4"/>
  <c r="B874" i="4"/>
  <c r="B875" i="4"/>
  <c r="B876" i="4"/>
  <c r="B877" i="4"/>
  <c r="B878" i="4"/>
  <c r="B879" i="4"/>
  <c r="B880" i="4"/>
  <c r="B881" i="4"/>
  <c r="B882" i="4"/>
  <c r="B883" i="4"/>
  <c r="B884" i="4"/>
  <c r="B885" i="4"/>
  <c r="B886" i="4"/>
  <c r="B887" i="4"/>
  <c r="B888" i="4"/>
  <c r="B889" i="4"/>
  <c r="B890" i="4"/>
  <c r="B891" i="4"/>
  <c r="B892" i="4"/>
  <c r="B893" i="4"/>
  <c r="B894" i="4"/>
  <c r="B895" i="4"/>
  <c r="B896" i="4"/>
  <c r="B897" i="4"/>
  <c r="B898" i="4"/>
  <c r="B899" i="4"/>
  <c r="B900" i="4"/>
  <c r="B901" i="4"/>
  <c r="B902" i="4"/>
  <c r="B903" i="4"/>
  <c r="B904" i="4"/>
  <c r="B905" i="4"/>
  <c r="B906" i="4"/>
  <c r="B907" i="4"/>
  <c r="B908" i="4"/>
  <c r="B909" i="4"/>
  <c r="B910" i="4"/>
  <c r="B911" i="4"/>
  <c r="B912" i="4"/>
  <c r="B913" i="4"/>
  <c r="B914" i="4"/>
  <c r="B915" i="4"/>
  <c r="B916" i="4"/>
  <c r="B917" i="4"/>
  <c r="B918" i="4"/>
  <c r="B919" i="4"/>
  <c r="B920" i="4"/>
  <c r="B921" i="4"/>
  <c r="B922" i="4"/>
  <c r="B923" i="4"/>
  <c r="B924" i="4"/>
  <c r="B925" i="4"/>
  <c r="B926" i="4"/>
  <c r="B927" i="4"/>
  <c r="B928" i="4"/>
  <c r="B929" i="4"/>
  <c r="B930" i="4"/>
  <c r="B931" i="4"/>
  <c r="B932" i="4"/>
  <c r="B933" i="4"/>
  <c r="B934" i="4"/>
  <c r="B935" i="4"/>
  <c r="B936" i="4"/>
  <c r="B937" i="4"/>
  <c r="B938" i="4"/>
  <c r="B939" i="4"/>
  <c r="B940" i="4"/>
  <c r="B941" i="4"/>
  <c r="B942" i="4"/>
  <c r="B943" i="4"/>
  <c r="B944" i="4"/>
  <c r="B945" i="4"/>
  <c r="B946" i="4"/>
  <c r="B947" i="4"/>
  <c r="B948" i="4"/>
  <c r="B949" i="4"/>
  <c r="B950" i="4"/>
  <c r="B951" i="4"/>
  <c r="B952" i="4"/>
  <c r="B953" i="4"/>
  <c r="B954" i="4"/>
  <c r="B955" i="4"/>
  <c r="B956" i="4"/>
  <c r="B957" i="4"/>
  <c r="B958" i="4"/>
  <c r="B959" i="4"/>
  <c r="B960" i="4"/>
  <c r="B961" i="4"/>
  <c r="B962" i="4"/>
  <c r="B963" i="4"/>
  <c r="B964" i="4"/>
  <c r="B965" i="4"/>
  <c r="B966" i="4"/>
  <c r="B967" i="4"/>
  <c r="B968" i="4"/>
  <c r="B969" i="4"/>
  <c r="B970" i="4"/>
  <c r="B971" i="4"/>
  <c r="B972" i="4"/>
  <c r="B973" i="4"/>
  <c r="B974" i="4"/>
  <c r="B975" i="4"/>
  <c r="B976" i="4"/>
  <c r="B977" i="4"/>
  <c r="B978" i="4"/>
  <c r="B979" i="4"/>
  <c r="B980" i="4"/>
  <c r="B981" i="4"/>
  <c r="B982" i="4"/>
  <c r="B983" i="4"/>
  <c r="B984" i="4"/>
  <c r="B985" i="4"/>
  <c r="B986" i="4"/>
  <c r="B987" i="4"/>
  <c r="B988" i="4"/>
  <c r="B989" i="4"/>
  <c r="B990" i="4"/>
  <c r="B991" i="4"/>
  <c r="B992" i="4"/>
  <c r="B993" i="4"/>
  <c r="B994" i="4"/>
  <c r="B995" i="4"/>
  <c r="B996" i="4"/>
  <c r="B997" i="4"/>
  <c r="B998" i="4"/>
  <c r="B999" i="4"/>
  <c r="B1000" i="4"/>
  <c r="B1001" i="4"/>
  <c r="B1002" i="4"/>
  <c r="B1003" i="4"/>
  <c r="B1004" i="4"/>
  <c r="B1005" i="4"/>
  <c r="B1006" i="4"/>
  <c r="B1007" i="4"/>
  <c r="B1008" i="4"/>
  <c r="B1009" i="4"/>
  <c r="B1010" i="4"/>
  <c r="B1011" i="4"/>
  <c r="B1012" i="4"/>
  <c r="B1013" i="4"/>
  <c r="B1014" i="4"/>
  <c r="B1015" i="4"/>
  <c r="B1016" i="4"/>
  <c r="B1017" i="4"/>
  <c r="B1018" i="4"/>
  <c r="B1019" i="4"/>
  <c r="B1020" i="4"/>
  <c r="B1021" i="4"/>
  <c r="B1022" i="4"/>
  <c r="B1023" i="4"/>
  <c r="B1024" i="4"/>
  <c r="B1025" i="4"/>
  <c r="B1026" i="4"/>
  <c r="B1027" i="4"/>
  <c r="B1028" i="4"/>
  <c r="B1029" i="4"/>
  <c r="B1030" i="4"/>
  <c r="B1031" i="4"/>
  <c r="B1032" i="4"/>
  <c r="B1033" i="4"/>
  <c r="B1034" i="4"/>
  <c r="B1035" i="4"/>
  <c r="B1036" i="4"/>
  <c r="B1037" i="4"/>
  <c r="B1038" i="4"/>
  <c r="B1039" i="4"/>
  <c r="B1040" i="4"/>
  <c r="B1041" i="4"/>
  <c r="B1042" i="4"/>
  <c r="B1043" i="4"/>
  <c r="B1044" i="4"/>
  <c r="B1045" i="4"/>
  <c r="B1046" i="4"/>
  <c r="B1047" i="4"/>
  <c r="B1048" i="4"/>
  <c r="B1049" i="4"/>
  <c r="B1050" i="4"/>
  <c r="B1051" i="4"/>
  <c r="B1052" i="4"/>
  <c r="B1053" i="4"/>
  <c r="B1054" i="4"/>
  <c r="B1055" i="4"/>
  <c r="B1056" i="4"/>
  <c r="B1057" i="4"/>
  <c r="B1058" i="4"/>
  <c r="B1059" i="4"/>
  <c r="B1060" i="4"/>
  <c r="B1061" i="4"/>
  <c r="B1062" i="4"/>
  <c r="B1063" i="4"/>
  <c r="B1064" i="4"/>
  <c r="B1065" i="4"/>
  <c r="B1066" i="4"/>
  <c r="B1067" i="4"/>
  <c r="B1068" i="4"/>
  <c r="B1069" i="4"/>
  <c r="B1070" i="4"/>
  <c r="B1071" i="4"/>
  <c r="B1072" i="4"/>
  <c r="B1073" i="4"/>
  <c r="B1074" i="4"/>
  <c r="B1075" i="4"/>
  <c r="B1076" i="4"/>
  <c r="B1077" i="4"/>
  <c r="B1078" i="4"/>
  <c r="B1079" i="4"/>
  <c r="B1080" i="4"/>
  <c r="B1081" i="4"/>
  <c r="B1082" i="4"/>
  <c r="B1083" i="4"/>
  <c r="B1084" i="4"/>
  <c r="B1085" i="4"/>
  <c r="B1086" i="4"/>
  <c r="B1087" i="4"/>
  <c r="B1088" i="4"/>
  <c r="B1089" i="4"/>
  <c r="B1090" i="4"/>
  <c r="B1091" i="4"/>
  <c r="B1092" i="4"/>
  <c r="B1093" i="4"/>
  <c r="B1094" i="4"/>
  <c r="B1095" i="4"/>
  <c r="B1096" i="4"/>
  <c r="B1097" i="4"/>
  <c r="B1098" i="4"/>
  <c r="B1099" i="4"/>
  <c r="B1100" i="4"/>
  <c r="B1101" i="4"/>
  <c r="B1102" i="4"/>
  <c r="B1103" i="4"/>
  <c r="B1104" i="4"/>
  <c r="B1105" i="4"/>
  <c r="B1106" i="4"/>
  <c r="B1107" i="4"/>
  <c r="B1108" i="4"/>
  <c r="B1109" i="4"/>
  <c r="B1110" i="4"/>
  <c r="B1111" i="4"/>
  <c r="B1112" i="4"/>
  <c r="B1113" i="4"/>
  <c r="B1114" i="4"/>
  <c r="B1115" i="4"/>
  <c r="B1116" i="4"/>
  <c r="B1117" i="4"/>
  <c r="B1118" i="4"/>
  <c r="B1119" i="4"/>
  <c r="B1120" i="4"/>
  <c r="B1121" i="4"/>
  <c r="B1122" i="4"/>
  <c r="B1123" i="4"/>
  <c r="B1124" i="4"/>
  <c r="B1125" i="4"/>
  <c r="B1126" i="4"/>
  <c r="B1127" i="4"/>
  <c r="B1128" i="4"/>
  <c r="B1129" i="4"/>
  <c r="B1130" i="4"/>
  <c r="B1131" i="4"/>
  <c r="B1132" i="4"/>
  <c r="B1133" i="4"/>
  <c r="B1134" i="4"/>
  <c r="B1135" i="4"/>
  <c r="B1136" i="4"/>
  <c r="B1137" i="4"/>
  <c r="B1138" i="4"/>
  <c r="B1139" i="4"/>
  <c r="B1140" i="4"/>
  <c r="B1141" i="4"/>
  <c r="B1142" i="4"/>
  <c r="B1143" i="4"/>
  <c r="B1144" i="4"/>
  <c r="B1145" i="4"/>
  <c r="B1146" i="4"/>
  <c r="B1147" i="4"/>
  <c r="B1148" i="4"/>
  <c r="B1149" i="4"/>
  <c r="B1150" i="4"/>
  <c r="B1151" i="4"/>
  <c r="B1152" i="4"/>
  <c r="B1153" i="4"/>
  <c r="B1154" i="4"/>
  <c r="B1155" i="4"/>
  <c r="B1156" i="4"/>
  <c r="B1157" i="4"/>
  <c r="B1158" i="4"/>
  <c r="B1159" i="4"/>
  <c r="B1160" i="4"/>
  <c r="B1161" i="4"/>
  <c r="B1162" i="4"/>
  <c r="B1163" i="4"/>
  <c r="B1164" i="4"/>
  <c r="B1165" i="4"/>
  <c r="B1166" i="4"/>
  <c r="B1167" i="4"/>
  <c r="B1168" i="4"/>
  <c r="B1169" i="4"/>
  <c r="B1170" i="4"/>
  <c r="B1171" i="4"/>
  <c r="B1172" i="4"/>
  <c r="B1173" i="4"/>
  <c r="B1174" i="4"/>
  <c r="B1175" i="4"/>
  <c r="B1176" i="4"/>
  <c r="B1177" i="4"/>
  <c r="B1178" i="4"/>
  <c r="B1179" i="4"/>
  <c r="B1180" i="4"/>
  <c r="B1181" i="4"/>
  <c r="B1182" i="4"/>
  <c r="B1183" i="4"/>
  <c r="B1184" i="4"/>
  <c r="B1185" i="4"/>
  <c r="B1186" i="4"/>
  <c r="B1187" i="4"/>
  <c r="B1188" i="4"/>
  <c r="B1189" i="4"/>
  <c r="B1190" i="4"/>
  <c r="B1191" i="4"/>
  <c r="B1192" i="4"/>
  <c r="B1193" i="4"/>
  <c r="B1194" i="4"/>
  <c r="B1195" i="4"/>
  <c r="B1196" i="4"/>
  <c r="B1197" i="4"/>
  <c r="B1198" i="4"/>
  <c r="B1199" i="4"/>
  <c r="B1200" i="4"/>
  <c r="B1201" i="4"/>
  <c r="B1202" i="4"/>
  <c r="B1203" i="4"/>
  <c r="B1204" i="4"/>
  <c r="B1205" i="4"/>
  <c r="B1206" i="4"/>
  <c r="B1207" i="4"/>
  <c r="B1208" i="4"/>
  <c r="B1209" i="4"/>
  <c r="B1210" i="4"/>
  <c r="B1211" i="4"/>
  <c r="B1212" i="4"/>
  <c r="B1213" i="4"/>
  <c r="B1214" i="4"/>
  <c r="B1215" i="4"/>
  <c r="B1216" i="4"/>
  <c r="B1217" i="4"/>
  <c r="B1218" i="4"/>
  <c r="B1219" i="4"/>
  <c r="B1220" i="4"/>
  <c r="B1221" i="4"/>
  <c r="B1222" i="4"/>
  <c r="B1223" i="4"/>
  <c r="B1224" i="4"/>
  <c r="B1225" i="4"/>
  <c r="B1226" i="4"/>
  <c r="B1227" i="4"/>
  <c r="B1228" i="4"/>
  <c r="B1229" i="4"/>
  <c r="B1230" i="4"/>
  <c r="B1231" i="4"/>
  <c r="B1232" i="4"/>
  <c r="B1233" i="4"/>
  <c r="B1234" i="4"/>
  <c r="B1235" i="4"/>
  <c r="B1236" i="4"/>
  <c r="B1237" i="4"/>
  <c r="B1238" i="4"/>
  <c r="B1239" i="4"/>
  <c r="B1240" i="4"/>
  <c r="B1241" i="4"/>
  <c r="B1242" i="4"/>
  <c r="B1243" i="4"/>
  <c r="B1244" i="4"/>
  <c r="B1245" i="4"/>
  <c r="B1246" i="4"/>
  <c r="B1247" i="4"/>
  <c r="B1248" i="4"/>
  <c r="B1249" i="4"/>
  <c r="B1250" i="4"/>
  <c r="B1251" i="4"/>
  <c r="B1252" i="4"/>
  <c r="B1253" i="4"/>
  <c r="B1254" i="4"/>
  <c r="B1255" i="4"/>
  <c r="B1256" i="4"/>
  <c r="B1257" i="4"/>
  <c r="B1258" i="4"/>
  <c r="B1259" i="4"/>
  <c r="B1260" i="4"/>
  <c r="B1261" i="4"/>
  <c r="B1262" i="4"/>
  <c r="B1263" i="4"/>
  <c r="B1264" i="4"/>
  <c r="B1265" i="4"/>
  <c r="B1266" i="4"/>
  <c r="B1267" i="4"/>
  <c r="B1268" i="4"/>
  <c r="B1269" i="4"/>
  <c r="B1270" i="4"/>
  <c r="B1271" i="4"/>
  <c r="B1272" i="4"/>
  <c r="B1273" i="4"/>
  <c r="B1274" i="4"/>
  <c r="B1275" i="4"/>
  <c r="B1276" i="4"/>
  <c r="B1277" i="4"/>
  <c r="B1278" i="4"/>
  <c r="B1279" i="4"/>
  <c r="B1280" i="4"/>
  <c r="B1281" i="4"/>
  <c r="B1282" i="4"/>
  <c r="B1283" i="4"/>
  <c r="B1284" i="4"/>
  <c r="B1285" i="4"/>
  <c r="B1286" i="4"/>
  <c r="B1287" i="4"/>
  <c r="B1288" i="4"/>
  <c r="B1289" i="4"/>
  <c r="B1290" i="4"/>
  <c r="B1291" i="4"/>
  <c r="B1292" i="4"/>
  <c r="B1293" i="4"/>
  <c r="B1294" i="4"/>
  <c r="B1295" i="4"/>
  <c r="B1296" i="4"/>
  <c r="B1297" i="4"/>
  <c r="B1298" i="4"/>
  <c r="B1299" i="4"/>
  <c r="B1300" i="4"/>
  <c r="B1301" i="4"/>
  <c r="B1302" i="4"/>
  <c r="B1303" i="4"/>
  <c r="B1304" i="4"/>
  <c r="B1305" i="4"/>
  <c r="B1306" i="4"/>
  <c r="B1307" i="4"/>
  <c r="B1308" i="4"/>
  <c r="B1309" i="4"/>
  <c r="B1310" i="4"/>
  <c r="B1311" i="4"/>
  <c r="B1312" i="4"/>
  <c r="B1313" i="4"/>
  <c r="B1314" i="4"/>
  <c r="B1315" i="4"/>
  <c r="B1316" i="4"/>
  <c r="B1317" i="4"/>
  <c r="B1318" i="4"/>
  <c r="B1319" i="4"/>
  <c r="B1320" i="4"/>
  <c r="B1321" i="4"/>
  <c r="B1322" i="4"/>
  <c r="B1323" i="4"/>
  <c r="B1324" i="4"/>
  <c r="B1325" i="4"/>
  <c r="B1326" i="4"/>
  <c r="B1327" i="4"/>
  <c r="B1328" i="4"/>
  <c r="B1329" i="4"/>
  <c r="B1330" i="4"/>
  <c r="B1331" i="4"/>
  <c r="B1332" i="4"/>
  <c r="B1333" i="4"/>
  <c r="B1334" i="4"/>
  <c r="B1335" i="4"/>
  <c r="B1336" i="4"/>
  <c r="B1337" i="4"/>
  <c r="B1338" i="4"/>
  <c r="B1339" i="4"/>
  <c r="B1340" i="4"/>
  <c r="B1341" i="4"/>
  <c r="B4" i="4"/>
</calcChain>
</file>

<file path=xl/sharedStrings.xml><?xml version="1.0" encoding="utf-8"?>
<sst xmlns="http://schemas.openxmlformats.org/spreadsheetml/2006/main" count="9417" uniqueCount="46">
  <si>
    <t>age</t>
  </si>
  <si>
    <t>sex</t>
  </si>
  <si>
    <t>bmi</t>
  </si>
  <si>
    <t>children</t>
  </si>
  <si>
    <t>smoker</t>
  </si>
  <si>
    <t>region</t>
  </si>
  <si>
    <t>premium / Expenses</t>
  </si>
  <si>
    <t>male</t>
  </si>
  <si>
    <t>no</t>
  </si>
  <si>
    <t>northwest</t>
  </si>
  <si>
    <t>female</t>
  </si>
  <si>
    <t>yes</t>
  </si>
  <si>
    <t>southwest</t>
  </si>
  <si>
    <t>northeast</t>
  </si>
  <si>
    <t>southeast</t>
  </si>
  <si>
    <t xml:space="preserve"> Total Insured</t>
  </si>
  <si>
    <t>Per head Premium</t>
  </si>
  <si>
    <t>Age of customers lies between 18 – 80</t>
  </si>
  <si>
    <t>Age</t>
  </si>
  <si>
    <t>Gender</t>
  </si>
  <si>
    <r>
      <t xml:space="preserve">Gender column contains one of </t>
    </r>
    <r>
      <rPr>
        <b/>
        <sz val="16"/>
        <color rgb="FF000000"/>
        <rFont val="Arial"/>
        <family val="2"/>
        <scheme val="minor"/>
      </rPr>
      <t>male</t>
    </r>
    <r>
      <rPr>
        <sz val="16"/>
        <color rgb="FF000000"/>
        <rFont val="Arial"/>
        <family val="2"/>
        <scheme val="minor"/>
      </rPr>
      <t>,female, and others.</t>
    </r>
  </si>
  <si>
    <t>BMI and expenses columns contain positive values</t>
  </si>
  <si>
    <t xml:space="preserve"> Expenses</t>
  </si>
  <si>
    <t>Smoker</t>
  </si>
  <si>
    <t>Smoker that contain Yes or No</t>
  </si>
  <si>
    <t xml:space="preserve">Data validation on the respective columns. </t>
  </si>
  <si>
    <t>Analysis on the dataset performing  a macro</t>
  </si>
  <si>
    <t>Average Premium</t>
  </si>
  <si>
    <t>Line chart depicting the relation between the average premium per head and age</t>
  </si>
  <si>
    <t>Grand Total</t>
  </si>
  <si>
    <t>Male Smokers</t>
  </si>
  <si>
    <t>Female Smokers</t>
  </si>
  <si>
    <t>Total Males</t>
  </si>
  <si>
    <t>Total Females</t>
  </si>
  <si>
    <t>Total Male Smokers</t>
  </si>
  <si>
    <t>Total Female Smokers</t>
  </si>
  <si>
    <t>Fraction of Male Smokers</t>
  </si>
  <si>
    <t>Fraction of Female Smokers</t>
  </si>
  <si>
    <t>Bar chart containing the fraction of male and female population who smoke.</t>
  </si>
  <si>
    <t>Region</t>
  </si>
  <si>
    <t>Count of Smokers</t>
  </si>
  <si>
    <t>Count of smoker</t>
  </si>
  <si>
    <t>Pie chart depicting the count of people who smoke in each region</t>
  </si>
  <si>
    <t>PROJECT 3  ASSIGNMENT 3 SOLUTION</t>
  </si>
  <si>
    <t>PROJECT 3  ASSIGNMENT 2 SOLUTION</t>
  </si>
  <si>
    <t>PROJECT 3  ASSIGNMENT 1 SOLUTION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</si>
</sst>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0"/>
      <color rgb="FF000000"/>
      <name val="Arial"/>
      <scheme val="minor"/>
    </font>
    <font>
      <b/>
      <sz val="11"/>
      <color rgb="FFFFFFFF"/>
      <name val="Calibri"/>
    </font>
    <font>
      <b/>
      <sz val="10"/>
      <color rgb="FFFFFFFF"/>
      <name val="Arial"/>
      <scheme val="minor"/>
    </font>
    <font>
      <sz val="11"/>
      <color rgb="FF000000"/>
      <name val="Calibri"/>
    </font>
    <font>
      <b/>
      <sz val="11"/>
      <color theme="1"/>
      <name val="Arial"/>
      <family val="2"/>
      <scheme val="minor"/>
    </font>
    <font>
      <sz val="10"/>
      <color rgb="FF000000"/>
      <name val="Arial"/>
      <family val="2"/>
      <scheme val="minor"/>
    </font>
    <font>
      <sz val="16"/>
      <color rgb="FF000000"/>
      <name val="Arial"/>
      <family val="2"/>
      <scheme val="minor"/>
    </font>
    <font>
      <b/>
      <sz val="11"/>
      <color rgb="FFFFFFFF"/>
      <name val="Calibri"/>
      <family val="2"/>
    </font>
    <font>
      <b/>
      <sz val="16"/>
      <color rgb="FF000000"/>
      <name val="Arial"/>
      <family val="2"/>
      <scheme val="minor"/>
    </font>
    <font>
      <sz val="8"/>
      <name val="Arial"/>
      <family val="2"/>
      <scheme val="minor"/>
    </font>
    <font>
      <sz val="10"/>
      <color theme="0"/>
      <name val="Arial"/>
      <family val="2"/>
      <scheme val="minor"/>
    </font>
    <font>
      <sz val="10"/>
      <color rgb="FF000000"/>
      <name val="Arial Unicode MS"/>
    </font>
    <font>
      <b/>
      <sz val="11"/>
      <name val="Calibri"/>
      <family val="2"/>
    </font>
    <font>
      <sz val="10"/>
      <name val="Arial"/>
      <family val="2"/>
      <scheme val="minor"/>
    </font>
    <font>
      <b/>
      <sz val="10"/>
      <color rgb="FF000000"/>
      <name val="Arial"/>
      <family val="2"/>
      <scheme val="minor"/>
    </font>
    <font>
      <b/>
      <sz val="10"/>
      <color rgb="FF000000"/>
      <name val="Arial Unicode MS"/>
    </font>
    <font>
      <sz val="26"/>
      <color rgb="FF000000"/>
      <name val="Arial"/>
      <family val="2"/>
      <scheme val="minor"/>
    </font>
    <font>
      <sz val="20"/>
      <color rgb="FF000000"/>
      <name val="Arial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666666"/>
        <bgColor rgb="FF666666"/>
      </patternFill>
    </fill>
    <fill>
      <patternFill patternType="solid">
        <fgColor theme="4" tint="-0.249977111117893"/>
        <bgColor rgb="FF666666"/>
      </patternFill>
    </fill>
    <fill>
      <patternFill patternType="solid">
        <fgColor rgb="FF92D050"/>
        <bgColor indexed="64"/>
      </patternFill>
    </fill>
    <fill>
      <patternFill patternType="solid">
        <fgColor theme="4"/>
        <bgColor rgb="FF666666"/>
      </patternFill>
    </fill>
    <fill>
      <patternFill patternType="solid">
        <fgColor theme="4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7">
    <xf numFmtId="0" fontId="0" fillId="0" borderId="0" xfId="0"/>
    <xf numFmtId="0" fontId="1" fillId="2" borderId="0" xfId="0" applyFont="1" applyFill="1"/>
    <xf numFmtId="0" fontId="2" fillId="2" borderId="0" xfId="0" applyFont="1" applyFill="1"/>
    <xf numFmtId="0" fontId="3" fillId="0" borderId="0" xfId="0" applyFont="1" applyAlignment="1">
      <alignment horizontal="right"/>
    </xf>
    <xf numFmtId="0" fontId="3" fillId="0" borderId="0" xfId="0" applyFont="1"/>
    <xf numFmtId="0" fontId="5" fillId="0" borderId="0" xfId="0" applyFont="1"/>
    <xf numFmtId="2" fontId="0" fillId="0" borderId="0" xfId="0" applyNumberFormat="1"/>
    <xf numFmtId="0" fontId="7" fillId="3" borderId="0" xfId="0" applyFont="1" applyFill="1"/>
    <xf numFmtId="0" fontId="6" fillId="0" borderId="0" xfId="0" applyFont="1" applyAlignment="1">
      <alignment wrapText="1"/>
    </xf>
    <xf numFmtId="0" fontId="1" fillId="3" borderId="0" xfId="0" applyFont="1" applyFill="1" applyAlignment="1">
      <alignment horizontal="center"/>
    </xf>
    <xf numFmtId="0" fontId="7" fillId="3" borderId="0" xfId="0" applyFont="1" applyFill="1" applyAlignment="1">
      <alignment horizontal="center"/>
    </xf>
    <xf numFmtId="0" fontId="4" fillId="0" borderId="0" xfId="0" applyFont="1" applyAlignment="1">
      <alignment wrapText="1"/>
    </xf>
    <xf numFmtId="0" fontId="1" fillId="5" borderId="0" xfId="0" applyFont="1" applyFill="1"/>
    <xf numFmtId="0" fontId="10" fillId="6" borderId="0" xfId="0" applyFont="1" applyFill="1"/>
    <xf numFmtId="0" fontId="5" fillId="6" borderId="0" xfId="0" applyFont="1" applyFill="1"/>
    <xf numFmtId="2" fontId="3" fillId="0" borderId="0" xfId="0" applyNumberFormat="1" applyFont="1" applyAlignment="1">
      <alignment horizontal="right"/>
    </xf>
    <xf numFmtId="0" fontId="0" fillId="0" borderId="0" xfId="0" pivotButton="1"/>
    <xf numFmtId="0" fontId="11" fillId="0" borderId="0" xfId="0" applyFont="1"/>
    <xf numFmtId="0" fontId="12" fillId="5" borderId="0" xfId="0" applyFont="1" applyFill="1"/>
    <xf numFmtId="0" fontId="13" fillId="6" borderId="0" xfId="0" applyFont="1" applyFill="1"/>
    <xf numFmtId="0" fontId="13" fillId="6" borderId="0" xfId="0" applyFont="1" applyFill="1" applyAlignment="1">
      <alignment wrapText="1"/>
    </xf>
    <xf numFmtId="0" fontId="14" fillId="0" borderId="0" xfId="0" applyFont="1"/>
    <xf numFmtId="0" fontId="15" fillId="0" borderId="0" xfId="0" applyFont="1" applyAlignment="1">
      <alignment horizontal="left" vertical="center" indent="1"/>
    </xf>
    <xf numFmtId="0" fontId="5" fillId="7" borderId="0" xfId="0" applyFont="1" applyFill="1" applyAlignment="1">
      <alignment horizontal="center" vertical="center" wrapText="1"/>
    </xf>
    <xf numFmtId="0" fontId="5" fillId="7" borderId="0" xfId="0" applyFont="1" applyFill="1" applyAlignment="1">
      <alignment wrapText="1"/>
    </xf>
    <xf numFmtId="0" fontId="6" fillId="4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17" fillId="0" borderId="0" xfId="0" applyFont="1" applyAlignment="1">
      <alignment horizontal="center"/>
    </xf>
    <xf numFmtId="0" fontId="6" fillId="4" borderId="0" xfId="0" applyFont="1" applyFill="1" applyAlignment="1">
      <alignment horizontal="center" vertical="center" wrapText="1"/>
    </xf>
    <xf numFmtId="0" fontId="0" fillId="4" borderId="0" xfId="0" applyFill="1" applyAlignment="1">
      <alignment horizontal="center" vertical="center" wrapText="1"/>
    </xf>
    <xf numFmtId="0" fontId="6" fillId="4" borderId="0" xfId="0" applyFont="1" applyFill="1" applyAlignment="1">
      <alignment wrapText="1"/>
    </xf>
    <xf numFmtId="0" fontId="0" fillId="4" borderId="0" xfId="0" applyFill="1" applyAlignment="1">
      <alignment wrapText="1"/>
    </xf>
    <xf numFmtId="0" fontId="6" fillId="8" borderId="0" xfId="0" applyFont="1" applyFill="1" applyAlignment="1">
      <alignment horizontal="left" vertical="center"/>
    </xf>
    <xf numFmtId="0" fontId="0" fillId="8" borderId="0" xfId="0" applyFill="1"/>
    <xf numFmtId="0" fontId="6" fillId="9" borderId="0" xfId="0" applyFont="1" applyFill="1" applyAlignment="1">
      <alignment wrapText="1"/>
    </xf>
    <xf numFmtId="0" fontId="0" fillId="9" borderId="0" xfId="0" applyFill="1" applyAlignment="1">
      <alignment wrapText="1"/>
    </xf>
    <xf numFmtId="0" fontId="16" fillId="0" borderId="0" xfId="0" applyFont="1" applyAlignment="1">
      <alignment horizontal="left" wrapText="1" indent="38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 b="0" i="0" u="none" strike="noStrike" baseline="0">
                <a:effectLst/>
              </a:rPr>
              <a:t>Line chart </a:t>
            </a:r>
            <a:endParaRPr lang="en-I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'Ass3 Solution'!$A$3</c:f>
              <c:strCache>
                <c:ptCount val="1"/>
                <c:pt idx="0">
                  <c:v>age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'Ass3 Solution'!$A$4:$A$1341</c:f>
              <c:numCache>
                <c:formatCode>General</c:formatCode>
                <c:ptCount val="1338"/>
                <c:pt idx="0">
                  <c:v>64</c:v>
                </c:pt>
                <c:pt idx="1">
                  <c:v>64</c:v>
                </c:pt>
                <c:pt idx="2">
                  <c:v>64</c:v>
                </c:pt>
                <c:pt idx="3">
                  <c:v>64</c:v>
                </c:pt>
                <c:pt idx="4">
                  <c:v>64</c:v>
                </c:pt>
                <c:pt idx="5">
                  <c:v>64</c:v>
                </c:pt>
                <c:pt idx="6">
                  <c:v>64</c:v>
                </c:pt>
                <c:pt idx="7">
                  <c:v>64</c:v>
                </c:pt>
                <c:pt idx="8">
                  <c:v>64</c:v>
                </c:pt>
                <c:pt idx="9">
                  <c:v>64</c:v>
                </c:pt>
                <c:pt idx="10">
                  <c:v>64</c:v>
                </c:pt>
                <c:pt idx="11">
                  <c:v>64</c:v>
                </c:pt>
                <c:pt idx="12">
                  <c:v>64</c:v>
                </c:pt>
                <c:pt idx="13">
                  <c:v>64</c:v>
                </c:pt>
                <c:pt idx="14">
                  <c:v>64</c:v>
                </c:pt>
                <c:pt idx="15">
                  <c:v>64</c:v>
                </c:pt>
                <c:pt idx="16">
                  <c:v>64</c:v>
                </c:pt>
                <c:pt idx="17">
                  <c:v>64</c:v>
                </c:pt>
                <c:pt idx="18">
                  <c:v>64</c:v>
                </c:pt>
                <c:pt idx="19">
                  <c:v>64</c:v>
                </c:pt>
                <c:pt idx="20">
                  <c:v>64</c:v>
                </c:pt>
                <c:pt idx="21">
                  <c:v>64</c:v>
                </c:pt>
                <c:pt idx="22">
                  <c:v>63</c:v>
                </c:pt>
                <c:pt idx="23">
                  <c:v>63</c:v>
                </c:pt>
                <c:pt idx="24">
                  <c:v>63</c:v>
                </c:pt>
                <c:pt idx="25">
                  <c:v>63</c:v>
                </c:pt>
                <c:pt idx="26">
                  <c:v>63</c:v>
                </c:pt>
                <c:pt idx="27">
                  <c:v>63</c:v>
                </c:pt>
                <c:pt idx="28">
                  <c:v>63</c:v>
                </c:pt>
                <c:pt idx="29">
                  <c:v>63</c:v>
                </c:pt>
                <c:pt idx="30">
                  <c:v>63</c:v>
                </c:pt>
                <c:pt idx="31">
                  <c:v>63</c:v>
                </c:pt>
                <c:pt idx="32">
                  <c:v>63</c:v>
                </c:pt>
                <c:pt idx="33">
                  <c:v>63</c:v>
                </c:pt>
                <c:pt idx="34">
                  <c:v>63</c:v>
                </c:pt>
                <c:pt idx="35">
                  <c:v>63</c:v>
                </c:pt>
                <c:pt idx="36">
                  <c:v>63</c:v>
                </c:pt>
                <c:pt idx="37">
                  <c:v>63</c:v>
                </c:pt>
                <c:pt idx="38">
                  <c:v>63</c:v>
                </c:pt>
                <c:pt idx="39">
                  <c:v>63</c:v>
                </c:pt>
                <c:pt idx="40">
                  <c:v>63</c:v>
                </c:pt>
                <c:pt idx="41">
                  <c:v>63</c:v>
                </c:pt>
                <c:pt idx="42">
                  <c:v>63</c:v>
                </c:pt>
                <c:pt idx="43">
                  <c:v>63</c:v>
                </c:pt>
                <c:pt idx="44">
                  <c:v>63</c:v>
                </c:pt>
                <c:pt idx="45">
                  <c:v>62</c:v>
                </c:pt>
                <c:pt idx="46">
                  <c:v>62</c:v>
                </c:pt>
                <c:pt idx="47">
                  <c:v>62</c:v>
                </c:pt>
                <c:pt idx="48">
                  <c:v>62</c:v>
                </c:pt>
                <c:pt idx="49">
                  <c:v>62</c:v>
                </c:pt>
                <c:pt idx="50">
                  <c:v>62</c:v>
                </c:pt>
                <c:pt idx="51">
                  <c:v>62</c:v>
                </c:pt>
                <c:pt idx="52">
                  <c:v>62</c:v>
                </c:pt>
                <c:pt idx="53">
                  <c:v>62</c:v>
                </c:pt>
                <c:pt idx="54">
                  <c:v>62</c:v>
                </c:pt>
                <c:pt idx="55">
                  <c:v>62</c:v>
                </c:pt>
                <c:pt idx="56">
                  <c:v>62</c:v>
                </c:pt>
                <c:pt idx="57">
                  <c:v>62</c:v>
                </c:pt>
                <c:pt idx="58">
                  <c:v>62</c:v>
                </c:pt>
                <c:pt idx="59">
                  <c:v>62</c:v>
                </c:pt>
                <c:pt idx="60">
                  <c:v>62</c:v>
                </c:pt>
                <c:pt idx="61">
                  <c:v>62</c:v>
                </c:pt>
                <c:pt idx="62">
                  <c:v>62</c:v>
                </c:pt>
                <c:pt idx="63">
                  <c:v>62</c:v>
                </c:pt>
                <c:pt idx="64">
                  <c:v>62</c:v>
                </c:pt>
                <c:pt idx="65">
                  <c:v>62</c:v>
                </c:pt>
                <c:pt idx="66">
                  <c:v>62</c:v>
                </c:pt>
                <c:pt idx="67">
                  <c:v>62</c:v>
                </c:pt>
                <c:pt idx="68">
                  <c:v>61</c:v>
                </c:pt>
                <c:pt idx="69">
                  <c:v>61</c:v>
                </c:pt>
                <c:pt idx="70">
                  <c:v>61</c:v>
                </c:pt>
                <c:pt idx="71">
                  <c:v>61</c:v>
                </c:pt>
                <c:pt idx="72">
                  <c:v>61</c:v>
                </c:pt>
                <c:pt idx="73">
                  <c:v>61</c:v>
                </c:pt>
                <c:pt idx="74">
                  <c:v>61</c:v>
                </c:pt>
                <c:pt idx="75">
                  <c:v>61</c:v>
                </c:pt>
                <c:pt idx="76">
                  <c:v>61</c:v>
                </c:pt>
                <c:pt idx="77">
                  <c:v>61</c:v>
                </c:pt>
                <c:pt idx="78">
                  <c:v>61</c:v>
                </c:pt>
                <c:pt idx="79">
                  <c:v>61</c:v>
                </c:pt>
                <c:pt idx="80">
                  <c:v>61</c:v>
                </c:pt>
                <c:pt idx="81">
                  <c:v>61</c:v>
                </c:pt>
                <c:pt idx="82">
                  <c:v>61</c:v>
                </c:pt>
                <c:pt idx="83">
                  <c:v>61</c:v>
                </c:pt>
                <c:pt idx="84">
                  <c:v>61</c:v>
                </c:pt>
                <c:pt idx="85">
                  <c:v>61</c:v>
                </c:pt>
                <c:pt idx="86">
                  <c:v>61</c:v>
                </c:pt>
                <c:pt idx="87">
                  <c:v>61</c:v>
                </c:pt>
                <c:pt idx="88">
                  <c:v>61</c:v>
                </c:pt>
                <c:pt idx="89">
                  <c:v>61</c:v>
                </c:pt>
                <c:pt idx="90">
                  <c:v>61</c:v>
                </c:pt>
                <c:pt idx="91">
                  <c:v>60</c:v>
                </c:pt>
                <c:pt idx="92">
                  <c:v>60</c:v>
                </c:pt>
                <c:pt idx="93">
                  <c:v>60</c:v>
                </c:pt>
                <c:pt idx="94">
                  <c:v>60</c:v>
                </c:pt>
                <c:pt idx="95">
                  <c:v>60</c:v>
                </c:pt>
                <c:pt idx="96">
                  <c:v>60</c:v>
                </c:pt>
                <c:pt idx="97">
                  <c:v>60</c:v>
                </c:pt>
                <c:pt idx="98">
                  <c:v>60</c:v>
                </c:pt>
                <c:pt idx="99">
                  <c:v>60</c:v>
                </c:pt>
                <c:pt idx="100">
                  <c:v>60</c:v>
                </c:pt>
                <c:pt idx="101">
                  <c:v>60</c:v>
                </c:pt>
                <c:pt idx="102">
                  <c:v>60</c:v>
                </c:pt>
                <c:pt idx="103">
                  <c:v>60</c:v>
                </c:pt>
                <c:pt idx="104">
                  <c:v>60</c:v>
                </c:pt>
                <c:pt idx="105">
                  <c:v>60</c:v>
                </c:pt>
                <c:pt idx="106">
                  <c:v>60</c:v>
                </c:pt>
                <c:pt idx="107">
                  <c:v>60</c:v>
                </c:pt>
                <c:pt idx="108">
                  <c:v>60</c:v>
                </c:pt>
                <c:pt idx="109">
                  <c:v>60</c:v>
                </c:pt>
                <c:pt idx="110">
                  <c:v>60</c:v>
                </c:pt>
                <c:pt idx="111">
                  <c:v>60</c:v>
                </c:pt>
                <c:pt idx="112">
                  <c:v>60</c:v>
                </c:pt>
                <c:pt idx="113">
                  <c:v>60</c:v>
                </c:pt>
                <c:pt idx="114">
                  <c:v>59</c:v>
                </c:pt>
                <c:pt idx="115">
                  <c:v>59</c:v>
                </c:pt>
                <c:pt idx="116">
                  <c:v>59</c:v>
                </c:pt>
                <c:pt idx="117">
                  <c:v>59</c:v>
                </c:pt>
                <c:pt idx="118">
                  <c:v>59</c:v>
                </c:pt>
                <c:pt idx="119">
                  <c:v>59</c:v>
                </c:pt>
                <c:pt idx="120">
                  <c:v>59</c:v>
                </c:pt>
                <c:pt idx="121">
                  <c:v>59</c:v>
                </c:pt>
                <c:pt idx="122">
                  <c:v>59</c:v>
                </c:pt>
                <c:pt idx="123">
                  <c:v>59</c:v>
                </c:pt>
                <c:pt idx="124">
                  <c:v>59</c:v>
                </c:pt>
                <c:pt idx="125">
                  <c:v>59</c:v>
                </c:pt>
                <c:pt idx="126">
                  <c:v>59</c:v>
                </c:pt>
                <c:pt idx="127">
                  <c:v>59</c:v>
                </c:pt>
                <c:pt idx="128">
                  <c:v>59</c:v>
                </c:pt>
                <c:pt idx="129">
                  <c:v>59</c:v>
                </c:pt>
                <c:pt idx="130">
                  <c:v>59</c:v>
                </c:pt>
                <c:pt idx="131">
                  <c:v>59</c:v>
                </c:pt>
                <c:pt idx="132">
                  <c:v>59</c:v>
                </c:pt>
                <c:pt idx="133">
                  <c:v>59</c:v>
                </c:pt>
                <c:pt idx="134">
                  <c:v>59</c:v>
                </c:pt>
                <c:pt idx="135">
                  <c:v>59</c:v>
                </c:pt>
                <c:pt idx="136">
                  <c:v>59</c:v>
                </c:pt>
                <c:pt idx="137">
                  <c:v>59</c:v>
                </c:pt>
                <c:pt idx="138">
                  <c:v>59</c:v>
                </c:pt>
                <c:pt idx="139">
                  <c:v>58</c:v>
                </c:pt>
                <c:pt idx="140">
                  <c:v>58</c:v>
                </c:pt>
                <c:pt idx="141">
                  <c:v>58</c:v>
                </c:pt>
                <c:pt idx="142">
                  <c:v>58</c:v>
                </c:pt>
                <c:pt idx="143">
                  <c:v>58</c:v>
                </c:pt>
                <c:pt idx="144">
                  <c:v>58</c:v>
                </c:pt>
                <c:pt idx="145">
                  <c:v>58</c:v>
                </c:pt>
                <c:pt idx="146">
                  <c:v>58</c:v>
                </c:pt>
                <c:pt idx="147">
                  <c:v>58</c:v>
                </c:pt>
                <c:pt idx="148">
                  <c:v>58</c:v>
                </c:pt>
                <c:pt idx="149">
                  <c:v>58</c:v>
                </c:pt>
                <c:pt idx="150">
                  <c:v>58</c:v>
                </c:pt>
                <c:pt idx="151">
                  <c:v>58</c:v>
                </c:pt>
                <c:pt idx="152">
                  <c:v>58</c:v>
                </c:pt>
                <c:pt idx="153">
                  <c:v>58</c:v>
                </c:pt>
                <c:pt idx="154">
                  <c:v>58</c:v>
                </c:pt>
                <c:pt idx="155">
                  <c:v>58</c:v>
                </c:pt>
                <c:pt idx="156">
                  <c:v>58</c:v>
                </c:pt>
                <c:pt idx="157">
                  <c:v>58</c:v>
                </c:pt>
                <c:pt idx="158">
                  <c:v>58</c:v>
                </c:pt>
                <c:pt idx="159">
                  <c:v>58</c:v>
                </c:pt>
                <c:pt idx="160">
                  <c:v>58</c:v>
                </c:pt>
                <c:pt idx="161">
                  <c:v>58</c:v>
                </c:pt>
                <c:pt idx="162">
                  <c:v>58</c:v>
                </c:pt>
                <c:pt idx="163">
                  <c:v>58</c:v>
                </c:pt>
                <c:pt idx="164">
                  <c:v>57</c:v>
                </c:pt>
                <c:pt idx="165">
                  <c:v>57</c:v>
                </c:pt>
                <c:pt idx="166">
                  <c:v>57</c:v>
                </c:pt>
                <c:pt idx="167">
                  <c:v>57</c:v>
                </c:pt>
                <c:pt idx="168">
                  <c:v>57</c:v>
                </c:pt>
                <c:pt idx="169">
                  <c:v>57</c:v>
                </c:pt>
                <c:pt idx="170">
                  <c:v>57</c:v>
                </c:pt>
                <c:pt idx="171">
                  <c:v>57</c:v>
                </c:pt>
                <c:pt idx="172">
                  <c:v>57</c:v>
                </c:pt>
                <c:pt idx="173">
                  <c:v>57</c:v>
                </c:pt>
                <c:pt idx="174">
                  <c:v>57</c:v>
                </c:pt>
                <c:pt idx="175">
                  <c:v>57</c:v>
                </c:pt>
                <c:pt idx="176">
                  <c:v>57</c:v>
                </c:pt>
                <c:pt idx="177">
                  <c:v>57</c:v>
                </c:pt>
                <c:pt idx="178">
                  <c:v>57</c:v>
                </c:pt>
                <c:pt idx="179">
                  <c:v>57</c:v>
                </c:pt>
                <c:pt idx="180">
                  <c:v>57</c:v>
                </c:pt>
                <c:pt idx="181">
                  <c:v>57</c:v>
                </c:pt>
                <c:pt idx="182">
                  <c:v>57</c:v>
                </c:pt>
                <c:pt idx="183">
                  <c:v>57</c:v>
                </c:pt>
                <c:pt idx="184">
                  <c:v>57</c:v>
                </c:pt>
                <c:pt idx="185">
                  <c:v>57</c:v>
                </c:pt>
                <c:pt idx="186">
                  <c:v>57</c:v>
                </c:pt>
                <c:pt idx="187">
                  <c:v>57</c:v>
                </c:pt>
                <c:pt idx="188">
                  <c:v>57</c:v>
                </c:pt>
                <c:pt idx="189">
                  <c:v>57</c:v>
                </c:pt>
                <c:pt idx="190">
                  <c:v>56</c:v>
                </c:pt>
                <c:pt idx="191">
                  <c:v>56</c:v>
                </c:pt>
                <c:pt idx="192">
                  <c:v>56</c:v>
                </c:pt>
                <c:pt idx="193">
                  <c:v>56</c:v>
                </c:pt>
                <c:pt idx="194">
                  <c:v>56</c:v>
                </c:pt>
                <c:pt idx="195">
                  <c:v>56</c:v>
                </c:pt>
                <c:pt idx="196">
                  <c:v>56</c:v>
                </c:pt>
                <c:pt idx="197">
                  <c:v>56</c:v>
                </c:pt>
                <c:pt idx="198">
                  <c:v>56</c:v>
                </c:pt>
                <c:pt idx="199">
                  <c:v>56</c:v>
                </c:pt>
                <c:pt idx="200">
                  <c:v>56</c:v>
                </c:pt>
                <c:pt idx="201">
                  <c:v>56</c:v>
                </c:pt>
                <c:pt idx="202">
                  <c:v>56</c:v>
                </c:pt>
                <c:pt idx="203">
                  <c:v>56</c:v>
                </c:pt>
                <c:pt idx="204">
                  <c:v>56</c:v>
                </c:pt>
                <c:pt idx="205">
                  <c:v>56</c:v>
                </c:pt>
                <c:pt idx="206">
                  <c:v>56</c:v>
                </c:pt>
                <c:pt idx="207">
                  <c:v>56</c:v>
                </c:pt>
                <c:pt idx="208">
                  <c:v>56</c:v>
                </c:pt>
                <c:pt idx="209">
                  <c:v>56</c:v>
                </c:pt>
                <c:pt idx="210">
                  <c:v>56</c:v>
                </c:pt>
                <c:pt idx="211">
                  <c:v>56</c:v>
                </c:pt>
                <c:pt idx="212">
                  <c:v>56</c:v>
                </c:pt>
                <c:pt idx="213">
                  <c:v>56</c:v>
                </c:pt>
                <c:pt idx="214">
                  <c:v>56</c:v>
                </c:pt>
                <c:pt idx="215">
                  <c:v>56</c:v>
                </c:pt>
                <c:pt idx="216">
                  <c:v>55</c:v>
                </c:pt>
                <c:pt idx="217">
                  <c:v>55</c:v>
                </c:pt>
                <c:pt idx="218">
                  <c:v>55</c:v>
                </c:pt>
                <c:pt idx="219">
                  <c:v>55</c:v>
                </c:pt>
                <c:pt idx="220">
                  <c:v>55</c:v>
                </c:pt>
                <c:pt idx="221">
                  <c:v>55</c:v>
                </c:pt>
                <c:pt idx="222">
                  <c:v>55</c:v>
                </c:pt>
                <c:pt idx="223">
                  <c:v>55</c:v>
                </c:pt>
                <c:pt idx="224">
                  <c:v>55</c:v>
                </c:pt>
                <c:pt idx="225">
                  <c:v>55</c:v>
                </c:pt>
                <c:pt idx="226">
                  <c:v>55</c:v>
                </c:pt>
                <c:pt idx="227">
                  <c:v>55</c:v>
                </c:pt>
                <c:pt idx="228">
                  <c:v>55</c:v>
                </c:pt>
                <c:pt idx="229">
                  <c:v>55</c:v>
                </c:pt>
                <c:pt idx="230">
                  <c:v>55</c:v>
                </c:pt>
                <c:pt idx="231">
                  <c:v>55</c:v>
                </c:pt>
                <c:pt idx="232">
                  <c:v>55</c:v>
                </c:pt>
                <c:pt idx="233">
                  <c:v>55</c:v>
                </c:pt>
                <c:pt idx="234">
                  <c:v>55</c:v>
                </c:pt>
                <c:pt idx="235">
                  <c:v>55</c:v>
                </c:pt>
                <c:pt idx="236">
                  <c:v>55</c:v>
                </c:pt>
                <c:pt idx="237">
                  <c:v>55</c:v>
                </c:pt>
                <c:pt idx="238">
                  <c:v>55</c:v>
                </c:pt>
                <c:pt idx="239">
                  <c:v>55</c:v>
                </c:pt>
                <c:pt idx="240">
                  <c:v>55</c:v>
                </c:pt>
                <c:pt idx="241">
                  <c:v>55</c:v>
                </c:pt>
                <c:pt idx="242">
                  <c:v>54</c:v>
                </c:pt>
                <c:pt idx="243">
                  <c:v>54</c:v>
                </c:pt>
                <c:pt idx="244">
                  <c:v>54</c:v>
                </c:pt>
                <c:pt idx="245">
                  <c:v>54</c:v>
                </c:pt>
                <c:pt idx="246">
                  <c:v>54</c:v>
                </c:pt>
                <c:pt idx="247">
                  <c:v>54</c:v>
                </c:pt>
                <c:pt idx="248">
                  <c:v>54</c:v>
                </c:pt>
                <c:pt idx="249">
                  <c:v>54</c:v>
                </c:pt>
                <c:pt idx="250">
                  <c:v>54</c:v>
                </c:pt>
                <c:pt idx="251">
                  <c:v>54</c:v>
                </c:pt>
                <c:pt idx="252">
                  <c:v>54</c:v>
                </c:pt>
                <c:pt idx="253">
                  <c:v>54</c:v>
                </c:pt>
                <c:pt idx="254">
                  <c:v>54</c:v>
                </c:pt>
                <c:pt idx="255">
                  <c:v>54</c:v>
                </c:pt>
                <c:pt idx="256">
                  <c:v>54</c:v>
                </c:pt>
                <c:pt idx="257">
                  <c:v>54</c:v>
                </c:pt>
                <c:pt idx="258">
                  <c:v>54</c:v>
                </c:pt>
                <c:pt idx="259">
                  <c:v>54</c:v>
                </c:pt>
                <c:pt idx="260">
                  <c:v>54</c:v>
                </c:pt>
                <c:pt idx="261">
                  <c:v>54</c:v>
                </c:pt>
                <c:pt idx="262">
                  <c:v>54</c:v>
                </c:pt>
                <c:pt idx="263">
                  <c:v>54</c:v>
                </c:pt>
                <c:pt idx="264">
                  <c:v>54</c:v>
                </c:pt>
                <c:pt idx="265">
                  <c:v>54</c:v>
                </c:pt>
                <c:pt idx="266">
                  <c:v>54</c:v>
                </c:pt>
                <c:pt idx="267">
                  <c:v>54</c:v>
                </c:pt>
                <c:pt idx="268">
                  <c:v>54</c:v>
                </c:pt>
                <c:pt idx="269">
                  <c:v>54</c:v>
                </c:pt>
                <c:pt idx="270">
                  <c:v>53</c:v>
                </c:pt>
                <c:pt idx="271">
                  <c:v>53</c:v>
                </c:pt>
                <c:pt idx="272">
                  <c:v>53</c:v>
                </c:pt>
                <c:pt idx="273">
                  <c:v>53</c:v>
                </c:pt>
                <c:pt idx="274">
                  <c:v>53</c:v>
                </c:pt>
                <c:pt idx="275">
                  <c:v>53</c:v>
                </c:pt>
                <c:pt idx="276">
                  <c:v>53</c:v>
                </c:pt>
                <c:pt idx="277">
                  <c:v>53</c:v>
                </c:pt>
                <c:pt idx="278">
                  <c:v>53</c:v>
                </c:pt>
                <c:pt idx="279">
                  <c:v>53</c:v>
                </c:pt>
                <c:pt idx="280">
                  <c:v>53</c:v>
                </c:pt>
                <c:pt idx="281">
                  <c:v>53</c:v>
                </c:pt>
                <c:pt idx="282">
                  <c:v>53</c:v>
                </c:pt>
                <c:pt idx="283">
                  <c:v>53</c:v>
                </c:pt>
                <c:pt idx="284">
                  <c:v>53</c:v>
                </c:pt>
                <c:pt idx="285">
                  <c:v>53</c:v>
                </c:pt>
                <c:pt idx="286">
                  <c:v>53</c:v>
                </c:pt>
                <c:pt idx="287">
                  <c:v>53</c:v>
                </c:pt>
                <c:pt idx="288">
                  <c:v>53</c:v>
                </c:pt>
                <c:pt idx="289">
                  <c:v>53</c:v>
                </c:pt>
                <c:pt idx="290">
                  <c:v>53</c:v>
                </c:pt>
                <c:pt idx="291">
                  <c:v>53</c:v>
                </c:pt>
                <c:pt idx="292">
                  <c:v>53</c:v>
                </c:pt>
                <c:pt idx="293">
                  <c:v>53</c:v>
                </c:pt>
                <c:pt idx="294">
                  <c:v>53</c:v>
                </c:pt>
                <c:pt idx="295">
                  <c:v>53</c:v>
                </c:pt>
                <c:pt idx="296">
                  <c:v>53</c:v>
                </c:pt>
                <c:pt idx="297">
                  <c:v>53</c:v>
                </c:pt>
                <c:pt idx="298">
                  <c:v>52</c:v>
                </c:pt>
                <c:pt idx="299">
                  <c:v>52</c:v>
                </c:pt>
                <c:pt idx="300">
                  <c:v>52</c:v>
                </c:pt>
                <c:pt idx="301">
                  <c:v>52</c:v>
                </c:pt>
                <c:pt idx="302">
                  <c:v>52</c:v>
                </c:pt>
                <c:pt idx="303">
                  <c:v>52</c:v>
                </c:pt>
                <c:pt idx="304">
                  <c:v>52</c:v>
                </c:pt>
                <c:pt idx="305">
                  <c:v>52</c:v>
                </c:pt>
                <c:pt idx="306">
                  <c:v>52</c:v>
                </c:pt>
                <c:pt idx="307">
                  <c:v>52</c:v>
                </c:pt>
                <c:pt idx="308">
                  <c:v>52</c:v>
                </c:pt>
                <c:pt idx="309">
                  <c:v>52</c:v>
                </c:pt>
                <c:pt idx="310">
                  <c:v>52</c:v>
                </c:pt>
                <c:pt idx="311">
                  <c:v>52</c:v>
                </c:pt>
                <c:pt idx="312">
                  <c:v>52</c:v>
                </c:pt>
                <c:pt idx="313">
                  <c:v>52</c:v>
                </c:pt>
                <c:pt idx="314">
                  <c:v>52</c:v>
                </c:pt>
                <c:pt idx="315">
                  <c:v>52</c:v>
                </c:pt>
                <c:pt idx="316">
                  <c:v>52</c:v>
                </c:pt>
                <c:pt idx="317">
                  <c:v>52</c:v>
                </c:pt>
                <c:pt idx="318">
                  <c:v>52</c:v>
                </c:pt>
                <c:pt idx="319">
                  <c:v>52</c:v>
                </c:pt>
                <c:pt idx="320">
                  <c:v>52</c:v>
                </c:pt>
                <c:pt idx="321">
                  <c:v>52</c:v>
                </c:pt>
                <c:pt idx="322">
                  <c:v>52</c:v>
                </c:pt>
                <c:pt idx="323">
                  <c:v>52</c:v>
                </c:pt>
                <c:pt idx="324">
                  <c:v>52</c:v>
                </c:pt>
                <c:pt idx="325">
                  <c:v>52</c:v>
                </c:pt>
                <c:pt idx="326">
                  <c:v>52</c:v>
                </c:pt>
                <c:pt idx="327">
                  <c:v>51</c:v>
                </c:pt>
                <c:pt idx="328">
                  <c:v>51</c:v>
                </c:pt>
                <c:pt idx="329">
                  <c:v>51</c:v>
                </c:pt>
                <c:pt idx="330">
                  <c:v>51</c:v>
                </c:pt>
                <c:pt idx="331">
                  <c:v>51</c:v>
                </c:pt>
                <c:pt idx="332">
                  <c:v>51</c:v>
                </c:pt>
                <c:pt idx="333">
                  <c:v>51</c:v>
                </c:pt>
                <c:pt idx="334">
                  <c:v>51</c:v>
                </c:pt>
                <c:pt idx="335">
                  <c:v>51</c:v>
                </c:pt>
                <c:pt idx="336">
                  <c:v>51</c:v>
                </c:pt>
                <c:pt idx="337">
                  <c:v>51</c:v>
                </c:pt>
                <c:pt idx="338">
                  <c:v>51</c:v>
                </c:pt>
                <c:pt idx="339">
                  <c:v>51</c:v>
                </c:pt>
                <c:pt idx="340">
                  <c:v>51</c:v>
                </c:pt>
                <c:pt idx="341">
                  <c:v>51</c:v>
                </c:pt>
                <c:pt idx="342">
                  <c:v>51</c:v>
                </c:pt>
                <c:pt idx="343">
                  <c:v>51</c:v>
                </c:pt>
                <c:pt idx="344">
                  <c:v>51</c:v>
                </c:pt>
                <c:pt idx="345">
                  <c:v>51</c:v>
                </c:pt>
                <c:pt idx="346">
                  <c:v>51</c:v>
                </c:pt>
                <c:pt idx="347">
                  <c:v>51</c:v>
                </c:pt>
                <c:pt idx="348">
                  <c:v>51</c:v>
                </c:pt>
                <c:pt idx="349">
                  <c:v>51</c:v>
                </c:pt>
                <c:pt idx="350">
                  <c:v>51</c:v>
                </c:pt>
                <c:pt idx="351">
                  <c:v>51</c:v>
                </c:pt>
                <c:pt idx="352">
                  <c:v>51</c:v>
                </c:pt>
                <c:pt idx="353">
                  <c:v>51</c:v>
                </c:pt>
                <c:pt idx="354">
                  <c:v>51</c:v>
                </c:pt>
                <c:pt idx="355">
                  <c:v>51</c:v>
                </c:pt>
                <c:pt idx="356">
                  <c:v>50</c:v>
                </c:pt>
                <c:pt idx="357">
                  <c:v>50</c:v>
                </c:pt>
                <c:pt idx="358">
                  <c:v>50</c:v>
                </c:pt>
                <c:pt idx="359">
                  <c:v>50</c:v>
                </c:pt>
                <c:pt idx="360">
                  <c:v>50</c:v>
                </c:pt>
                <c:pt idx="361">
                  <c:v>50</c:v>
                </c:pt>
                <c:pt idx="362">
                  <c:v>50</c:v>
                </c:pt>
                <c:pt idx="363">
                  <c:v>50</c:v>
                </c:pt>
                <c:pt idx="364">
                  <c:v>50</c:v>
                </c:pt>
                <c:pt idx="365">
                  <c:v>50</c:v>
                </c:pt>
                <c:pt idx="366">
                  <c:v>50</c:v>
                </c:pt>
                <c:pt idx="367">
                  <c:v>50</c:v>
                </c:pt>
                <c:pt idx="368">
                  <c:v>50</c:v>
                </c:pt>
                <c:pt idx="369">
                  <c:v>50</c:v>
                </c:pt>
                <c:pt idx="370">
                  <c:v>50</c:v>
                </c:pt>
                <c:pt idx="371">
                  <c:v>50</c:v>
                </c:pt>
                <c:pt idx="372">
                  <c:v>50</c:v>
                </c:pt>
                <c:pt idx="373">
                  <c:v>50</c:v>
                </c:pt>
                <c:pt idx="374">
                  <c:v>50</c:v>
                </c:pt>
                <c:pt idx="375">
                  <c:v>50</c:v>
                </c:pt>
                <c:pt idx="376">
                  <c:v>50</c:v>
                </c:pt>
                <c:pt idx="377">
                  <c:v>50</c:v>
                </c:pt>
                <c:pt idx="378">
                  <c:v>50</c:v>
                </c:pt>
                <c:pt idx="379">
                  <c:v>50</c:v>
                </c:pt>
                <c:pt idx="380">
                  <c:v>50</c:v>
                </c:pt>
                <c:pt idx="381">
                  <c:v>50</c:v>
                </c:pt>
                <c:pt idx="382">
                  <c:v>50</c:v>
                </c:pt>
                <c:pt idx="383">
                  <c:v>50</c:v>
                </c:pt>
                <c:pt idx="384">
                  <c:v>50</c:v>
                </c:pt>
                <c:pt idx="385">
                  <c:v>49</c:v>
                </c:pt>
                <c:pt idx="386">
                  <c:v>49</c:v>
                </c:pt>
                <c:pt idx="387">
                  <c:v>49</c:v>
                </c:pt>
                <c:pt idx="388">
                  <c:v>49</c:v>
                </c:pt>
                <c:pt idx="389">
                  <c:v>49</c:v>
                </c:pt>
                <c:pt idx="390">
                  <c:v>49</c:v>
                </c:pt>
                <c:pt idx="391">
                  <c:v>49</c:v>
                </c:pt>
                <c:pt idx="392">
                  <c:v>49</c:v>
                </c:pt>
                <c:pt idx="393">
                  <c:v>49</c:v>
                </c:pt>
                <c:pt idx="394">
                  <c:v>49</c:v>
                </c:pt>
                <c:pt idx="395">
                  <c:v>49</c:v>
                </c:pt>
                <c:pt idx="396">
                  <c:v>49</c:v>
                </c:pt>
                <c:pt idx="397">
                  <c:v>49</c:v>
                </c:pt>
                <c:pt idx="398">
                  <c:v>49</c:v>
                </c:pt>
                <c:pt idx="399">
                  <c:v>49</c:v>
                </c:pt>
                <c:pt idx="400">
                  <c:v>49</c:v>
                </c:pt>
                <c:pt idx="401">
                  <c:v>49</c:v>
                </c:pt>
                <c:pt idx="402">
                  <c:v>49</c:v>
                </c:pt>
                <c:pt idx="403">
                  <c:v>49</c:v>
                </c:pt>
                <c:pt idx="404">
                  <c:v>49</c:v>
                </c:pt>
                <c:pt idx="405">
                  <c:v>49</c:v>
                </c:pt>
                <c:pt idx="406">
                  <c:v>49</c:v>
                </c:pt>
                <c:pt idx="407">
                  <c:v>49</c:v>
                </c:pt>
                <c:pt idx="408">
                  <c:v>49</c:v>
                </c:pt>
                <c:pt idx="409">
                  <c:v>49</c:v>
                </c:pt>
                <c:pt idx="410">
                  <c:v>49</c:v>
                </c:pt>
                <c:pt idx="411">
                  <c:v>49</c:v>
                </c:pt>
                <c:pt idx="412">
                  <c:v>49</c:v>
                </c:pt>
                <c:pt idx="413">
                  <c:v>48</c:v>
                </c:pt>
                <c:pt idx="414">
                  <c:v>48</c:v>
                </c:pt>
                <c:pt idx="415">
                  <c:v>48</c:v>
                </c:pt>
                <c:pt idx="416">
                  <c:v>48</c:v>
                </c:pt>
                <c:pt idx="417">
                  <c:v>48</c:v>
                </c:pt>
                <c:pt idx="418">
                  <c:v>48</c:v>
                </c:pt>
                <c:pt idx="419">
                  <c:v>48</c:v>
                </c:pt>
                <c:pt idx="420">
                  <c:v>48</c:v>
                </c:pt>
                <c:pt idx="421">
                  <c:v>48</c:v>
                </c:pt>
                <c:pt idx="422">
                  <c:v>48</c:v>
                </c:pt>
                <c:pt idx="423">
                  <c:v>48</c:v>
                </c:pt>
                <c:pt idx="424">
                  <c:v>48</c:v>
                </c:pt>
                <c:pt idx="425">
                  <c:v>48</c:v>
                </c:pt>
                <c:pt idx="426">
                  <c:v>48</c:v>
                </c:pt>
                <c:pt idx="427">
                  <c:v>48</c:v>
                </c:pt>
                <c:pt idx="428">
                  <c:v>48</c:v>
                </c:pt>
                <c:pt idx="429">
                  <c:v>48</c:v>
                </c:pt>
                <c:pt idx="430">
                  <c:v>48</c:v>
                </c:pt>
                <c:pt idx="431">
                  <c:v>48</c:v>
                </c:pt>
                <c:pt idx="432">
                  <c:v>48</c:v>
                </c:pt>
                <c:pt idx="433">
                  <c:v>48</c:v>
                </c:pt>
                <c:pt idx="434">
                  <c:v>48</c:v>
                </c:pt>
                <c:pt idx="435">
                  <c:v>48</c:v>
                </c:pt>
                <c:pt idx="436">
                  <c:v>48</c:v>
                </c:pt>
                <c:pt idx="437">
                  <c:v>48</c:v>
                </c:pt>
                <c:pt idx="438">
                  <c:v>48</c:v>
                </c:pt>
                <c:pt idx="439">
                  <c:v>48</c:v>
                </c:pt>
                <c:pt idx="440">
                  <c:v>48</c:v>
                </c:pt>
                <c:pt idx="441">
                  <c:v>48</c:v>
                </c:pt>
                <c:pt idx="442">
                  <c:v>47</c:v>
                </c:pt>
                <c:pt idx="443">
                  <c:v>47</c:v>
                </c:pt>
                <c:pt idx="444">
                  <c:v>47</c:v>
                </c:pt>
                <c:pt idx="445">
                  <c:v>47</c:v>
                </c:pt>
                <c:pt idx="446">
                  <c:v>47</c:v>
                </c:pt>
                <c:pt idx="447">
                  <c:v>47</c:v>
                </c:pt>
                <c:pt idx="448">
                  <c:v>47</c:v>
                </c:pt>
                <c:pt idx="449">
                  <c:v>47</c:v>
                </c:pt>
                <c:pt idx="450">
                  <c:v>47</c:v>
                </c:pt>
                <c:pt idx="451">
                  <c:v>47</c:v>
                </c:pt>
                <c:pt idx="452">
                  <c:v>47</c:v>
                </c:pt>
                <c:pt idx="453">
                  <c:v>47</c:v>
                </c:pt>
                <c:pt idx="454">
                  <c:v>47</c:v>
                </c:pt>
                <c:pt idx="455">
                  <c:v>47</c:v>
                </c:pt>
                <c:pt idx="456">
                  <c:v>47</c:v>
                </c:pt>
                <c:pt idx="457">
                  <c:v>47</c:v>
                </c:pt>
                <c:pt idx="458">
                  <c:v>47</c:v>
                </c:pt>
                <c:pt idx="459">
                  <c:v>47</c:v>
                </c:pt>
                <c:pt idx="460">
                  <c:v>47</c:v>
                </c:pt>
                <c:pt idx="461">
                  <c:v>47</c:v>
                </c:pt>
                <c:pt idx="462">
                  <c:v>47</c:v>
                </c:pt>
                <c:pt idx="463">
                  <c:v>47</c:v>
                </c:pt>
                <c:pt idx="464">
                  <c:v>47</c:v>
                </c:pt>
                <c:pt idx="465">
                  <c:v>47</c:v>
                </c:pt>
                <c:pt idx="466">
                  <c:v>47</c:v>
                </c:pt>
                <c:pt idx="467">
                  <c:v>47</c:v>
                </c:pt>
                <c:pt idx="468">
                  <c:v>47</c:v>
                </c:pt>
                <c:pt idx="469">
                  <c:v>47</c:v>
                </c:pt>
                <c:pt idx="470">
                  <c:v>47</c:v>
                </c:pt>
                <c:pt idx="471">
                  <c:v>46</c:v>
                </c:pt>
                <c:pt idx="472">
                  <c:v>46</c:v>
                </c:pt>
                <c:pt idx="473">
                  <c:v>46</c:v>
                </c:pt>
                <c:pt idx="474">
                  <c:v>46</c:v>
                </c:pt>
                <c:pt idx="475">
                  <c:v>46</c:v>
                </c:pt>
                <c:pt idx="476">
                  <c:v>46</c:v>
                </c:pt>
                <c:pt idx="477">
                  <c:v>46</c:v>
                </c:pt>
                <c:pt idx="478">
                  <c:v>46</c:v>
                </c:pt>
                <c:pt idx="479">
                  <c:v>46</c:v>
                </c:pt>
                <c:pt idx="480">
                  <c:v>46</c:v>
                </c:pt>
                <c:pt idx="481">
                  <c:v>46</c:v>
                </c:pt>
                <c:pt idx="482">
                  <c:v>46</c:v>
                </c:pt>
                <c:pt idx="483">
                  <c:v>46</c:v>
                </c:pt>
                <c:pt idx="484">
                  <c:v>46</c:v>
                </c:pt>
                <c:pt idx="485">
                  <c:v>46</c:v>
                </c:pt>
                <c:pt idx="486">
                  <c:v>46</c:v>
                </c:pt>
                <c:pt idx="487">
                  <c:v>46</c:v>
                </c:pt>
                <c:pt idx="488">
                  <c:v>46</c:v>
                </c:pt>
                <c:pt idx="489">
                  <c:v>46</c:v>
                </c:pt>
                <c:pt idx="490">
                  <c:v>46</c:v>
                </c:pt>
                <c:pt idx="491">
                  <c:v>46</c:v>
                </c:pt>
                <c:pt idx="492">
                  <c:v>46</c:v>
                </c:pt>
                <c:pt idx="493">
                  <c:v>46</c:v>
                </c:pt>
                <c:pt idx="494">
                  <c:v>46</c:v>
                </c:pt>
                <c:pt idx="495">
                  <c:v>46</c:v>
                </c:pt>
                <c:pt idx="496">
                  <c:v>46</c:v>
                </c:pt>
                <c:pt idx="497">
                  <c:v>46</c:v>
                </c:pt>
                <c:pt idx="498">
                  <c:v>46</c:v>
                </c:pt>
                <c:pt idx="499">
                  <c:v>46</c:v>
                </c:pt>
                <c:pt idx="500">
                  <c:v>45</c:v>
                </c:pt>
                <c:pt idx="501">
                  <c:v>45</c:v>
                </c:pt>
                <c:pt idx="502">
                  <c:v>45</c:v>
                </c:pt>
                <c:pt idx="503">
                  <c:v>45</c:v>
                </c:pt>
                <c:pt idx="504">
                  <c:v>45</c:v>
                </c:pt>
                <c:pt idx="505">
                  <c:v>45</c:v>
                </c:pt>
                <c:pt idx="506">
                  <c:v>45</c:v>
                </c:pt>
                <c:pt idx="507">
                  <c:v>45</c:v>
                </c:pt>
                <c:pt idx="508">
                  <c:v>45</c:v>
                </c:pt>
                <c:pt idx="509">
                  <c:v>45</c:v>
                </c:pt>
                <c:pt idx="510">
                  <c:v>45</c:v>
                </c:pt>
                <c:pt idx="511">
                  <c:v>45</c:v>
                </c:pt>
                <c:pt idx="512">
                  <c:v>45</c:v>
                </c:pt>
                <c:pt idx="513">
                  <c:v>45</c:v>
                </c:pt>
                <c:pt idx="514">
                  <c:v>45</c:v>
                </c:pt>
                <c:pt idx="515">
                  <c:v>45</c:v>
                </c:pt>
                <c:pt idx="516">
                  <c:v>45</c:v>
                </c:pt>
                <c:pt idx="517">
                  <c:v>45</c:v>
                </c:pt>
                <c:pt idx="518">
                  <c:v>45</c:v>
                </c:pt>
                <c:pt idx="519">
                  <c:v>45</c:v>
                </c:pt>
                <c:pt idx="520">
                  <c:v>45</c:v>
                </c:pt>
                <c:pt idx="521">
                  <c:v>45</c:v>
                </c:pt>
                <c:pt idx="522">
                  <c:v>45</c:v>
                </c:pt>
                <c:pt idx="523">
                  <c:v>45</c:v>
                </c:pt>
                <c:pt idx="524">
                  <c:v>45</c:v>
                </c:pt>
                <c:pt idx="525">
                  <c:v>45</c:v>
                </c:pt>
                <c:pt idx="526">
                  <c:v>45</c:v>
                </c:pt>
                <c:pt idx="527">
                  <c:v>45</c:v>
                </c:pt>
                <c:pt idx="528">
                  <c:v>45</c:v>
                </c:pt>
                <c:pt idx="529">
                  <c:v>44</c:v>
                </c:pt>
                <c:pt idx="530">
                  <c:v>44</c:v>
                </c:pt>
                <c:pt idx="531">
                  <c:v>44</c:v>
                </c:pt>
                <c:pt idx="532">
                  <c:v>44</c:v>
                </c:pt>
                <c:pt idx="533">
                  <c:v>44</c:v>
                </c:pt>
                <c:pt idx="534">
                  <c:v>44</c:v>
                </c:pt>
                <c:pt idx="535">
                  <c:v>44</c:v>
                </c:pt>
                <c:pt idx="536">
                  <c:v>44</c:v>
                </c:pt>
                <c:pt idx="537">
                  <c:v>44</c:v>
                </c:pt>
                <c:pt idx="538">
                  <c:v>44</c:v>
                </c:pt>
                <c:pt idx="539">
                  <c:v>44</c:v>
                </c:pt>
                <c:pt idx="540">
                  <c:v>44</c:v>
                </c:pt>
                <c:pt idx="541">
                  <c:v>44</c:v>
                </c:pt>
                <c:pt idx="542">
                  <c:v>44</c:v>
                </c:pt>
                <c:pt idx="543">
                  <c:v>44</c:v>
                </c:pt>
                <c:pt idx="544">
                  <c:v>44</c:v>
                </c:pt>
                <c:pt idx="545">
                  <c:v>44</c:v>
                </c:pt>
                <c:pt idx="546">
                  <c:v>44</c:v>
                </c:pt>
                <c:pt idx="547">
                  <c:v>44</c:v>
                </c:pt>
                <c:pt idx="548">
                  <c:v>44</c:v>
                </c:pt>
                <c:pt idx="549">
                  <c:v>44</c:v>
                </c:pt>
                <c:pt idx="550">
                  <c:v>44</c:v>
                </c:pt>
                <c:pt idx="551">
                  <c:v>44</c:v>
                </c:pt>
                <c:pt idx="552">
                  <c:v>44</c:v>
                </c:pt>
                <c:pt idx="553">
                  <c:v>44</c:v>
                </c:pt>
                <c:pt idx="554">
                  <c:v>44</c:v>
                </c:pt>
                <c:pt idx="555">
                  <c:v>44</c:v>
                </c:pt>
                <c:pt idx="556">
                  <c:v>43</c:v>
                </c:pt>
                <c:pt idx="557">
                  <c:v>43</c:v>
                </c:pt>
                <c:pt idx="558">
                  <c:v>43</c:v>
                </c:pt>
                <c:pt idx="559">
                  <c:v>43</c:v>
                </c:pt>
                <c:pt idx="560">
                  <c:v>43</c:v>
                </c:pt>
                <c:pt idx="561">
                  <c:v>43</c:v>
                </c:pt>
                <c:pt idx="562">
                  <c:v>43</c:v>
                </c:pt>
                <c:pt idx="563">
                  <c:v>43</c:v>
                </c:pt>
                <c:pt idx="564">
                  <c:v>43</c:v>
                </c:pt>
                <c:pt idx="565">
                  <c:v>43</c:v>
                </c:pt>
                <c:pt idx="566">
                  <c:v>43</c:v>
                </c:pt>
                <c:pt idx="567">
                  <c:v>43</c:v>
                </c:pt>
                <c:pt idx="568">
                  <c:v>43</c:v>
                </c:pt>
                <c:pt idx="569">
                  <c:v>43</c:v>
                </c:pt>
                <c:pt idx="570">
                  <c:v>43</c:v>
                </c:pt>
                <c:pt idx="571">
                  <c:v>43</c:v>
                </c:pt>
                <c:pt idx="572">
                  <c:v>43</c:v>
                </c:pt>
                <c:pt idx="573">
                  <c:v>43</c:v>
                </c:pt>
                <c:pt idx="574">
                  <c:v>43</c:v>
                </c:pt>
                <c:pt idx="575">
                  <c:v>43</c:v>
                </c:pt>
                <c:pt idx="576">
                  <c:v>43</c:v>
                </c:pt>
                <c:pt idx="577">
                  <c:v>43</c:v>
                </c:pt>
                <c:pt idx="578">
                  <c:v>43</c:v>
                </c:pt>
                <c:pt idx="579">
                  <c:v>43</c:v>
                </c:pt>
                <c:pt idx="580">
                  <c:v>43</c:v>
                </c:pt>
                <c:pt idx="581">
                  <c:v>43</c:v>
                </c:pt>
                <c:pt idx="582">
                  <c:v>43</c:v>
                </c:pt>
                <c:pt idx="583">
                  <c:v>42</c:v>
                </c:pt>
                <c:pt idx="584">
                  <c:v>42</c:v>
                </c:pt>
                <c:pt idx="585">
                  <c:v>42</c:v>
                </c:pt>
                <c:pt idx="586">
                  <c:v>42</c:v>
                </c:pt>
                <c:pt idx="587">
                  <c:v>42</c:v>
                </c:pt>
                <c:pt idx="588">
                  <c:v>42</c:v>
                </c:pt>
                <c:pt idx="589">
                  <c:v>42</c:v>
                </c:pt>
                <c:pt idx="590">
                  <c:v>42</c:v>
                </c:pt>
                <c:pt idx="591">
                  <c:v>42</c:v>
                </c:pt>
                <c:pt idx="592">
                  <c:v>42</c:v>
                </c:pt>
                <c:pt idx="593">
                  <c:v>42</c:v>
                </c:pt>
                <c:pt idx="594">
                  <c:v>42</c:v>
                </c:pt>
                <c:pt idx="595">
                  <c:v>42</c:v>
                </c:pt>
                <c:pt idx="596">
                  <c:v>42</c:v>
                </c:pt>
                <c:pt idx="597">
                  <c:v>42</c:v>
                </c:pt>
                <c:pt idx="598">
                  <c:v>42</c:v>
                </c:pt>
                <c:pt idx="599">
                  <c:v>42</c:v>
                </c:pt>
                <c:pt idx="600">
                  <c:v>42</c:v>
                </c:pt>
                <c:pt idx="601">
                  <c:v>42</c:v>
                </c:pt>
                <c:pt idx="602">
                  <c:v>42</c:v>
                </c:pt>
                <c:pt idx="603">
                  <c:v>42</c:v>
                </c:pt>
                <c:pt idx="604">
                  <c:v>42</c:v>
                </c:pt>
                <c:pt idx="605">
                  <c:v>42</c:v>
                </c:pt>
                <c:pt idx="606">
                  <c:v>42</c:v>
                </c:pt>
                <c:pt idx="607">
                  <c:v>42</c:v>
                </c:pt>
                <c:pt idx="608">
                  <c:v>42</c:v>
                </c:pt>
                <c:pt idx="609">
                  <c:v>42</c:v>
                </c:pt>
                <c:pt idx="610">
                  <c:v>41</c:v>
                </c:pt>
                <c:pt idx="611">
                  <c:v>41</c:v>
                </c:pt>
                <c:pt idx="612">
                  <c:v>41</c:v>
                </c:pt>
                <c:pt idx="613">
                  <c:v>41</c:v>
                </c:pt>
                <c:pt idx="614">
                  <c:v>41</c:v>
                </c:pt>
                <c:pt idx="615">
                  <c:v>41</c:v>
                </c:pt>
                <c:pt idx="616">
                  <c:v>41</c:v>
                </c:pt>
                <c:pt idx="617">
                  <c:v>41</c:v>
                </c:pt>
                <c:pt idx="618">
                  <c:v>41</c:v>
                </c:pt>
                <c:pt idx="619">
                  <c:v>41</c:v>
                </c:pt>
                <c:pt idx="620">
                  <c:v>41</c:v>
                </c:pt>
                <c:pt idx="621">
                  <c:v>41</c:v>
                </c:pt>
                <c:pt idx="622">
                  <c:v>41</c:v>
                </c:pt>
                <c:pt idx="623">
                  <c:v>41</c:v>
                </c:pt>
                <c:pt idx="624">
                  <c:v>41</c:v>
                </c:pt>
                <c:pt idx="625">
                  <c:v>41</c:v>
                </c:pt>
                <c:pt idx="626">
                  <c:v>41</c:v>
                </c:pt>
                <c:pt idx="627">
                  <c:v>41</c:v>
                </c:pt>
                <c:pt idx="628">
                  <c:v>41</c:v>
                </c:pt>
                <c:pt idx="629">
                  <c:v>41</c:v>
                </c:pt>
                <c:pt idx="630">
                  <c:v>41</c:v>
                </c:pt>
                <c:pt idx="631">
                  <c:v>41</c:v>
                </c:pt>
                <c:pt idx="632">
                  <c:v>41</c:v>
                </c:pt>
                <c:pt idx="633">
                  <c:v>41</c:v>
                </c:pt>
                <c:pt idx="634">
                  <c:v>41</c:v>
                </c:pt>
                <c:pt idx="635">
                  <c:v>41</c:v>
                </c:pt>
                <c:pt idx="636">
                  <c:v>41</c:v>
                </c:pt>
                <c:pt idx="637">
                  <c:v>40</c:v>
                </c:pt>
                <c:pt idx="638">
                  <c:v>40</c:v>
                </c:pt>
                <c:pt idx="639">
                  <c:v>40</c:v>
                </c:pt>
                <c:pt idx="640">
                  <c:v>40</c:v>
                </c:pt>
                <c:pt idx="641">
                  <c:v>40</c:v>
                </c:pt>
                <c:pt idx="642">
                  <c:v>40</c:v>
                </c:pt>
                <c:pt idx="643">
                  <c:v>40</c:v>
                </c:pt>
                <c:pt idx="644">
                  <c:v>40</c:v>
                </c:pt>
                <c:pt idx="645">
                  <c:v>40</c:v>
                </c:pt>
                <c:pt idx="646">
                  <c:v>40</c:v>
                </c:pt>
                <c:pt idx="647">
                  <c:v>40</c:v>
                </c:pt>
                <c:pt idx="648">
                  <c:v>40</c:v>
                </c:pt>
                <c:pt idx="649">
                  <c:v>40</c:v>
                </c:pt>
                <c:pt idx="650">
                  <c:v>40</c:v>
                </c:pt>
                <c:pt idx="651">
                  <c:v>40</c:v>
                </c:pt>
                <c:pt idx="652">
                  <c:v>40</c:v>
                </c:pt>
                <c:pt idx="653">
                  <c:v>40</c:v>
                </c:pt>
                <c:pt idx="654">
                  <c:v>40</c:v>
                </c:pt>
                <c:pt idx="655">
                  <c:v>40</c:v>
                </c:pt>
                <c:pt idx="656">
                  <c:v>40</c:v>
                </c:pt>
                <c:pt idx="657">
                  <c:v>40</c:v>
                </c:pt>
                <c:pt idx="658">
                  <c:v>40</c:v>
                </c:pt>
                <c:pt idx="659">
                  <c:v>40</c:v>
                </c:pt>
                <c:pt idx="660">
                  <c:v>40</c:v>
                </c:pt>
                <c:pt idx="661">
                  <c:v>40</c:v>
                </c:pt>
                <c:pt idx="662">
                  <c:v>40</c:v>
                </c:pt>
                <c:pt idx="663">
                  <c:v>40</c:v>
                </c:pt>
                <c:pt idx="664">
                  <c:v>39</c:v>
                </c:pt>
                <c:pt idx="665">
                  <c:v>39</c:v>
                </c:pt>
                <c:pt idx="666">
                  <c:v>39</c:v>
                </c:pt>
                <c:pt idx="667">
                  <c:v>39</c:v>
                </c:pt>
                <c:pt idx="668">
                  <c:v>39</c:v>
                </c:pt>
                <c:pt idx="669">
                  <c:v>39</c:v>
                </c:pt>
                <c:pt idx="670">
                  <c:v>39</c:v>
                </c:pt>
                <c:pt idx="671">
                  <c:v>39</c:v>
                </c:pt>
                <c:pt idx="672">
                  <c:v>39</c:v>
                </c:pt>
                <c:pt idx="673">
                  <c:v>39</c:v>
                </c:pt>
                <c:pt idx="674">
                  <c:v>39</c:v>
                </c:pt>
                <c:pt idx="675">
                  <c:v>39</c:v>
                </c:pt>
                <c:pt idx="676">
                  <c:v>39</c:v>
                </c:pt>
                <c:pt idx="677">
                  <c:v>39</c:v>
                </c:pt>
                <c:pt idx="678">
                  <c:v>39</c:v>
                </c:pt>
                <c:pt idx="679">
                  <c:v>39</c:v>
                </c:pt>
                <c:pt idx="680">
                  <c:v>39</c:v>
                </c:pt>
                <c:pt idx="681">
                  <c:v>39</c:v>
                </c:pt>
                <c:pt idx="682">
                  <c:v>39</c:v>
                </c:pt>
                <c:pt idx="683">
                  <c:v>39</c:v>
                </c:pt>
                <c:pt idx="684">
                  <c:v>39</c:v>
                </c:pt>
                <c:pt idx="685">
                  <c:v>39</c:v>
                </c:pt>
                <c:pt idx="686">
                  <c:v>39</c:v>
                </c:pt>
                <c:pt idx="687">
                  <c:v>39</c:v>
                </c:pt>
                <c:pt idx="688">
                  <c:v>39</c:v>
                </c:pt>
                <c:pt idx="689">
                  <c:v>38</c:v>
                </c:pt>
                <c:pt idx="690">
                  <c:v>38</c:v>
                </c:pt>
                <c:pt idx="691">
                  <c:v>38</c:v>
                </c:pt>
                <c:pt idx="692">
                  <c:v>38</c:v>
                </c:pt>
                <c:pt idx="693">
                  <c:v>38</c:v>
                </c:pt>
                <c:pt idx="694">
                  <c:v>38</c:v>
                </c:pt>
                <c:pt idx="695">
                  <c:v>38</c:v>
                </c:pt>
                <c:pt idx="696">
                  <c:v>38</c:v>
                </c:pt>
                <c:pt idx="697">
                  <c:v>38</c:v>
                </c:pt>
                <c:pt idx="698">
                  <c:v>38</c:v>
                </c:pt>
                <c:pt idx="699">
                  <c:v>38</c:v>
                </c:pt>
                <c:pt idx="700">
                  <c:v>38</c:v>
                </c:pt>
                <c:pt idx="701">
                  <c:v>38</c:v>
                </c:pt>
                <c:pt idx="702">
                  <c:v>38</c:v>
                </c:pt>
                <c:pt idx="703">
                  <c:v>38</c:v>
                </c:pt>
                <c:pt idx="704">
                  <c:v>38</c:v>
                </c:pt>
                <c:pt idx="705">
                  <c:v>38</c:v>
                </c:pt>
                <c:pt idx="706">
                  <c:v>38</c:v>
                </c:pt>
                <c:pt idx="707">
                  <c:v>38</c:v>
                </c:pt>
                <c:pt idx="708">
                  <c:v>38</c:v>
                </c:pt>
                <c:pt idx="709">
                  <c:v>38</c:v>
                </c:pt>
                <c:pt idx="710">
                  <c:v>38</c:v>
                </c:pt>
                <c:pt idx="711">
                  <c:v>38</c:v>
                </c:pt>
                <c:pt idx="712">
                  <c:v>38</c:v>
                </c:pt>
                <c:pt idx="713">
                  <c:v>38</c:v>
                </c:pt>
                <c:pt idx="714">
                  <c:v>37</c:v>
                </c:pt>
                <c:pt idx="715">
                  <c:v>37</c:v>
                </c:pt>
                <c:pt idx="716">
                  <c:v>37</c:v>
                </c:pt>
                <c:pt idx="717">
                  <c:v>37</c:v>
                </c:pt>
                <c:pt idx="718">
                  <c:v>37</c:v>
                </c:pt>
                <c:pt idx="719">
                  <c:v>37</c:v>
                </c:pt>
                <c:pt idx="720">
                  <c:v>37</c:v>
                </c:pt>
                <c:pt idx="721">
                  <c:v>37</c:v>
                </c:pt>
                <c:pt idx="722">
                  <c:v>37</c:v>
                </c:pt>
                <c:pt idx="723">
                  <c:v>37</c:v>
                </c:pt>
                <c:pt idx="724">
                  <c:v>37</c:v>
                </c:pt>
                <c:pt idx="725">
                  <c:v>37</c:v>
                </c:pt>
                <c:pt idx="726">
                  <c:v>37</c:v>
                </c:pt>
                <c:pt idx="727">
                  <c:v>37</c:v>
                </c:pt>
                <c:pt idx="728">
                  <c:v>37</c:v>
                </c:pt>
                <c:pt idx="729">
                  <c:v>37</c:v>
                </c:pt>
                <c:pt idx="730">
                  <c:v>37</c:v>
                </c:pt>
                <c:pt idx="731">
                  <c:v>37</c:v>
                </c:pt>
                <c:pt idx="732">
                  <c:v>37</c:v>
                </c:pt>
                <c:pt idx="733">
                  <c:v>37</c:v>
                </c:pt>
                <c:pt idx="734">
                  <c:v>37</c:v>
                </c:pt>
                <c:pt idx="735">
                  <c:v>37</c:v>
                </c:pt>
                <c:pt idx="736">
                  <c:v>37</c:v>
                </c:pt>
                <c:pt idx="737">
                  <c:v>37</c:v>
                </c:pt>
                <c:pt idx="738">
                  <c:v>37</c:v>
                </c:pt>
                <c:pt idx="739">
                  <c:v>36</c:v>
                </c:pt>
                <c:pt idx="740">
                  <c:v>36</c:v>
                </c:pt>
                <c:pt idx="741">
                  <c:v>36</c:v>
                </c:pt>
                <c:pt idx="742">
                  <c:v>36</c:v>
                </c:pt>
                <c:pt idx="743">
                  <c:v>36</c:v>
                </c:pt>
                <c:pt idx="744">
                  <c:v>36</c:v>
                </c:pt>
                <c:pt idx="745">
                  <c:v>36</c:v>
                </c:pt>
                <c:pt idx="746">
                  <c:v>36</c:v>
                </c:pt>
                <c:pt idx="747">
                  <c:v>36</c:v>
                </c:pt>
                <c:pt idx="748">
                  <c:v>36</c:v>
                </c:pt>
                <c:pt idx="749">
                  <c:v>36</c:v>
                </c:pt>
                <c:pt idx="750">
                  <c:v>36</c:v>
                </c:pt>
                <c:pt idx="751">
                  <c:v>36</c:v>
                </c:pt>
                <c:pt idx="752">
                  <c:v>36</c:v>
                </c:pt>
                <c:pt idx="753">
                  <c:v>36</c:v>
                </c:pt>
                <c:pt idx="754">
                  <c:v>36</c:v>
                </c:pt>
                <c:pt idx="755">
                  <c:v>36</c:v>
                </c:pt>
                <c:pt idx="756">
                  <c:v>36</c:v>
                </c:pt>
                <c:pt idx="757">
                  <c:v>36</c:v>
                </c:pt>
                <c:pt idx="758">
                  <c:v>36</c:v>
                </c:pt>
                <c:pt idx="759">
                  <c:v>36</c:v>
                </c:pt>
                <c:pt idx="760">
                  <c:v>36</c:v>
                </c:pt>
                <c:pt idx="761">
                  <c:v>36</c:v>
                </c:pt>
                <c:pt idx="762">
                  <c:v>36</c:v>
                </c:pt>
                <c:pt idx="763">
                  <c:v>36</c:v>
                </c:pt>
                <c:pt idx="764">
                  <c:v>35</c:v>
                </c:pt>
                <c:pt idx="765">
                  <c:v>35</c:v>
                </c:pt>
                <c:pt idx="766">
                  <c:v>35</c:v>
                </c:pt>
                <c:pt idx="767">
                  <c:v>35</c:v>
                </c:pt>
                <c:pt idx="768">
                  <c:v>35</c:v>
                </c:pt>
                <c:pt idx="769">
                  <c:v>35</c:v>
                </c:pt>
                <c:pt idx="770">
                  <c:v>35</c:v>
                </c:pt>
                <c:pt idx="771">
                  <c:v>35</c:v>
                </c:pt>
                <c:pt idx="772">
                  <c:v>35</c:v>
                </c:pt>
                <c:pt idx="773">
                  <c:v>35</c:v>
                </c:pt>
                <c:pt idx="774">
                  <c:v>35</c:v>
                </c:pt>
                <c:pt idx="775">
                  <c:v>35</c:v>
                </c:pt>
                <c:pt idx="776">
                  <c:v>35</c:v>
                </c:pt>
                <c:pt idx="777">
                  <c:v>35</c:v>
                </c:pt>
                <c:pt idx="778">
                  <c:v>35</c:v>
                </c:pt>
                <c:pt idx="779">
                  <c:v>35</c:v>
                </c:pt>
                <c:pt idx="780">
                  <c:v>35</c:v>
                </c:pt>
                <c:pt idx="781">
                  <c:v>35</c:v>
                </c:pt>
                <c:pt idx="782">
                  <c:v>35</c:v>
                </c:pt>
                <c:pt idx="783">
                  <c:v>35</c:v>
                </c:pt>
                <c:pt idx="784">
                  <c:v>35</c:v>
                </c:pt>
                <c:pt idx="785">
                  <c:v>35</c:v>
                </c:pt>
                <c:pt idx="786">
                  <c:v>35</c:v>
                </c:pt>
                <c:pt idx="787">
                  <c:v>35</c:v>
                </c:pt>
                <c:pt idx="788">
                  <c:v>35</c:v>
                </c:pt>
                <c:pt idx="789">
                  <c:v>34</c:v>
                </c:pt>
                <c:pt idx="790">
                  <c:v>34</c:v>
                </c:pt>
                <c:pt idx="791">
                  <c:v>34</c:v>
                </c:pt>
                <c:pt idx="792">
                  <c:v>34</c:v>
                </c:pt>
                <c:pt idx="793">
                  <c:v>34</c:v>
                </c:pt>
                <c:pt idx="794">
                  <c:v>34</c:v>
                </c:pt>
                <c:pt idx="795">
                  <c:v>34</c:v>
                </c:pt>
                <c:pt idx="796">
                  <c:v>34</c:v>
                </c:pt>
                <c:pt idx="797">
                  <c:v>34</c:v>
                </c:pt>
                <c:pt idx="798">
                  <c:v>34</c:v>
                </c:pt>
                <c:pt idx="799">
                  <c:v>34</c:v>
                </c:pt>
                <c:pt idx="800">
                  <c:v>34</c:v>
                </c:pt>
                <c:pt idx="801">
                  <c:v>34</c:v>
                </c:pt>
                <c:pt idx="802">
                  <c:v>34</c:v>
                </c:pt>
                <c:pt idx="803">
                  <c:v>34</c:v>
                </c:pt>
                <c:pt idx="804">
                  <c:v>34</c:v>
                </c:pt>
                <c:pt idx="805">
                  <c:v>34</c:v>
                </c:pt>
                <c:pt idx="806">
                  <c:v>34</c:v>
                </c:pt>
                <c:pt idx="807">
                  <c:v>34</c:v>
                </c:pt>
                <c:pt idx="808">
                  <c:v>34</c:v>
                </c:pt>
                <c:pt idx="809">
                  <c:v>34</c:v>
                </c:pt>
                <c:pt idx="810">
                  <c:v>34</c:v>
                </c:pt>
                <c:pt idx="811">
                  <c:v>34</c:v>
                </c:pt>
                <c:pt idx="812">
                  <c:v>34</c:v>
                </c:pt>
                <c:pt idx="813">
                  <c:v>34</c:v>
                </c:pt>
                <c:pt idx="814">
                  <c:v>34</c:v>
                </c:pt>
                <c:pt idx="815">
                  <c:v>33</c:v>
                </c:pt>
                <c:pt idx="816">
                  <c:v>33</c:v>
                </c:pt>
                <c:pt idx="817">
                  <c:v>33</c:v>
                </c:pt>
                <c:pt idx="818">
                  <c:v>33</c:v>
                </c:pt>
                <c:pt idx="819">
                  <c:v>33</c:v>
                </c:pt>
                <c:pt idx="820">
                  <c:v>33</c:v>
                </c:pt>
                <c:pt idx="821">
                  <c:v>33</c:v>
                </c:pt>
                <c:pt idx="822">
                  <c:v>33</c:v>
                </c:pt>
                <c:pt idx="823">
                  <c:v>33</c:v>
                </c:pt>
                <c:pt idx="824">
                  <c:v>33</c:v>
                </c:pt>
                <c:pt idx="825">
                  <c:v>33</c:v>
                </c:pt>
                <c:pt idx="826">
                  <c:v>33</c:v>
                </c:pt>
                <c:pt idx="827">
                  <c:v>33</c:v>
                </c:pt>
                <c:pt idx="828">
                  <c:v>33</c:v>
                </c:pt>
                <c:pt idx="829">
                  <c:v>33</c:v>
                </c:pt>
                <c:pt idx="830">
                  <c:v>33</c:v>
                </c:pt>
                <c:pt idx="831">
                  <c:v>33</c:v>
                </c:pt>
                <c:pt idx="832">
                  <c:v>33</c:v>
                </c:pt>
                <c:pt idx="833">
                  <c:v>33</c:v>
                </c:pt>
                <c:pt idx="834">
                  <c:v>33</c:v>
                </c:pt>
                <c:pt idx="835">
                  <c:v>33</c:v>
                </c:pt>
                <c:pt idx="836">
                  <c:v>33</c:v>
                </c:pt>
                <c:pt idx="837">
                  <c:v>33</c:v>
                </c:pt>
                <c:pt idx="838">
                  <c:v>33</c:v>
                </c:pt>
                <c:pt idx="839">
                  <c:v>33</c:v>
                </c:pt>
                <c:pt idx="840">
                  <c:v>33</c:v>
                </c:pt>
                <c:pt idx="841">
                  <c:v>32</c:v>
                </c:pt>
                <c:pt idx="842">
                  <c:v>32</c:v>
                </c:pt>
                <c:pt idx="843">
                  <c:v>32</c:v>
                </c:pt>
                <c:pt idx="844">
                  <c:v>32</c:v>
                </c:pt>
                <c:pt idx="845">
                  <c:v>32</c:v>
                </c:pt>
                <c:pt idx="846">
                  <c:v>32</c:v>
                </c:pt>
                <c:pt idx="847">
                  <c:v>32</c:v>
                </c:pt>
                <c:pt idx="848">
                  <c:v>32</c:v>
                </c:pt>
                <c:pt idx="849">
                  <c:v>32</c:v>
                </c:pt>
                <c:pt idx="850">
                  <c:v>32</c:v>
                </c:pt>
                <c:pt idx="851">
                  <c:v>32</c:v>
                </c:pt>
                <c:pt idx="852">
                  <c:v>32</c:v>
                </c:pt>
                <c:pt idx="853">
                  <c:v>32</c:v>
                </c:pt>
                <c:pt idx="854">
                  <c:v>32</c:v>
                </c:pt>
                <c:pt idx="855">
                  <c:v>32</c:v>
                </c:pt>
                <c:pt idx="856">
                  <c:v>32</c:v>
                </c:pt>
                <c:pt idx="857">
                  <c:v>32</c:v>
                </c:pt>
                <c:pt idx="858">
                  <c:v>32</c:v>
                </c:pt>
                <c:pt idx="859">
                  <c:v>32</c:v>
                </c:pt>
                <c:pt idx="860">
                  <c:v>32</c:v>
                </c:pt>
                <c:pt idx="861">
                  <c:v>32</c:v>
                </c:pt>
                <c:pt idx="862">
                  <c:v>32</c:v>
                </c:pt>
                <c:pt idx="863">
                  <c:v>32</c:v>
                </c:pt>
                <c:pt idx="864">
                  <c:v>32</c:v>
                </c:pt>
                <c:pt idx="865">
                  <c:v>32</c:v>
                </c:pt>
                <c:pt idx="866">
                  <c:v>32</c:v>
                </c:pt>
                <c:pt idx="867">
                  <c:v>31</c:v>
                </c:pt>
                <c:pt idx="868">
                  <c:v>31</c:v>
                </c:pt>
                <c:pt idx="869">
                  <c:v>31</c:v>
                </c:pt>
                <c:pt idx="870">
                  <c:v>31</c:v>
                </c:pt>
                <c:pt idx="871">
                  <c:v>31</c:v>
                </c:pt>
                <c:pt idx="872">
                  <c:v>31</c:v>
                </c:pt>
                <c:pt idx="873">
                  <c:v>31</c:v>
                </c:pt>
                <c:pt idx="874">
                  <c:v>31</c:v>
                </c:pt>
                <c:pt idx="875">
                  <c:v>31</c:v>
                </c:pt>
                <c:pt idx="876">
                  <c:v>31</c:v>
                </c:pt>
                <c:pt idx="877">
                  <c:v>31</c:v>
                </c:pt>
                <c:pt idx="878">
                  <c:v>31</c:v>
                </c:pt>
                <c:pt idx="879">
                  <c:v>31</c:v>
                </c:pt>
                <c:pt idx="880">
                  <c:v>31</c:v>
                </c:pt>
                <c:pt idx="881">
                  <c:v>31</c:v>
                </c:pt>
                <c:pt idx="882">
                  <c:v>31</c:v>
                </c:pt>
                <c:pt idx="883">
                  <c:v>31</c:v>
                </c:pt>
                <c:pt idx="884">
                  <c:v>31</c:v>
                </c:pt>
                <c:pt idx="885">
                  <c:v>31</c:v>
                </c:pt>
                <c:pt idx="886">
                  <c:v>31</c:v>
                </c:pt>
                <c:pt idx="887">
                  <c:v>31</c:v>
                </c:pt>
                <c:pt idx="888">
                  <c:v>31</c:v>
                </c:pt>
                <c:pt idx="889">
                  <c:v>31</c:v>
                </c:pt>
                <c:pt idx="890">
                  <c:v>31</c:v>
                </c:pt>
                <c:pt idx="891">
                  <c:v>31</c:v>
                </c:pt>
                <c:pt idx="892">
                  <c:v>31</c:v>
                </c:pt>
                <c:pt idx="893">
                  <c:v>31</c:v>
                </c:pt>
                <c:pt idx="894">
                  <c:v>30</c:v>
                </c:pt>
                <c:pt idx="895">
                  <c:v>30</c:v>
                </c:pt>
                <c:pt idx="896">
                  <c:v>30</c:v>
                </c:pt>
                <c:pt idx="897">
                  <c:v>30</c:v>
                </c:pt>
                <c:pt idx="898">
                  <c:v>30</c:v>
                </c:pt>
                <c:pt idx="899">
                  <c:v>30</c:v>
                </c:pt>
                <c:pt idx="900">
                  <c:v>30</c:v>
                </c:pt>
                <c:pt idx="901">
                  <c:v>30</c:v>
                </c:pt>
                <c:pt idx="902">
                  <c:v>30</c:v>
                </c:pt>
                <c:pt idx="903">
                  <c:v>30</c:v>
                </c:pt>
                <c:pt idx="904">
                  <c:v>30</c:v>
                </c:pt>
                <c:pt idx="905">
                  <c:v>30</c:v>
                </c:pt>
                <c:pt idx="906">
                  <c:v>30</c:v>
                </c:pt>
                <c:pt idx="907">
                  <c:v>30</c:v>
                </c:pt>
                <c:pt idx="908">
                  <c:v>30</c:v>
                </c:pt>
                <c:pt idx="909">
                  <c:v>30</c:v>
                </c:pt>
                <c:pt idx="910">
                  <c:v>30</c:v>
                </c:pt>
                <c:pt idx="911">
                  <c:v>30</c:v>
                </c:pt>
                <c:pt idx="912">
                  <c:v>30</c:v>
                </c:pt>
                <c:pt idx="913">
                  <c:v>30</c:v>
                </c:pt>
                <c:pt idx="914">
                  <c:v>30</c:v>
                </c:pt>
                <c:pt idx="915">
                  <c:v>30</c:v>
                </c:pt>
                <c:pt idx="916">
                  <c:v>30</c:v>
                </c:pt>
                <c:pt idx="917">
                  <c:v>30</c:v>
                </c:pt>
                <c:pt idx="918">
                  <c:v>30</c:v>
                </c:pt>
                <c:pt idx="919">
                  <c:v>30</c:v>
                </c:pt>
                <c:pt idx="920">
                  <c:v>30</c:v>
                </c:pt>
                <c:pt idx="921">
                  <c:v>29</c:v>
                </c:pt>
                <c:pt idx="922">
                  <c:v>29</c:v>
                </c:pt>
                <c:pt idx="923">
                  <c:v>29</c:v>
                </c:pt>
                <c:pt idx="924">
                  <c:v>29</c:v>
                </c:pt>
                <c:pt idx="925">
                  <c:v>29</c:v>
                </c:pt>
                <c:pt idx="926">
                  <c:v>29</c:v>
                </c:pt>
                <c:pt idx="927">
                  <c:v>29</c:v>
                </c:pt>
                <c:pt idx="928">
                  <c:v>29</c:v>
                </c:pt>
                <c:pt idx="929">
                  <c:v>29</c:v>
                </c:pt>
                <c:pt idx="930">
                  <c:v>29</c:v>
                </c:pt>
                <c:pt idx="931">
                  <c:v>29</c:v>
                </c:pt>
                <c:pt idx="932">
                  <c:v>29</c:v>
                </c:pt>
                <c:pt idx="933">
                  <c:v>29</c:v>
                </c:pt>
                <c:pt idx="934">
                  <c:v>29</c:v>
                </c:pt>
                <c:pt idx="935">
                  <c:v>29</c:v>
                </c:pt>
                <c:pt idx="936">
                  <c:v>29</c:v>
                </c:pt>
                <c:pt idx="937">
                  <c:v>29</c:v>
                </c:pt>
                <c:pt idx="938">
                  <c:v>29</c:v>
                </c:pt>
                <c:pt idx="939">
                  <c:v>29</c:v>
                </c:pt>
                <c:pt idx="940">
                  <c:v>29</c:v>
                </c:pt>
                <c:pt idx="941">
                  <c:v>29</c:v>
                </c:pt>
                <c:pt idx="942">
                  <c:v>29</c:v>
                </c:pt>
                <c:pt idx="943">
                  <c:v>29</c:v>
                </c:pt>
                <c:pt idx="944">
                  <c:v>29</c:v>
                </c:pt>
                <c:pt idx="945">
                  <c:v>29</c:v>
                </c:pt>
                <c:pt idx="946">
                  <c:v>29</c:v>
                </c:pt>
                <c:pt idx="947">
                  <c:v>29</c:v>
                </c:pt>
                <c:pt idx="948">
                  <c:v>28</c:v>
                </c:pt>
                <c:pt idx="949">
                  <c:v>28</c:v>
                </c:pt>
                <c:pt idx="950">
                  <c:v>28</c:v>
                </c:pt>
                <c:pt idx="951">
                  <c:v>28</c:v>
                </c:pt>
                <c:pt idx="952">
                  <c:v>28</c:v>
                </c:pt>
                <c:pt idx="953">
                  <c:v>28</c:v>
                </c:pt>
                <c:pt idx="954">
                  <c:v>28</c:v>
                </c:pt>
                <c:pt idx="955">
                  <c:v>28</c:v>
                </c:pt>
                <c:pt idx="956">
                  <c:v>28</c:v>
                </c:pt>
                <c:pt idx="957">
                  <c:v>28</c:v>
                </c:pt>
                <c:pt idx="958">
                  <c:v>28</c:v>
                </c:pt>
                <c:pt idx="959">
                  <c:v>28</c:v>
                </c:pt>
                <c:pt idx="960">
                  <c:v>28</c:v>
                </c:pt>
                <c:pt idx="961">
                  <c:v>28</c:v>
                </c:pt>
                <c:pt idx="962">
                  <c:v>28</c:v>
                </c:pt>
                <c:pt idx="963">
                  <c:v>28</c:v>
                </c:pt>
                <c:pt idx="964">
                  <c:v>28</c:v>
                </c:pt>
                <c:pt idx="965">
                  <c:v>28</c:v>
                </c:pt>
                <c:pt idx="966">
                  <c:v>28</c:v>
                </c:pt>
                <c:pt idx="967">
                  <c:v>28</c:v>
                </c:pt>
                <c:pt idx="968">
                  <c:v>28</c:v>
                </c:pt>
                <c:pt idx="969">
                  <c:v>28</c:v>
                </c:pt>
                <c:pt idx="970">
                  <c:v>28</c:v>
                </c:pt>
                <c:pt idx="971">
                  <c:v>28</c:v>
                </c:pt>
                <c:pt idx="972">
                  <c:v>28</c:v>
                </c:pt>
                <c:pt idx="973">
                  <c:v>28</c:v>
                </c:pt>
                <c:pt idx="974">
                  <c:v>28</c:v>
                </c:pt>
                <c:pt idx="975">
                  <c:v>28</c:v>
                </c:pt>
                <c:pt idx="976">
                  <c:v>27</c:v>
                </c:pt>
                <c:pt idx="977">
                  <c:v>27</c:v>
                </c:pt>
                <c:pt idx="978">
                  <c:v>27</c:v>
                </c:pt>
                <c:pt idx="979">
                  <c:v>27</c:v>
                </c:pt>
                <c:pt idx="980">
                  <c:v>27</c:v>
                </c:pt>
                <c:pt idx="981">
                  <c:v>27</c:v>
                </c:pt>
                <c:pt idx="982">
                  <c:v>27</c:v>
                </c:pt>
                <c:pt idx="983">
                  <c:v>27</c:v>
                </c:pt>
                <c:pt idx="984">
                  <c:v>27</c:v>
                </c:pt>
                <c:pt idx="985">
                  <c:v>27</c:v>
                </c:pt>
                <c:pt idx="986">
                  <c:v>27</c:v>
                </c:pt>
                <c:pt idx="987">
                  <c:v>27</c:v>
                </c:pt>
                <c:pt idx="988">
                  <c:v>27</c:v>
                </c:pt>
                <c:pt idx="989">
                  <c:v>27</c:v>
                </c:pt>
                <c:pt idx="990">
                  <c:v>27</c:v>
                </c:pt>
                <c:pt idx="991">
                  <c:v>27</c:v>
                </c:pt>
                <c:pt idx="992">
                  <c:v>27</c:v>
                </c:pt>
                <c:pt idx="993">
                  <c:v>27</c:v>
                </c:pt>
                <c:pt idx="994">
                  <c:v>27</c:v>
                </c:pt>
                <c:pt idx="995">
                  <c:v>27</c:v>
                </c:pt>
                <c:pt idx="996">
                  <c:v>27</c:v>
                </c:pt>
                <c:pt idx="997">
                  <c:v>27</c:v>
                </c:pt>
                <c:pt idx="998">
                  <c:v>27</c:v>
                </c:pt>
                <c:pt idx="999">
                  <c:v>27</c:v>
                </c:pt>
                <c:pt idx="1000">
                  <c:v>27</c:v>
                </c:pt>
                <c:pt idx="1001">
                  <c:v>27</c:v>
                </c:pt>
                <c:pt idx="1002">
                  <c:v>27</c:v>
                </c:pt>
                <c:pt idx="1003">
                  <c:v>27</c:v>
                </c:pt>
                <c:pt idx="1004">
                  <c:v>26</c:v>
                </c:pt>
                <c:pt idx="1005">
                  <c:v>26</c:v>
                </c:pt>
                <c:pt idx="1006">
                  <c:v>26</c:v>
                </c:pt>
                <c:pt idx="1007">
                  <c:v>26</c:v>
                </c:pt>
                <c:pt idx="1008">
                  <c:v>26</c:v>
                </c:pt>
                <c:pt idx="1009">
                  <c:v>26</c:v>
                </c:pt>
                <c:pt idx="1010">
                  <c:v>26</c:v>
                </c:pt>
                <c:pt idx="1011">
                  <c:v>26</c:v>
                </c:pt>
                <c:pt idx="1012">
                  <c:v>26</c:v>
                </c:pt>
                <c:pt idx="1013">
                  <c:v>26</c:v>
                </c:pt>
                <c:pt idx="1014">
                  <c:v>26</c:v>
                </c:pt>
                <c:pt idx="1015">
                  <c:v>26</c:v>
                </c:pt>
                <c:pt idx="1016">
                  <c:v>26</c:v>
                </c:pt>
                <c:pt idx="1017">
                  <c:v>26</c:v>
                </c:pt>
                <c:pt idx="1018">
                  <c:v>26</c:v>
                </c:pt>
                <c:pt idx="1019">
                  <c:v>26</c:v>
                </c:pt>
                <c:pt idx="1020">
                  <c:v>26</c:v>
                </c:pt>
                <c:pt idx="1021">
                  <c:v>26</c:v>
                </c:pt>
                <c:pt idx="1022">
                  <c:v>26</c:v>
                </c:pt>
                <c:pt idx="1023">
                  <c:v>26</c:v>
                </c:pt>
                <c:pt idx="1024">
                  <c:v>26</c:v>
                </c:pt>
                <c:pt idx="1025">
                  <c:v>26</c:v>
                </c:pt>
                <c:pt idx="1026">
                  <c:v>26</c:v>
                </c:pt>
                <c:pt idx="1027">
                  <c:v>26</c:v>
                </c:pt>
                <c:pt idx="1028">
                  <c:v>26</c:v>
                </c:pt>
                <c:pt idx="1029">
                  <c:v>26</c:v>
                </c:pt>
                <c:pt idx="1030">
                  <c:v>26</c:v>
                </c:pt>
                <c:pt idx="1031">
                  <c:v>26</c:v>
                </c:pt>
                <c:pt idx="1032">
                  <c:v>25</c:v>
                </c:pt>
                <c:pt idx="1033">
                  <c:v>25</c:v>
                </c:pt>
                <c:pt idx="1034">
                  <c:v>25</c:v>
                </c:pt>
                <c:pt idx="1035">
                  <c:v>25</c:v>
                </c:pt>
                <c:pt idx="1036">
                  <c:v>25</c:v>
                </c:pt>
                <c:pt idx="1037">
                  <c:v>25</c:v>
                </c:pt>
                <c:pt idx="1038">
                  <c:v>25</c:v>
                </c:pt>
                <c:pt idx="1039">
                  <c:v>25</c:v>
                </c:pt>
                <c:pt idx="1040">
                  <c:v>25</c:v>
                </c:pt>
                <c:pt idx="1041">
                  <c:v>25</c:v>
                </c:pt>
                <c:pt idx="1042">
                  <c:v>25</c:v>
                </c:pt>
                <c:pt idx="1043">
                  <c:v>25</c:v>
                </c:pt>
                <c:pt idx="1044">
                  <c:v>25</c:v>
                </c:pt>
                <c:pt idx="1045">
                  <c:v>25</c:v>
                </c:pt>
                <c:pt idx="1046">
                  <c:v>25</c:v>
                </c:pt>
                <c:pt idx="1047">
                  <c:v>25</c:v>
                </c:pt>
                <c:pt idx="1048">
                  <c:v>25</c:v>
                </c:pt>
                <c:pt idx="1049">
                  <c:v>25</c:v>
                </c:pt>
                <c:pt idx="1050">
                  <c:v>25</c:v>
                </c:pt>
                <c:pt idx="1051">
                  <c:v>25</c:v>
                </c:pt>
                <c:pt idx="1052">
                  <c:v>25</c:v>
                </c:pt>
                <c:pt idx="1053">
                  <c:v>25</c:v>
                </c:pt>
                <c:pt idx="1054">
                  <c:v>25</c:v>
                </c:pt>
                <c:pt idx="1055">
                  <c:v>25</c:v>
                </c:pt>
                <c:pt idx="1056">
                  <c:v>25</c:v>
                </c:pt>
                <c:pt idx="1057">
                  <c:v>25</c:v>
                </c:pt>
                <c:pt idx="1058">
                  <c:v>25</c:v>
                </c:pt>
                <c:pt idx="1059">
                  <c:v>25</c:v>
                </c:pt>
                <c:pt idx="1060">
                  <c:v>24</c:v>
                </c:pt>
                <c:pt idx="1061">
                  <c:v>24</c:v>
                </c:pt>
                <c:pt idx="1062">
                  <c:v>24</c:v>
                </c:pt>
                <c:pt idx="1063">
                  <c:v>24</c:v>
                </c:pt>
                <c:pt idx="1064">
                  <c:v>24</c:v>
                </c:pt>
                <c:pt idx="1065">
                  <c:v>24</c:v>
                </c:pt>
                <c:pt idx="1066">
                  <c:v>24</c:v>
                </c:pt>
                <c:pt idx="1067">
                  <c:v>24</c:v>
                </c:pt>
                <c:pt idx="1068">
                  <c:v>24</c:v>
                </c:pt>
                <c:pt idx="1069">
                  <c:v>24</c:v>
                </c:pt>
                <c:pt idx="1070">
                  <c:v>24</c:v>
                </c:pt>
                <c:pt idx="1071">
                  <c:v>24</c:v>
                </c:pt>
                <c:pt idx="1072">
                  <c:v>24</c:v>
                </c:pt>
                <c:pt idx="1073">
                  <c:v>24</c:v>
                </c:pt>
                <c:pt idx="1074">
                  <c:v>24</c:v>
                </c:pt>
                <c:pt idx="1075">
                  <c:v>24</c:v>
                </c:pt>
                <c:pt idx="1076">
                  <c:v>24</c:v>
                </c:pt>
                <c:pt idx="1077">
                  <c:v>24</c:v>
                </c:pt>
                <c:pt idx="1078">
                  <c:v>24</c:v>
                </c:pt>
                <c:pt idx="1079">
                  <c:v>24</c:v>
                </c:pt>
                <c:pt idx="1080">
                  <c:v>24</c:v>
                </c:pt>
                <c:pt idx="1081">
                  <c:v>24</c:v>
                </c:pt>
                <c:pt idx="1082">
                  <c:v>24</c:v>
                </c:pt>
                <c:pt idx="1083">
                  <c:v>24</c:v>
                </c:pt>
                <c:pt idx="1084">
                  <c:v>24</c:v>
                </c:pt>
                <c:pt idx="1085">
                  <c:v>24</c:v>
                </c:pt>
                <c:pt idx="1086">
                  <c:v>24</c:v>
                </c:pt>
                <c:pt idx="1087">
                  <c:v>24</c:v>
                </c:pt>
                <c:pt idx="1088">
                  <c:v>23</c:v>
                </c:pt>
                <c:pt idx="1089">
                  <c:v>23</c:v>
                </c:pt>
                <c:pt idx="1090">
                  <c:v>23</c:v>
                </c:pt>
                <c:pt idx="1091">
                  <c:v>23</c:v>
                </c:pt>
                <c:pt idx="1092">
                  <c:v>23</c:v>
                </c:pt>
                <c:pt idx="1093">
                  <c:v>23</c:v>
                </c:pt>
                <c:pt idx="1094">
                  <c:v>23</c:v>
                </c:pt>
                <c:pt idx="1095">
                  <c:v>23</c:v>
                </c:pt>
                <c:pt idx="1096">
                  <c:v>23</c:v>
                </c:pt>
                <c:pt idx="1097">
                  <c:v>23</c:v>
                </c:pt>
                <c:pt idx="1098">
                  <c:v>23</c:v>
                </c:pt>
                <c:pt idx="1099">
                  <c:v>23</c:v>
                </c:pt>
                <c:pt idx="1100">
                  <c:v>23</c:v>
                </c:pt>
                <c:pt idx="1101">
                  <c:v>23</c:v>
                </c:pt>
                <c:pt idx="1102">
                  <c:v>23</c:v>
                </c:pt>
                <c:pt idx="1103">
                  <c:v>23</c:v>
                </c:pt>
                <c:pt idx="1104">
                  <c:v>23</c:v>
                </c:pt>
                <c:pt idx="1105">
                  <c:v>23</c:v>
                </c:pt>
                <c:pt idx="1106">
                  <c:v>23</c:v>
                </c:pt>
                <c:pt idx="1107">
                  <c:v>23</c:v>
                </c:pt>
                <c:pt idx="1108">
                  <c:v>23</c:v>
                </c:pt>
                <c:pt idx="1109">
                  <c:v>23</c:v>
                </c:pt>
                <c:pt idx="1110">
                  <c:v>23</c:v>
                </c:pt>
                <c:pt idx="1111">
                  <c:v>23</c:v>
                </c:pt>
                <c:pt idx="1112">
                  <c:v>23</c:v>
                </c:pt>
                <c:pt idx="1113">
                  <c:v>23</c:v>
                </c:pt>
                <c:pt idx="1114">
                  <c:v>23</c:v>
                </c:pt>
                <c:pt idx="1115">
                  <c:v>23</c:v>
                </c:pt>
                <c:pt idx="1116">
                  <c:v>22</c:v>
                </c:pt>
                <c:pt idx="1117">
                  <c:v>22</c:v>
                </c:pt>
                <c:pt idx="1118">
                  <c:v>22</c:v>
                </c:pt>
                <c:pt idx="1119">
                  <c:v>22</c:v>
                </c:pt>
                <c:pt idx="1120">
                  <c:v>22</c:v>
                </c:pt>
                <c:pt idx="1121">
                  <c:v>22</c:v>
                </c:pt>
                <c:pt idx="1122">
                  <c:v>22</c:v>
                </c:pt>
                <c:pt idx="1123">
                  <c:v>22</c:v>
                </c:pt>
                <c:pt idx="1124">
                  <c:v>22</c:v>
                </c:pt>
                <c:pt idx="1125">
                  <c:v>22</c:v>
                </c:pt>
                <c:pt idx="1126">
                  <c:v>22</c:v>
                </c:pt>
                <c:pt idx="1127">
                  <c:v>22</c:v>
                </c:pt>
                <c:pt idx="1128">
                  <c:v>22</c:v>
                </c:pt>
                <c:pt idx="1129">
                  <c:v>22</c:v>
                </c:pt>
                <c:pt idx="1130">
                  <c:v>22</c:v>
                </c:pt>
                <c:pt idx="1131">
                  <c:v>22</c:v>
                </c:pt>
                <c:pt idx="1132">
                  <c:v>22</c:v>
                </c:pt>
                <c:pt idx="1133">
                  <c:v>22</c:v>
                </c:pt>
                <c:pt idx="1134">
                  <c:v>22</c:v>
                </c:pt>
                <c:pt idx="1135">
                  <c:v>22</c:v>
                </c:pt>
                <c:pt idx="1136">
                  <c:v>22</c:v>
                </c:pt>
                <c:pt idx="1137">
                  <c:v>22</c:v>
                </c:pt>
                <c:pt idx="1138">
                  <c:v>22</c:v>
                </c:pt>
                <c:pt idx="1139">
                  <c:v>22</c:v>
                </c:pt>
                <c:pt idx="1140">
                  <c:v>22</c:v>
                </c:pt>
                <c:pt idx="1141">
                  <c:v>22</c:v>
                </c:pt>
                <c:pt idx="1142">
                  <c:v>22</c:v>
                </c:pt>
                <c:pt idx="1143">
                  <c:v>22</c:v>
                </c:pt>
                <c:pt idx="1144">
                  <c:v>21</c:v>
                </c:pt>
                <c:pt idx="1145">
                  <c:v>21</c:v>
                </c:pt>
                <c:pt idx="1146">
                  <c:v>21</c:v>
                </c:pt>
                <c:pt idx="1147">
                  <c:v>21</c:v>
                </c:pt>
                <c:pt idx="1148">
                  <c:v>21</c:v>
                </c:pt>
                <c:pt idx="1149">
                  <c:v>21</c:v>
                </c:pt>
                <c:pt idx="1150">
                  <c:v>21</c:v>
                </c:pt>
                <c:pt idx="1151">
                  <c:v>21</c:v>
                </c:pt>
                <c:pt idx="1152">
                  <c:v>21</c:v>
                </c:pt>
                <c:pt idx="1153">
                  <c:v>21</c:v>
                </c:pt>
                <c:pt idx="1154">
                  <c:v>21</c:v>
                </c:pt>
                <c:pt idx="1155">
                  <c:v>21</c:v>
                </c:pt>
                <c:pt idx="1156">
                  <c:v>21</c:v>
                </c:pt>
                <c:pt idx="1157">
                  <c:v>21</c:v>
                </c:pt>
                <c:pt idx="1158">
                  <c:v>21</c:v>
                </c:pt>
                <c:pt idx="1159">
                  <c:v>21</c:v>
                </c:pt>
                <c:pt idx="1160">
                  <c:v>21</c:v>
                </c:pt>
                <c:pt idx="1161">
                  <c:v>21</c:v>
                </c:pt>
                <c:pt idx="1162">
                  <c:v>21</c:v>
                </c:pt>
                <c:pt idx="1163">
                  <c:v>21</c:v>
                </c:pt>
                <c:pt idx="1164">
                  <c:v>21</c:v>
                </c:pt>
                <c:pt idx="1165">
                  <c:v>21</c:v>
                </c:pt>
                <c:pt idx="1166">
                  <c:v>21</c:v>
                </c:pt>
                <c:pt idx="1167">
                  <c:v>21</c:v>
                </c:pt>
                <c:pt idx="1168">
                  <c:v>21</c:v>
                </c:pt>
                <c:pt idx="1169">
                  <c:v>21</c:v>
                </c:pt>
                <c:pt idx="1170">
                  <c:v>21</c:v>
                </c:pt>
                <c:pt idx="1171">
                  <c:v>21</c:v>
                </c:pt>
                <c:pt idx="1172">
                  <c:v>20</c:v>
                </c:pt>
                <c:pt idx="1173">
                  <c:v>20</c:v>
                </c:pt>
                <c:pt idx="1174">
                  <c:v>20</c:v>
                </c:pt>
                <c:pt idx="1175">
                  <c:v>20</c:v>
                </c:pt>
                <c:pt idx="1176">
                  <c:v>20</c:v>
                </c:pt>
                <c:pt idx="1177">
                  <c:v>20</c:v>
                </c:pt>
                <c:pt idx="1178">
                  <c:v>20</c:v>
                </c:pt>
                <c:pt idx="1179">
                  <c:v>20</c:v>
                </c:pt>
                <c:pt idx="1180">
                  <c:v>20</c:v>
                </c:pt>
                <c:pt idx="1181">
                  <c:v>20</c:v>
                </c:pt>
                <c:pt idx="1182">
                  <c:v>20</c:v>
                </c:pt>
                <c:pt idx="1183">
                  <c:v>20</c:v>
                </c:pt>
                <c:pt idx="1184">
                  <c:v>20</c:v>
                </c:pt>
                <c:pt idx="1185">
                  <c:v>20</c:v>
                </c:pt>
                <c:pt idx="1186">
                  <c:v>20</c:v>
                </c:pt>
                <c:pt idx="1187">
                  <c:v>20</c:v>
                </c:pt>
                <c:pt idx="1188">
                  <c:v>20</c:v>
                </c:pt>
                <c:pt idx="1189">
                  <c:v>20</c:v>
                </c:pt>
                <c:pt idx="1190">
                  <c:v>20</c:v>
                </c:pt>
                <c:pt idx="1191">
                  <c:v>20</c:v>
                </c:pt>
                <c:pt idx="1192">
                  <c:v>20</c:v>
                </c:pt>
                <c:pt idx="1193">
                  <c:v>20</c:v>
                </c:pt>
                <c:pt idx="1194">
                  <c:v>20</c:v>
                </c:pt>
                <c:pt idx="1195">
                  <c:v>20</c:v>
                </c:pt>
                <c:pt idx="1196">
                  <c:v>20</c:v>
                </c:pt>
                <c:pt idx="1197">
                  <c:v>20</c:v>
                </c:pt>
                <c:pt idx="1198">
                  <c:v>20</c:v>
                </c:pt>
                <c:pt idx="1199">
                  <c:v>20</c:v>
                </c:pt>
                <c:pt idx="1200">
                  <c:v>20</c:v>
                </c:pt>
                <c:pt idx="1201">
                  <c:v>19</c:v>
                </c:pt>
                <c:pt idx="1202">
                  <c:v>19</c:v>
                </c:pt>
                <c:pt idx="1203">
                  <c:v>19</c:v>
                </c:pt>
                <c:pt idx="1204">
                  <c:v>19</c:v>
                </c:pt>
                <c:pt idx="1205">
                  <c:v>19</c:v>
                </c:pt>
                <c:pt idx="1206">
                  <c:v>19</c:v>
                </c:pt>
                <c:pt idx="1207">
                  <c:v>19</c:v>
                </c:pt>
                <c:pt idx="1208">
                  <c:v>19</c:v>
                </c:pt>
                <c:pt idx="1209">
                  <c:v>19</c:v>
                </c:pt>
                <c:pt idx="1210">
                  <c:v>19</c:v>
                </c:pt>
                <c:pt idx="1211">
                  <c:v>19</c:v>
                </c:pt>
                <c:pt idx="1212">
                  <c:v>19</c:v>
                </c:pt>
                <c:pt idx="1213">
                  <c:v>19</c:v>
                </c:pt>
                <c:pt idx="1214">
                  <c:v>19</c:v>
                </c:pt>
                <c:pt idx="1215">
                  <c:v>19</c:v>
                </c:pt>
                <c:pt idx="1216">
                  <c:v>19</c:v>
                </c:pt>
                <c:pt idx="1217">
                  <c:v>19</c:v>
                </c:pt>
                <c:pt idx="1218">
                  <c:v>19</c:v>
                </c:pt>
                <c:pt idx="1219">
                  <c:v>19</c:v>
                </c:pt>
                <c:pt idx="1220">
                  <c:v>19</c:v>
                </c:pt>
                <c:pt idx="1221">
                  <c:v>19</c:v>
                </c:pt>
                <c:pt idx="1222">
                  <c:v>19</c:v>
                </c:pt>
                <c:pt idx="1223">
                  <c:v>19</c:v>
                </c:pt>
                <c:pt idx="1224">
                  <c:v>19</c:v>
                </c:pt>
                <c:pt idx="1225">
                  <c:v>19</c:v>
                </c:pt>
                <c:pt idx="1226">
                  <c:v>19</c:v>
                </c:pt>
                <c:pt idx="1227">
                  <c:v>19</c:v>
                </c:pt>
                <c:pt idx="1228">
                  <c:v>19</c:v>
                </c:pt>
                <c:pt idx="1229">
                  <c:v>19</c:v>
                </c:pt>
                <c:pt idx="1230">
                  <c:v>19</c:v>
                </c:pt>
                <c:pt idx="1231">
                  <c:v>19</c:v>
                </c:pt>
                <c:pt idx="1232">
                  <c:v>19</c:v>
                </c:pt>
                <c:pt idx="1233">
                  <c:v>19</c:v>
                </c:pt>
                <c:pt idx="1234">
                  <c:v>19</c:v>
                </c:pt>
                <c:pt idx="1235">
                  <c:v>19</c:v>
                </c:pt>
                <c:pt idx="1236">
                  <c:v>19</c:v>
                </c:pt>
                <c:pt idx="1237">
                  <c:v>19</c:v>
                </c:pt>
                <c:pt idx="1238">
                  <c:v>19</c:v>
                </c:pt>
                <c:pt idx="1239">
                  <c:v>19</c:v>
                </c:pt>
                <c:pt idx="1240">
                  <c:v>19</c:v>
                </c:pt>
                <c:pt idx="1241">
                  <c:v>19</c:v>
                </c:pt>
                <c:pt idx="1242">
                  <c:v>19</c:v>
                </c:pt>
                <c:pt idx="1243">
                  <c:v>19</c:v>
                </c:pt>
                <c:pt idx="1244">
                  <c:v>19</c:v>
                </c:pt>
                <c:pt idx="1245">
                  <c:v>19</c:v>
                </c:pt>
                <c:pt idx="1246">
                  <c:v>19</c:v>
                </c:pt>
                <c:pt idx="1247">
                  <c:v>19</c:v>
                </c:pt>
                <c:pt idx="1248">
                  <c:v>19</c:v>
                </c:pt>
                <c:pt idx="1249">
                  <c:v>19</c:v>
                </c:pt>
                <c:pt idx="1250">
                  <c:v>19</c:v>
                </c:pt>
                <c:pt idx="1251">
                  <c:v>19</c:v>
                </c:pt>
                <c:pt idx="1252">
                  <c:v>19</c:v>
                </c:pt>
                <c:pt idx="1253">
                  <c:v>19</c:v>
                </c:pt>
                <c:pt idx="1254">
                  <c:v>19</c:v>
                </c:pt>
                <c:pt idx="1255">
                  <c:v>19</c:v>
                </c:pt>
                <c:pt idx="1256">
                  <c:v>19</c:v>
                </c:pt>
                <c:pt idx="1257">
                  <c:v>19</c:v>
                </c:pt>
                <c:pt idx="1258">
                  <c:v>19</c:v>
                </c:pt>
                <c:pt idx="1259">
                  <c:v>19</c:v>
                </c:pt>
                <c:pt idx="1260">
                  <c:v>19</c:v>
                </c:pt>
                <c:pt idx="1261">
                  <c:v>19</c:v>
                </c:pt>
                <c:pt idx="1262">
                  <c:v>19</c:v>
                </c:pt>
                <c:pt idx="1263">
                  <c:v>19</c:v>
                </c:pt>
                <c:pt idx="1264">
                  <c:v>19</c:v>
                </c:pt>
                <c:pt idx="1265">
                  <c:v>19</c:v>
                </c:pt>
                <c:pt idx="1266">
                  <c:v>19</c:v>
                </c:pt>
                <c:pt idx="1267">
                  <c:v>19</c:v>
                </c:pt>
                <c:pt idx="1268">
                  <c:v>19</c:v>
                </c:pt>
                <c:pt idx="1269">
                  <c:v>18</c:v>
                </c:pt>
                <c:pt idx="1270">
                  <c:v>18</c:v>
                </c:pt>
                <c:pt idx="1271">
                  <c:v>18</c:v>
                </c:pt>
                <c:pt idx="1272">
                  <c:v>18</c:v>
                </c:pt>
                <c:pt idx="1273">
                  <c:v>18</c:v>
                </c:pt>
                <c:pt idx="1274">
                  <c:v>18</c:v>
                </c:pt>
                <c:pt idx="1275">
                  <c:v>18</c:v>
                </c:pt>
                <c:pt idx="1276">
                  <c:v>18</c:v>
                </c:pt>
                <c:pt idx="1277">
                  <c:v>18</c:v>
                </c:pt>
                <c:pt idx="1278">
                  <c:v>18</c:v>
                </c:pt>
                <c:pt idx="1279">
                  <c:v>18</c:v>
                </c:pt>
                <c:pt idx="1280">
                  <c:v>18</c:v>
                </c:pt>
                <c:pt idx="1281">
                  <c:v>18</c:v>
                </c:pt>
                <c:pt idx="1282">
                  <c:v>18</c:v>
                </c:pt>
                <c:pt idx="1283">
                  <c:v>18</c:v>
                </c:pt>
                <c:pt idx="1284">
                  <c:v>18</c:v>
                </c:pt>
                <c:pt idx="1285">
                  <c:v>18</c:v>
                </c:pt>
                <c:pt idx="1286">
                  <c:v>18</c:v>
                </c:pt>
                <c:pt idx="1287">
                  <c:v>18</c:v>
                </c:pt>
                <c:pt idx="1288">
                  <c:v>18</c:v>
                </c:pt>
                <c:pt idx="1289">
                  <c:v>18</c:v>
                </c:pt>
                <c:pt idx="1290">
                  <c:v>18</c:v>
                </c:pt>
                <c:pt idx="1291">
                  <c:v>18</c:v>
                </c:pt>
                <c:pt idx="1292">
                  <c:v>18</c:v>
                </c:pt>
                <c:pt idx="1293">
                  <c:v>18</c:v>
                </c:pt>
                <c:pt idx="1294">
                  <c:v>18</c:v>
                </c:pt>
                <c:pt idx="1295">
                  <c:v>18</c:v>
                </c:pt>
                <c:pt idx="1296">
                  <c:v>18</c:v>
                </c:pt>
                <c:pt idx="1297">
                  <c:v>18</c:v>
                </c:pt>
                <c:pt idx="1298">
                  <c:v>18</c:v>
                </c:pt>
                <c:pt idx="1299">
                  <c:v>18</c:v>
                </c:pt>
                <c:pt idx="1300">
                  <c:v>18</c:v>
                </c:pt>
                <c:pt idx="1301">
                  <c:v>18</c:v>
                </c:pt>
                <c:pt idx="1302">
                  <c:v>18</c:v>
                </c:pt>
                <c:pt idx="1303">
                  <c:v>18</c:v>
                </c:pt>
                <c:pt idx="1304">
                  <c:v>18</c:v>
                </c:pt>
                <c:pt idx="1305">
                  <c:v>18</c:v>
                </c:pt>
                <c:pt idx="1306">
                  <c:v>18</c:v>
                </c:pt>
                <c:pt idx="1307">
                  <c:v>18</c:v>
                </c:pt>
                <c:pt idx="1308">
                  <c:v>18</c:v>
                </c:pt>
                <c:pt idx="1309">
                  <c:v>18</c:v>
                </c:pt>
                <c:pt idx="1310">
                  <c:v>18</c:v>
                </c:pt>
                <c:pt idx="1311">
                  <c:v>18</c:v>
                </c:pt>
                <c:pt idx="1312">
                  <c:v>18</c:v>
                </c:pt>
                <c:pt idx="1313">
                  <c:v>18</c:v>
                </c:pt>
                <c:pt idx="1314">
                  <c:v>18</c:v>
                </c:pt>
                <c:pt idx="1315">
                  <c:v>18</c:v>
                </c:pt>
                <c:pt idx="1316">
                  <c:v>18</c:v>
                </c:pt>
                <c:pt idx="1317">
                  <c:v>18</c:v>
                </c:pt>
                <c:pt idx="1318">
                  <c:v>18</c:v>
                </c:pt>
                <c:pt idx="1319">
                  <c:v>18</c:v>
                </c:pt>
                <c:pt idx="1320">
                  <c:v>18</c:v>
                </c:pt>
                <c:pt idx="1321">
                  <c:v>18</c:v>
                </c:pt>
                <c:pt idx="1322">
                  <c:v>18</c:v>
                </c:pt>
                <c:pt idx="1323">
                  <c:v>18</c:v>
                </c:pt>
                <c:pt idx="1324">
                  <c:v>18</c:v>
                </c:pt>
                <c:pt idx="1325">
                  <c:v>18</c:v>
                </c:pt>
                <c:pt idx="1326">
                  <c:v>18</c:v>
                </c:pt>
                <c:pt idx="1327">
                  <c:v>18</c:v>
                </c:pt>
                <c:pt idx="1328">
                  <c:v>18</c:v>
                </c:pt>
                <c:pt idx="1329">
                  <c:v>18</c:v>
                </c:pt>
                <c:pt idx="1330">
                  <c:v>18</c:v>
                </c:pt>
                <c:pt idx="1331">
                  <c:v>18</c:v>
                </c:pt>
                <c:pt idx="1332">
                  <c:v>18</c:v>
                </c:pt>
                <c:pt idx="1333">
                  <c:v>18</c:v>
                </c:pt>
                <c:pt idx="1334">
                  <c:v>18</c:v>
                </c:pt>
                <c:pt idx="1335">
                  <c:v>18</c:v>
                </c:pt>
                <c:pt idx="1336">
                  <c:v>18</c:v>
                </c:pt>
                <c:pt idx="1337">
                  <c:v>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386-4679-ABC3-F205D76FB9DC}"/>
            </c:ext>
          </c:extLst>
        </c:ser>
        <c:ser>
          <c:idx val="1"/>
          <c:order val="1"/>
          <c:tx>
            <c:strRef>
              <c:f>'Ass3 Solution'!$B$3</c:f>
              <c:strCache>
                <c:ptCount val="1"/>
                <c:pt idx="0">
                  <c:v>Average Premium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'Ass3 Solution'!$B$4:$B$1341</c:f>
              <c:numCache>
                <c:formatCode>0.00</c:formatCode>
                <c:ptCount val="1338"/>
                <c:pt idx="0">
                  <c:v>6635.7586659192884</c:v>
                </c:pt>
                <c:pt idx="1">
                  <c:v>6629.4400037397218</c:v>
                </c:pt>
                <c:pt idx="2">
                  <c:v>6616.7026609281502</c:v>
                </c:pt>
                <c:pt idx="3">
                  <c:v>6616.0778988764105</c:v>
                </c:pt>
                <c:pt idx="4">
                  <c:v>6603.0730734632743</c:v>
                </c:pt>
                <c:pt idx="5">
                  <c:v>6602.8417704426165</c:v>
                </c:pt>
                <c:pt idx="6">
                  <c:v>6601.6206644144213</c:v>
                </c:pt>
                <c:pt idx="7">
                  <c:v>6600.9492937640944</c:v>
                </c:pt>
                <c:pt idx="8">
                  <c:v>6600.3888533834661</c:v>
                </c:pt>
                <c:pt idx="9">
                  <c:v>6599.9304251316826</c:v>
                </c:pt>
                <c:pt idx="10">
                  <c:v>6587.2461634036208</c:v>
                </c:pt>
                <c:pt idx="11">
                  <c:v>6586.9987528259289</c:v>
                </c:pt>
                <c:pt idx="12">
                  <c:v>6585.89990950227</c:v>
                </c:pt>
                <c:pt idx="13">
                  <c:v>6585.4323132075551</c:v>
                </c:pt>
                <c:pt idx="14">
                  <c:v>6580.1955135951739</c:v>
                </c:pt>
                <c:pt idx="15">
                  <c:v>6579.7986318972116</c:v>
                </c:pt>
                <c:pt idx="16">
                  <c:v>6579.3601172466042</c:v>
                </c:pt>
                <c:pt idx="17">
                  <c:v>6578.9228993187071</c:v>
                </c:pt>
                <c:pt idx="18">
                  <c:v>6577.8194015151594</c:v>
                </c:pt>
                <c:pt idx="19">
                  <c:v>6571.6877331311689</c:v>
                </c:pt>
                <c:pt idx="20">
                  <c:v>6571.2130804248945</c:v>
                </c:pt>
                <c:pt idx="21">
                  <c:v>6557.3796583143621</c:v>
                </c:pt>
                <c:pt idx="22">
                  <c:v>6552.1320326747827</c:v>
                </c:pt>
                <c:pt idx="23">
                  <c:v>6551.6196463878432</c:v>
                </c:pt>
                <c:pt idx="24">
                  <c:v>6551.3658942161437</c:v>
                </c:pt>
                <c:pt idx="25">
                  <c:v>6538.436420411279</c:v>
                </c:pt>
                <c:pt idx="26">
                  <c:v>6538.3112233231786</c:v>
                </c:pt>
                <c:pt idx="27">
                  <c:v>6524.6774218154151</c:v>
                </c:pt>
                <c:pt idx="28">
                  <c:v>6524.3600190839752</c:v>
                </c:pt>
                <c:pt idx="29">
                  <c:v>6518.0672574484406</c:v>
                </c:pt>
                <c:pt idx="30">
                  <c:v>6504.9666551987839</c:v>
                </c:pt>
                <c:pt idx="31">
                  <c:v>6504.4898928844759</c:v>
                </c:pt>
                <c:pt idx="32">
                  <c:v>6504.1174310872966</c:v>
                </c:pt>
                <c:pt idx="33">
                  <c:v>6498.0092950191647</c:v>
                </c:pt>
                <c:pt idx="34">
                  <c:v>6497.0268673312939</c:v>
                </c:pt>
                <c:pt idx="35">
                  <c:v>6496.6841404451325</c:v>
                </c:pt>
                <c:pt idx="36">
                  <c:v>6496.5316090629867</c:v>
                </c:pt>
                <c:pt idx="37">
                  <c:v>6496.3776133743331</c:v>
                </c:pt>
                <c:pt idx="38">
                  <c:v>6495.5390307692351</c:v>
                </c:pt>
                <c:pt idx="39">
                  <c:v>6494.9675904541991</c:v>
                </c:pt>
                <c:pt idx="40">
                  <c:v>6494.6216602465383</c:v>
                </c:pt>
                <c:pt idx="41">
                  <c:v>6494.0967540478068</c:v>
                </c:pt>
                <c:pt idx="42">
                  <c:v>6493.7162500000059</c:v>
                </c:pt>
                <c:pt idx="43">
                  <c:v>6492.8756718146769</c:v>
                </c:pt>
                <c:pt idx="44">
                  <c:v>6492.3853863987679</c:v>
                </c:pt>
                <c:pt idx="45">
                  <c:v>6491.8188437741719</c:v>
                </c:pt>
                <c:pt idx="46">
                  <c:v>6486.0815789473727</c:v>
                </c:pt>
                <c:pt idx="47">
                  <c:v>6485.0579434546908</c:v>
                </c:pt>
                <c:pt idx="48">
                  <c:v>6484.6825348837256</c:v>
                </c:pt>
                <c:pt idx="49">
                  <c:v>6484.5340729247519</c:v>
                </c:pt>
                <c:pt idx="50">
                  <c:v>6479.0865139751586</c:v>
                </c:pt>
                <c:pt idx="51">
                  <c:v>6478.2030069930106</c:v>
                </c:pt>
                <c:pt idx="52">
                  <c:v>6478.0029860031136</c:v>
                </c:pt>
                <c:pt idx="53">
                  <c:v>6477.5798443579797</c:v>
                </c:pt>
                <c:pt idx="54">
                  <c:v>6477.5790809968876</c:v>
                </c:pt>
                <c:pt idx="55">
                  <c:v>6470.3047856586154</c:v>
                </c:pt>
                <c:pt idx="56">
                  <c:v>6457.5241302652148</c:v>
                </c:pt>
                <c:pt idx="57">
                  <c:v>6457.4990281030477</c:v>
                </c:pt>
                <c:pt idx="58">
                  <c:v>6457.286933593753</c:v>
                </c:pt>
                <c:pt idx="59">
                  <c:v>6457.0365715402695</c:v>
                </c:pt>
                <c:pt idx="60">
                  <c:v>6456.8264593114272</c:v>
                </c:pt>
                <c:pt idx="61">
                  <c:v>6456.6115544244358</c:v>
                </c:pt>
                <c:pt idx="62">
                  <c:v>6456.3930681818219</c:v>
                </c:pt>
                <c:pt idx="63">
                  <c:v>6456.3655843137294</c:v>
                </c:pt>
                <c:pt idx="64">
                  <c:v>6455.5378649921549</c:v>
                </c:pt>
                <c:pt idx="65">
                  <c:v>6455.1711233307187</c:v>
                </c:pt>
                <c:pt idx="66">
                  <c:v>6441.8807075471732</c:v>
                </c:pt>
                <c:pt idx="67">
                  <c:v>6435.8942525570446</c:v>
                </c:pt>
                <c:pt idx="68">
                  <c:v>6435.8511181102385</c:v>
                </c:pt>
                <c:pt idx="69">
                  <c:v>6435.3131481481505</c:v>
                </c:pt>
                <c:pt idx="70">
                  <c:v>6428.1859542586772</c:v>
                </c:pt>
                <c:pt idx="71">
                  <c:v>6427.8860378847694</c:v>
                </c:pt>
                <c:pt idx="72">
                  <c:v>6428.0037954186437</c:v>
                </c:pt>
                <c:pt idx="73">
                  <c:v>6413.9079249011884</c:v>
                </c:pt>
                <c:pt idx="74">
                  <c:v>6413.6700988924076</c:v>
                </c:pt>
                <c:pt idx="75">
                  <c:v>6413.437438638166</c:v>
                </c:pt>
                <c:pt idx="76">
                  <c:v>6400.0569968304299</c:v>
                </c:pt>
                <c:pt idx="77">
                  <c:v>6393.6852498017461</c:v>
                </c:pt>
                <c:pt idx="78">
                  <c:v>6389.0321865079377</c:v>
                </c:pt>
                <c:pt idx="79">
                  <c:v>6389.1132088959503</c:v>
                </c:pt>
                <c:pt idx="80">
                  <c:v>6388.772424483308</c:v>
                </c:pt>
                <c:pt idx="81">
                  <c:v>6388.6267143993646</c:v>
                </c:pt>
                <c:pt idx="82">
                  <c:v>6382.5888813694282</c:v>
                </c:pt>
                <c:pt idx="83">
                  <c:v>6382.0484661354594</c:v>
                </c:pt>
                <c:pt idx="84">
                  <c:v>6381.9027312599683</c:v>
                </c:pt>
                <c:pt idx="85">
                  <c:v>6381.7829888268161</c:v>
                </c:pt>
                <c:pt idx="86">
                  <c:v>6381.6718250798731</c:v>
                </c:pt>
                <c:pt idx="87">
                  <c:v>6372.1510671462829</c:v>
                </c:pt>
                <c:pt idx="88">
                  <c:v>6372.0687599999992</c:v>
                </c:pt>
                <c:pt idx="89">
                  <c:v>6358.1933626901509</c:v>
                </c:pt>
                <c:pt idx="90">
                  <c:v>6358.0223076923057</c:v>
                </c:pt>
                <c:pt idx="91">
                  <c:v>6351.4363753007201</c:v>
                </c:pt>
                <c:pt idx="92">
                  <c:v>6344.9274398073821</c:v>
                </c:pt>
                <c:pt idx="93">
                  <c:v>6344.710975903613</c:v>
                </c:pt>
                <c:pt idx="94">
                  <c:v>6330.4489429260439</c:v>
                </c:pt>
                <c:pt idx="95">
                  <c:v>6330.4614119066764</c:v>
                </c:pt>
                <c:pt idx="96">
                  <c:v>6323.376437198066</c:v>
                </c:pt>
                <c:pt idx="97">
                  <c:v>6323.2291941982267</c:v>
                </c:pt>
                <c:pt idx="98">
                  <c:v>6323.2282903225796</c:v>
                </c:pt>
                <c:pt idx="99">
                  <c:v>6323.4316303470532</c:v>
                </c:pt>
                <c:pt idx="100">
                  <c:v>6323.2013287560576</c:v>
                </c:pt>
                <c:pt idx="101">
                  <c:v>6323.2046443007266</c:v>
                </c:pt>
                <c:pt idx="102">
                  <c:v>6322.6882969255657</c:v>
                </c:pt>
                <c:pt idx="103">
                  <c:v>6322.6536315789472</c:v>
                </c:pt>
                <c:pt idx="104">
                  <c:v>6322.4184683954618</c:v>
                </c:pt>
                <c:pt idx="105">
                  <c:v>6308.8383008921319</c:v>
                </c:pt>
                <c:pt idx="106">
                  <c:v>6309.0293344155825</c:v>
                </c:pt>
                <c:pt idx="107">
                  <c:v>6308.8280584890317</c:v>
                </c:pt>
                <c:pt idx="108">
                  <c:v>6308.7778495934954</c:v>
                </c:pt>
                <c:pt idx="109">
                  <c:v>6308.8160740439371</c:v>
                </c:pt>
                <c:pt idx="110">
                  <c:v>6295.6274226384357</c:v>
                </c:pt>
                <c:pt idx="111">
                  <c:v>6280.9239568052144</c:v>
                </c:pt>
                <c:pt idx="112">
                  <c:v>6280.8902120717767</c:v>
                </c:pt>
                <c:pt idx="113">
                  <c:v>6280.6279632653059</c:v>
                </c:pt>
                <c:pt idx="114">
                  <c:v>6264.2760130718952</c:v>
                </c:pt>
                <c:pt idx="115">
                  <c:v>6263.6727514309077</c:v>
                </c:pt>
                <c:pt idx="116">
                  <c:v>6256.4466489361703</c:v>
                </c:pt>
                <c:pt idx="117">
                  <c:v>6256.3227559377574</c:v>
                </c:pt>
                <c:pt idx="118">
                  <c:v>6256.6380614754107</c:v>
                </c:pt>
                <c:pt idx="119">
                  <c:v>6256.0264889253503</c:v>
                </c:pt>
                <c:pt idx="120">
                  <c:v>6256.0992405582929</c:v>
                </c:pt>
                <c:pt idx="121">
                  <c:v>6255.2440920295812</c:v>
                </c:pt>
                <c:pt idx="122">
                  <c:v>6255.0712705592114</c:v>
                </c:pt>
                <c:pt idx="123">
                  <c:v>6240.5084526748979</c:v>
                </c:pt>
                <c:pt idx="124">
                  <c:v>6233.9977924217474</c:v>
                </c:pt>
                <c:pt idx="125">
                  <c:v>6230.1523660346247</c:v>
                </c:pt>
                <c:pt idx="126">
                  <c:v>6229.9594678217827</c:v>
                </c:pt>
                <c:pt idx="127">
                  <c:v>6229.7715772089177</c:v>
                </c:pt>
                <c:pt idx="128">
                  <c:v>6224.3090826446278</c:v>
                </c:pt>
                <c:pt idx="129">
                  <c:v>6224.4410132340763</c:v>
                </c:pt>
                <c:pt idx="130">
                  <c:v>6224.5255960264894</c:v>
                </c:pt>
                <c:pt idx="131">
                  <c:v>6223.8788815244407</c:v>
                </c:pt>
                <c:pt idx="132">
                  <c:v>6223.8065671641789</c:v>
                </c:pt>
                <c:pt idx="133">
                  <c:v>6223.8578838174262</c:v>
                </c:pt>
                <c:pt idx="134">
                  <c:v>6223.053068936877</c:v>
                </c:pt>
                <c:pt idx="135">
                  <c:v>6223.1412967581036</c:v>
                </c:pt>
                <c:pt idx="136">
                  <c:v>6223.2749459234592</c:v>
                </c:pt>
                <c:pt idx="137">
                  <c:v>6208.0689925062452</c:v>
                </c:pt>
                <c:pt idx="138">
                  <c:v>6197.8621291666668</c:v>
                </c:pt>
                <c:pt idx="139">
                  <c:v>6197.8819599666385</c:v>
                </c:pt>
                <c:pt idx="140">
                  <c:v>6183.2314065108521</c:v>
                </c:pt>
                <c:pt idx="141">
                  <c:v>6182.7122305764415</c:v>
                </c:pt>
                <c:pt idx="142">
                  <c:v>6182.8868938127098</c:v>
                </c:pt>
                <c:pt idx="143">
                  <c:v>6183.2987949790795</c:v>
                </c:pt>
                <c:pt idx="144">
                  <c:v>6183.5629145728644</c:v>
                </c:pt>
                <c:pt idx="145">
                  <c:v>6178.5921626152558</c:v>
                </c:pt>
                <c:pt idx="146">
                  <c:v>6178.8102936241612</c:v>
                </c:pt>
                <c:pt idx="147">
                  <c:v>6178.9836901763229</c:v>
                </c:pt>
                <c:pt idx="148">
                  <c:v>6179.1944285714289</c:v>
                </c:pt>
                <c:pt idx="149">
                  <c:v>6179.6131118587045</c:v>
                </c:pt>
                <c:pt idx="150">
                  <c:v>6179.6704882154881</c:v>
                </c:pt>
                <c:pt idx="151">
                  <c:v>6179.8882224094359</c:v>
                </c:pt>
                <c:pt idx="152">
                  <c:v>6180.3072048903887</c:v>
                </c:pt>
                <c:pt idx="153">
                  <c:v>6180.2775274261612</c:v>
                </c:pt>
                <c:pt idx="154">
                  <c:v>6180.3319805743249</c:v>
                </c:pt>
                <c:pt idx="155">
                  <c:v>6180.5546703296714</c:v>
                </c:pt>
                <c:pt idx="156">
                  <c:v>6180.7716624365485</c:v>
                </c:pt>
                <c:pt idx="157">
                  <c:v>6181.033141405589</c:v>
                </c:pt>
                <c:pt idx="158">
                  <c:v>6181.4563559322032</c:v>
                </c:pt>
                <c:pt idx="159">
                  <c:v>6181.5102459711625</c:v>
                </c:pt>
                <c:pt idx="160">
                  <c:v>6181.2313242784385</c:v>
                </c:pt>
                <c:pt idx="161">
                  <c:v>6181.4115293118102</c:v>
                </c:pt>
                <c:pt idx="162">
                  <c:v>6181.8440561224488</c:v>
                </c:pt>
                <c:pt idx="163">
                  <c:v>6181.9033489361709</c:v>
                </c:pt>
                <c:pt idx="164">
                  <c:v>6182.0876235093701</c:v>
                </c:pt>
                <c:pt idx="165">
                  <c:v>6182.5170843989781</c:v>
                </c:pt>
                <c:pt idx="166">
                  <c:v>6169.2005716723561</c:v>
                </c:pt>
                <c:pt idx="167">
                  <c:v>6169.0682877882155</c:v>
                </c:pt>
                <c:pt idx="168">
                  <c:v>6169.3981324786337</c:v>
                </c:pt>
                <c:pt idx="169">
                  <c:v>6169.6154918733973</c:v>
                </c:pt>
                <c:pt idx="170">
                  <c:v>6169.7481720890428</c:v>
                </c:pt>
                <c:pt idx="171">
                  <c:v>6169.9618466152542</c:v>
                </c:pt>
                <c:pt idx="172">
                  <c:v>6170.3411963979433</c:v>
                </c:pt>
                <c:pt idx="173">
                  <c:v>6154.7464163090153</c:v>
                </c:pt>
                <c:pt idx="174">
                  <c:v>6154.3527018900377</c:v>
                </c:pt>
                <c:pt idx="175">
                  <c:v>6153.4542949269162</c:v>
                </c:pt>
                <c:pt idx="176">
                  <c:v>6149.2001936316728</c:v>
                </c:pt>
                <c:pt idx="177">
                  <c:v>6149.3964814814854</c:v>
                </c:pt>
                <c:pt idx="178">
                  <c:v>6142.8296206896584</c:v>
                </c:pt>
                <c:pt idx="179">
                  <c:v>6143.3991673856799</c:v>
                </c:pt>
                <c:pt idx="180">
                  <c:v>6143.7055872193459</c:v>
                </c:pt>
                <c:pt idx="181">
                  <c:v>6137.2531114952499</c:v>
                </c:pt>
                <c:pt idx="182">
                  <c:v>6137.3951427335678</c:v>
                </c:pt>
                <c:pt idx="183">
                  <c:v>6137.499670995674</c:v>
                </c:pt>
                <c:pt idx="184">
                  <c:v>6137.8203509532095</c:v>
                </c:pt>
                <c:pt idx="185">
                  <c:v>6138.1327623590669</c:v>
                </c:pt>
                <c:pt idx="186">
                  <c:v>6138.5333854166711</c:v>
                </c:pt>
                <c:pt idx="187">
                  <c:v>6134.8705039096476</c:v>
                </c:pt>
                <c:pt idx="188">
                  <c:v>6135.4301739130469</c:v>
                </c:pt>
                <c:pt idx="189">
                  <c:v>6136.0009007832923</c:v>
                </c:pt>
                <c:pt idx="190">
                  <c:v>6135.8444686411176</c:v>
                </c:pt>
                <c:pt idx="191">
                  <c:v>6136.3592763731494</c:v>
                </c:pt>
                <c:pt idx="192">
                  <c:v>6137.088041012219</c:v>
                </c:pt>
                <c:pt idx="193">
                  <c:v>6137.6124934497839</c:v>
                </c:pt>
                <c:pt idx="194">
                  <c:v>6133.1818006993035</c:v>
                </c:pt>
                <c:pt idx="195">
                  <c:v>6133.278486439197</c:v>
                </c:pt>
                <c:pt idx="196">
                  <c:v>6119.4191943958003</c:v>
                </c:pt>
                <c:pt idx="197">
                  <c:v>6119.4066301489956</c:v>
                </c:pt>
                <c:pt idx="198">
                  <c:v>6119.6612061403548</c:v>
                </c:pt>
                <c:pt idx="199">
                  <c:v>6119.137085162427</c:v>
                </c:pt>
                <c:pt idx="200">
                  <c:v>6113.0421572935002</c:v>
                </c:pt>
                <c:pt idx="201">
                  <c:v>6113.3816754617437</c:v>
                </c:pt>
                <c:pt idx="202">
                  <c:v>6114.0970598591584</c:v>
                </c:pt>
                <c:pt idx="203">
                  <c:v>6114.5652422907524</c:v>
                </c:pt>
                <c:pt idx="204">
                  <c:v>6114.38171075838</c:v>
                </c:pt>
                <c:pt idx="205">
                  <c:v>6114.5868137687585</c:v>
                </c:pt>
                <c:pt idx="206">
                  <c:v>6115.0985777385195</c:v>
                </c:pt>
                <c:pt idx="207">
                  <c:v>6115.3514854111436</c:v>
                </c:pt>
                <c:pt idx="208">
                  <c:v>6115.0318141592952</c:v>
                </c:pt>
                <c:pt idx="209">
                  <c:v>6114.9713684676735</c:v>
                </c:pt>
                <c:pt idx="210">
                  <c:v>6115.5270833333361</c:v>
                </c:pt>
                <c:pt idx="211">
                  <c:v>6101.514299023961</c:v>
                </c:pt>
                <c:pt idx="212">
                  <c:v>6101.7564431616383</c:v>
                </c:pt>
                <c:pt idx="213">
                  <c:v>6101.9912800000038</c:v>
                </c:pt>
                <c:pt idx="214">
                  <c:v>6102.714986654807</c:v>
                </c:pt>
                <c:pt idx="215">
                  <c:v>6103.2100044523622</c:v>
                </c:pt>
                <c:pt idx="216">
                  <c:v>6103.9284491978624</c:v>
                </c:pt>
                <c:pt idx="217">
                  <c:v>6103.9004504906352</c:v>
                </c:pt>
                <c:pt idx="218">
                  <c:v>6100.1404151785728</c:v>
                </c:pt>
                <c:pt idx="219">
                  <c:v>6100.6398346738169</c:v>
                </c:pt>
                <c:pt idx="220">
                  <c:v>6101.5231082289811</c:v>
                </c:pt>
                <c:pt idx="221">
                  <c:v>6101.6662085944499</c:v>
                </c:pt>
                <c:pt idx="222">
                  <c:v>6101.7617114695349</c:v>
                </c:pt>
                <c:pt idx="223">
                  <c:v>6091.4668206278038</c:v>
                </c:pt>
                <c:pt idx="224">
                  <c:v>6091.0775044883312</c:v>
                </c:pt>
                <c:pt idx="225">
                  <c:v>6091.2131985624446</c:v>
                </c:pt>
                <c:pt idx="226">
                  <c:v>6077.669464928058</c:v>
                </c:pt>
                <c:pt idx="227">
                  <c:v>6073.7873087308735</c:v>
                </c:pt>
                <c:pt idx="228">
                  <c:v>6073.9060495495505</c:v>
                </c:pt>
                <c:pt idx="229">
                  <c:v>6074.5526555455381</c:v>
                </c:pt>
                <c:pt idx="230">
                  <c:v>6074.3993637184121</c:v>
                </c:pt>
                <c:pt idx="231">
                  <c:v>6075.0981752484195</c:v>
                </c:pt>
                <c:pt idx="232">
                  <c:v>6075.0432504520795</c:v>
                </c:pt>
                <c:pt idx="233">
                  <c:v>6060.439760180996</c:v>
                </c:pt>
                <c:pt idx="234">
                  <c:v>6060.7684782608703</c:v>
                </c:pt>
                <c:pt idx="235">
                  <c:v>6061.4606980961007</c:v>
                </c:pt>
                <c:pt idx="236">
                  <c:v>6062.0625907441017</c:v>
                </c:pt>
                <c:pt idx="237">
                  <c:v>6062.4429654859223</c:v>
                </c:pt>
                <c:pt idx="238">
                  <c:v>6063.0413272727274</c:v>
                </c:pt>
                <c:pt idx="239">
                  <c:v>6063.9109554140123</c:v>
                </c:pt>
                <c:pt idx="240">
                  <c:v>6064.5188160291436</c:v>
                </c:pt>
                <c:pt idx="241">
                  <c:v>6056.3430902461241</c:v>
                </c:pt>
                <c:pt idx="242">
                  <c:v>6056.9855246350353</c:v>
                </c:pt>
                <c:pt idx="243">
                  <c:v>6056.9881050228305</c:v>
                </c:pt>
                <c:pt idx="244">
                  <c:v>6057.5766453382075</c:v>
                </c:pt>
                <c:pt idx="245">
                  <c:v>6050.618467520585</c:v>
                </c:pt>
                <c:pt idx="246">
                  <c:v>6051.373818681318</c:v>
                </c:pt>
                <c:pt idx="247">
                  <c:v>6052.1371769019242</c:v>
                </c:pt>
                <c:pt idx="248">
                  <c:v>6046.4618532110071</c:v>
                </c:pt>
                <c:pt idx="249">
                  <c:v>6031.6915013774087</c:v>
                </c:pt>
                <c:pt idx="250">
                  <c:v>6014.9227527573521</c:v>
                </c:pt>
                <c:pt idx="251">
                  <c:v>6015.6563201471927</c:v>
                </c:pt>
                <c:pt idx="252">
                  <c:v>6009.5080755064446</c:v>
                </c:pt>
                <c:pt idx="253">
                  <c:v>6009.2964009216585</c:v>
                </c:pt>
                <c:pt idx="254">
                  <c:v>5985.4256273062711</c:v>
                </c:pt>
                <c:pt idx="255">
                  <c:v>5986.2286518928886</c:v>
                </c:pt>
                <c:pt idx="256">
                  <c:v>5986.4282994454697</c:v>
                </c:pt>
                <c:pt idx="257">
                  <c:v>5986.9134643848274</c:v>
                </c:pt>
                <c:pt idx="258">
                  <c:v>5987.3570370370353</c:v>
                </c:pt>
                <c:pt idx="259">
                  <c:v>5988.0761260426289</c:v>
                </c:pt>
                <c:pt idx="260">
                  <c:v>5974.1501669758773</c:v>
                </c:pt>
                <c:pt idx="261">
                  <c:v>5967.8503481894113</c:v>
                </c:pt>
                <c:pt idx="262">
                  <c:v>5967.5889219330829</c:v>
                </c:pt>
                <c:pt idx="263">
                  <c:v>5968.5585720930212</c:v>
                </c:pt>
                <c:pt idx="264">
                  <c:v>5968.483915270017</c:v>
                </c:pt>
                <c:pt idx="265">
                  <c:v>5968.9532152842476</c:v>
                </c:pt>
                <c:pt idx="266">
                  <c:v>5968.8782416044751</c:v>
                </c:pt>
                <c:pt idx="267">
                  <c:v>5969.6246591970103</c:v>
                </c:pt>
                <c:pt idx="268">
                  <c:v>5969.8236495327073</c:v>
                </c:pt>
                <c:pt idx="269">
                  <c:v>5969.5696445275935</c:v>
                </c:pt>
                <c:pt idx="270">
                  <c:v>5969.8656226591729</c:v>
                </c:pt>
                <c:pt idx="271">
                  <c:v>5964.5675632614793</c:v>
                </c:pt>
                <c:pt idx="272">
                  <c:v>5964.6540572232625</c:v>
                </c:pt>
                <c:pt idx="273">
                  <c:v>5965.1170516431912</c:v>
                </c:pt>
                <c:pt idx="274">
                  <c:v>5965.4763862781938</c:v>
                </c:pt>
                <c:pt idx="275">
                  <c:v>5965.9327657572885</c:v>
                </c:pt>
                <c:pt idx="276">
                  <c:v>5966.6748681732561</c:v>
                </c:pt>
                <c:pt idx="277">
                  <c:v>5967.319764373231</c:v>
                </c:pt>
                <c:pt idx="278">
                  <c:v>5963.2955377358476</c:v>
                </c:pt>
                <c:pt idx="279">
                  <c:v>5957.1813786591119</c:v>
                </c:pt>
                <c:pt idx="280">
                  <c:v>5957.8672873345922</c:v>
                </c:pt>
                <c:pt idx="281">
                  <c:v>5950.5681835383157</c:v>
                </c:pt>
                <c:pt idx="282">
                  <c:v>5951.4272206439391</c:v>
                </c:pt>
                <c:pt idx="283">
                  <c:v>5952.0538293838845</c:v>
                </c:pt>
                <c:pt idx="284">
                  <c:v>5953.0218738140402</c:v>
                </c:pt>
                <c:pt idx="285">
                  <c:v>5953.3351044634364</c:v>
                </c:pt>
                <c:pt idx="286">
                  <c:v>5945.1213165399222</c:v>
                </c:pt>
                <c:pt idx="287">
                  <c:v>5946.2563939105594</c:v>
                </c:pt>
                <c:pt idx="288">
                  <c:v>5946.5539999999992</c:v>
                </c:pt>
                <c:pt idx="289">
                  <c:v>5947.4246854146795</c:v>
                </c:pt>
                <c:pt idx="290">
                  <c:v>5932.4630582061063</c:v>
                </c:pt>
                <c:pt idx="291">
                  <c:v>5932.8031470869146</c:v>
                </c:pt>
                <c:pt idx="292">
                  <c:v>5933.7571606118527</c:v>
                </c:pt>
                <c:pt idx="293">
                  <c:v>5929.2938564593296</c:v>
                </c:pt>
                <c:pt idx="294">
                  <c:v>5930.1494731800758</c:v>
                </c:pt>
                <c:pt idx="295">
                  <c:v>5930.211131351869</c:v>
                </c:pt>
                <c:pt idx="296">
                  <c:v>5931.3497024952012</c:v>
                </c:pt>
                <c:pt idx="297">
                  <c:v>5931.6409029779043</c:v>
                </c:pt>
                <c:pt idx="298">
                  <c:v>5914.9095769230762</c:v>
                </c:pt>
                <c:pt idx="299">
                  <c:v>5915.4059576515865</c:v>
                </c:pt>
                <c:pt idx="300">
                  <c:v>5915.5694894026965</c:v>
                </c:pt>
                <c:pt idx="301">
                  <c:v>5916.6286017357752</c:v>
                </c:pt>
                <c:pt idx="302">
                  <c:v>5910.3353667953652</c:v>
                </c:pt>
                <c:pt idx="303">
                  <c:v>5911.39563285024</c:v>
                </c:pt>
                <c:pt idx="304">
                  <c:v>5904.5421373307527</c:v>
                </c:pt>
                <c:pt idx="305">
                  <c:v>5905.551969990318</c:v>
                </c:pt>
                <c:pt idx="306">
                  <c:v>5906.8438953488358</c:v>
                </c:pt>
                <c:pt idx="307">
                  <c:v>5900.7430552861279</c:v>
                </c:pt>
                <c:pt idx="308">
                  <c:v>5900.9384854368909</c:v>
                </c:pt>
                <c:pt idx="309">
                  <c:v>5902.2314528668585</c:v>
                </c:pt>
                <c:pt idx="310">
                  <c:v>5901.8457198443557</c:v>
                </c:pt>
                <c:pt idx="311">
                  <c:v>5902.1446640701042</c:v>
                </c:pt>
                <c:pt idx="312">
                  <c:v>5903.1577046783596</c:v>
                </c:pt>
                <c:pt idx="313">
                  <c:v>5892.5881170731682</c:v>
                </c:pt>
                <c:pt idx="314">
                  <c:v>5886.2969824218726</c:v>
                </c:pt>
                <c:pt idx="315">
                  <c:v>5879.1139393939366</c:v>
                </c:pt>
                <c:pt idx="316">
                  <c:v>5880.096482387472</c:v>
                </c:pt>
                <c:pt idx="317">
                  <c:v>5874.5698530852078</c:v>
                </c:pt>
                <c:pt idx="318">
                  <c:v>5875.4316666666637</c:v>
                </c:pt>
                <c:pt idx="319">
                  <c:v>5867.8913689892033</c:v>
                </c:pt>
                <c:pt idx="320">
                  <c:v>5868.1092829076597</c:v>
                </c:pt>
                <c:pt idx="321">
                  <c:v>5862.1346312684327</c:v>
                </c:pt>
                <c:pt idx="322">
                  <c:v>5862.5851377952722</c:v>
                </c:pt>
                <c:pt idx="323">
                  <c:v>5838.7924137930995</c:v>
                </c:pt>
                <c:pt idx="324">
                  <c:v>5821.2410009861887</c:v>
                </c:pt>
                <c:pt idx="325">
                  <c:v>5821.9540868706772</c:v>
                </c:pt>
                <c:pt idx="326">
                  <c:v>5822.604629446635</c:v>
                </c:pt>
                <c:pt idx="327">
                  <c:v>5822.7186350148313</c:v>
                </c:pt>
                <c:pt idx="328">
                  <c:v>5823.5933019801932</c:v>
                </c:pt>
                <c:pt idx="329">
                  <c:v>5824.5858374628297</c:v>
                </c:pt>
                <c:pt idx="330">
                  <c:v>5824.6478769841233</c:v>
                </c:pt>
                <c:pt idx="331">
                  <c:v>5825.5382274081385</c:v>
                </c:pt>
                <c:pt idx="332">
                  <c:v>5826.7242495029768</c:v>
                </c:pt>
                <c:pt idx="333">
                  <c:v>5827.6060298507418</c:v>
                </c:pt>
                <c:pt idx="334">
                  <c:v>5822.3451245019878</c:v>
                </c:pt>
                <c:pt idx="335">
                  <c:v>5823.483389830506</c:v>
                </c:pt>
                <c:pt idx="336">
                  <c:v>5824.3719461077808</c:v>
                </c:pt>
                <c:pt idx="337">
                  <c:v>5825.2644105894078</c:v>
                </c:pt>
                <c:pt idx="338">
                  <c:v>5826.5026049999969</c:v>
                </c:pt>
                <c:pt idx="339">
                  <c:v>5827.6885135135099</c:v>
                </c:pt>
                <c:pt idx="340">
                  <c:v>5828.8222945891748</c:v>
                </c:pt>
                <c:pt idx="341">
                  <c:v>5812.4016499498466</c:v>
                </c:pt>
                <c:pt idx="342">
                  <c:v>5812.7905421686719</c:v>
                </c:pt>
                <c:pt idx="343">
                  <c:v>5813.6698894472347</c:v>
                </c:pt>
                <c:pt idx="344">
                  <c:v>5814.2050251509036</c:v>
                </c:pt>
                <c:pt idx="345">
                  <c:v>5815.3335498489405</c:v>
                </c:pt>
                <c:pt idx="346">
                  <c:v>5816.2191179435458</c:v>
                </c:pt>
                <c:pt idx="347">
                  <c:v>5817.6570433905117</c:v>
                </c:pt>
                <c:pt idx="348">
                  <c:v>5800.1707828282815</c:v>
                </c:pt>
                <c:pt idx="349">
                  <c:v>5782.0390596562165</c:v>
                </c:pt>
                <c:pt idx="350">
                  <c:v>5775.7610728744912</c:v>
                </c:pt>
                <c:pt idx="351">
                  <c:v>5776.567963525833</c:v>
                </c:pt>
                <c:pt idx="352">
                  <c:v>5777.9647920892467</c:v>
                </c:pt>
                <c:pt idx="353">
                  <c:v>5761.1692233502508</c:v>
                </c:pt>
                <c:pt idx="354">
                  <c:v>5761.9605233739803</c:v>
                </c:pt>
                <c:pt idx="355">
                  <c:v>5762.0033418107778</c:v>
                </c:pt>
                <c:pt idx="356">
                  <c:v>5763.0955549898117</c:v>
                </c:pt>
                <c:pt idx="357">
                  <c:v>5758.9027981651325</c:v>
                </c:pt>
                <c:pt idx="358">
                  <c:v>5743.8112908163212</c:v>
                </c:pt>
                <c:pt idx="359">
                  <c:v>5727.7892185903947</c:v>
                </c:pt>
                <c:pt idx="360">
                  <c:v>5728.7283384458042</c:v>
                </c:pt>
                <c:pt idx="361">
                  <c:v>5730.2702968270187</c:v>
                </c:pt>
                <c:pt idx="362">
                  <c:v>5731.6152151639317</c:v>
                </c:pt>
                <c:pt idx="363">
                  <c:v>5715.9963076923041</c:v>
                </c:pt>
                <c:pt idx="364">
                  <c:v>5717.2796303901405</c:v>
                </c:pt>
                <c:pt idx="365">
                  <c:v>5707.592024665978</c:v>
                </c:pt>
                <c:pt idx="366">
                  <c:v>5700.2662037036998</c:v>
                </c:pt>
                <c:pt idx="367">
                  <c:v>5701.4715602471651</c:v>
                </c:pt>
                <c:pt idx="368">
                  <c:v>5702.4309639175226</c:v>
                </c:pt>
                <c:pt idx="369">
                  <c:v>5703.0995098039184</c:v>
                </c:pt>
                <c:pt idx="370">
                  <c:v>5703.7705165289235</c:v>
                </c:pt>
                <c:pt idx="371">
                  <c:v>5705.1047104446716</c:v>
                </c:pt>
                <c:pt idx="372">
                  <c:v>5705.8805124223572</c:v>
                </c:pt>
                <c:pt idx="373">
                  <c:v>5699.0880259067326</c:v>
                </c:pt>
                <c:pt idx="374">
                  <c:v>5700.6131068464692</c:v>
                </c:pt>
                <c:pt idx="375">
                  <c:v>5693.3783696780856</c:v>
                </c:pt>
                <c:pt idx="376">
                  <c:v>5694.3327286902258</c:v>
                </c:pt>
                <c:pt idx="377">
                  <c:v>5694.6881009365216</c:v>
                </c:pt>
                <c:pt idx="378">
                  <c:v>5695.3490156249964</c:v>
                </c:pt>
                <c:pt idx="379">
                  <c:v>5695.3945620437935</c:v>
                </c:pt>
                <c:pt idx="380">
                  <c:v>5695.8615970772425</c:v>
                </c:pt>
                <c:pt idx="381">
                  <c:v>5696.019973876696</c:v>
                </c:pt>
                <c:pt idx="382">
                  <c:v>5697.245397489537</c:v>
                </c:pt>
                <c:pt idx="383">
                  <c:v>5698.167958115182</c:v>
                </c:pt>
                <c:pt idx="384">
                  <c:v>5699.7160010482166</c:v>
                </c:pt>
                <c:pt idx="385">
                  <c:v>5700.1335676810068</c:v>
                </c:pt>
                <c:pt idx="386">
                  <c:v>5701.6035976890735</c:v>
                </c:pt>
                <c:pt idx="387">
                  <c:v>5703.3315299684527</c:v>
                </c:pt>
                <c:pt idx="388">
                  <c:v>5704.4489947368402</c:v>
                </c:pt>
                <c:pt idx="389">
                  <c:v>5706.1794942044235</c:v>
                </c:pt>
                <c:pt idx="390">
                  <c:v>5706.4068934599136</c:v>
                </c:pt>
                <c:pt idx="391">
                  <c:v>5707.2693347412869</c:v>
                </c:pt>
                <c:pt idx="392">
                  <c:v>5708.3916384777995</c:v>
                </c:pt>
                <c:pt idx="393">
                  <c:v>5708.997100529099</c:v>
                </c:pt>
                <c:pt idx="394">
                  <c:v>5709.5445127118637</c:v>
                </c:pt>
                <c:pt idx="395">
                  <c:v>5710.6645493107098</c:v>
                </c:pt>
                <c:pt idx="396">
                  <c:v>5704.0892250530769</c:v>
                </c:pt>
                <c:pt idx="397">
                  <c:v>5704.0096705632295</c:v>
                </c:pt>
                <c:pt idx="398">
                  <c:v>5697.6796010638272</c:v>
                </c:pt>
                <c:pt idx="399">
                  <c:v>5698.8575505857261</c:v>
                </c:pt>
                <c:pt idx="400">
                  <c:v>5699.707670575689</c:v>
                </c:pt>
                <c:pt idx="401">
                  <c:v>5701.1457470650976</c:v>
                </c:pt>
                <c:pt idx="402">
                  <c:v>5701.8100160256372</c:v>
                </c:pt>
                <c:pt idx="403">
                  <c:v>5702.4175989304777</c:v>
                </c:pt>
                <c:pt idx="404">
                  <c:v>5703.400920770875</c:v>
                </c:pt>
                <c:pt idx="405">
                  <c:v>5704.3772936763098</c:v>
                </c:pt>
                <c:pt idx="406">
                  <c:v>5697.5633690987088</c:v>
                </c:pt>
                <c:pt idx="407">
                  <c:v>5689.6438023630462</c:v>
                </c:pt>
                <c:pt idx="408">
                  <c:v>5691.0902688172009</c:v>
                </c:pt>
                <c:pt idx="409">
                  <c:v>5692.8429063509111</c:v>
                </c:pt>
                <c:pt idx="410">
                  <c:v>5677.5724730603406</c:v>
                </c:pt>
                <c:pt idx="411">
                  <c:v>5678.686882416393</c:v>
                </c:pt>
                <c:pt idx="412">
                  <c:v>5679.9661555075563</c:v>
                </c:pt>
                <c:pt idx="413">
                  <c:v>5680.4996810810781</c:v>
                </c:pt>
                <c:pt idx="414">
                  <c:v>5673.893474025971</c:v>
                </c:pt>
                <c:pt idx="415">
                  <c:v>5674.0614734561177</c:v>
                </c:pt>
                <c:pt idx="416">
                  <c:v>5675.9912364425118</c:v>
                </c:pt>
                <c:pt idx="417">
                  <c:v>5670.632008686207</c:v>
                </c:pt>
                <c:pt idx="418">
                  <c:v>5671.9739184782566</c:v>
                </c:pt>
                <c:pt idx="419">
                  <c:v>5673.1128998911809</c:v>
                </c:pt>
                <c:pt idx="420">
                  <c:v>5673.8214923747228</c:v>
                </c:pt>
                <c:pt idx="421">
                  <c:v>5674.1523391493956</c:v>
                </c:pt>
                <c:pt idx="422">
                  <c:v>5675.4532368995579</c:v>
                </c:pt>
                <c:pt idx="423">
                  <c:v>5676.7540983606505</c:v>
                </c:pt>
                <c:pt idx="424">
                  <c:v>5677.7319310722041</c:v>
                </c:pt>
                <c:pt idx="425">
                  <c:v>5658.9211117196</c:v>
                </c:pt>
                <c:pt idx="426">
                  <c:v>5659.5645888157833</c:v>
                </c:pt>
                <c:pt idx="427">
                  <c:v>5661.2322667398412</c:v>
                </c:pt>
                <c:pt idx="428">
                  <c:v>5652.9516098901049</c:v>
                </c:pt>
                <c:pt idx="429">
                  <c:v>5653.9734213421289</c:v>
                </c:pt>
                <c:pt idx="430">
                  <c:v>5637.6374008810517</c:v>
                </c:pt>
                <c:pt idx="431">
                  <c:v>5628.158544652696</c:v>
                </c:pt>
                <c:pt idx="432">
                  <c:v>5630.0637086092665</c:v>
                </c:pt>
                <c:pt idx="433">
                  <c:v>5624.5542872928127</c:v>
                </c:pt>
                <c:pt idx="434">
                  <c:v>5626.2025553097301</c:v>
                </c:pt>
                <c:pt idx="435">
                  <c:v>5627.5791638981127</c:v>
                </c:pt>
                <c:pt idx="436">
                  <c:v>5629.2297394678435</c:v>
                </c:pt>
                <c:pt idx="437">
                  <c:v>5630.4940399555999</c:v>
                </c:pt>
                <c:pt idx="438">
                  <c:v>5623.3146277777723</c:v>
                </c:pt>
                <c:pt idx="439">
                  <c:v>5623.441134593988</c:v>
                </c:pt>
                <c:pt idx="440">
                  <c:v>5624.4425278396393</c:v>
                </c:pt>
                <c:pt idx="441">
                  <c:v>5625.8793701226259</c:v>
                </c:pt>
                <c:pt idx="442">
                  <c:v>5627.535664062495</c:v>
                </c:pt>
                <c:pt idx="443">
                  <c:v>5628.1708938547436</c:v>
                </c:pt>
                <c:pt idx="444">
                  <c:v>5628.6436297539103</c:v>
                </c:pt>
                <c:pt idx="445">
                  <c:v>5629.7802631578897</c:v>
                </c:pt>
                <c:pt idx="446">
                  <c:v>5630.6444562780225</c:v>
                </c:pt>
                <c:pt idx="447">
                  <c:v>5624.6296464646421</c:v>
                </c:pt>
                <c:pt idx="448">
                  <c:v>5625.5430898876357</c:v>
                </c:pt>
                <c:pt idx="449">
                  <c:v>5627.3238357705241</c:v>
                </c:pt>
                <c:pt idx="450">
                  <c:v>5628.8519763513468</c:v>
                </c:pt>
                <c:pt idx="451">
                  <c:v>5623.4285963923285</c:v>
                </c:pt>
                <c:pt idx="452">
                  <c:v>5625.0187697516876</c:v>
                </c:pt>
                <c:pt idx="453">
                  <c:v>5626.5449548022534</c:v>
                </c:pt>
                <c:pt idx="454">
                  <c:v>5608.6050452488626</c:v>
                </c:pt>
                <c:pt idx="455">
                  <c:v>5600.099739524343</c:v>
                </c:pt>
                <c:pt idx="456">
                  <c:v>5601.8746882086107</c:v>
                </c:pt>
                <c:pt idx="457">
                  <c:v>5603.1640295119123</c:v>
                </c:pt>
                <c:pt idx="458">
                  <c:v>5604.6688124999955</c:v>
                </c:pt>
                <c:pt idx="459">
                  <c:v>5597.9247383390175</c:v>
                </c:pt>
                <c:pt idx="460">
                  <c:v>5599.7083883826836</c:v>
                </c:pt>
                <c:pt idx="461">
                  <c:v>5592.7512086659026</c:v>
                </c:pt>
                <c:pt idx="462">
                  <c:v>5573.9046632420041</c:v>
                </c:pt>
                <c:pt idx="463">
                  <c:v>5575.344245714281</c:v>
                </c:pt>
                <c:pt idx="464">
                  <c:v>5567.4680835240224</c:v>
                </c:pt>
                <c:pt idx="465">
                  <c:v>5549.6689977090437</c:v>
                </c:pt>
                <c:pt idx="466">
                  <c:v>5551.1188130733899</c:v>
                </c:pt>
                <c:pt idx="467">
                  <c:v>5542.9613777267459</c:v>
                </c:pt>
                <c:pt idx="468">
                  <c:v>5544.4174540229842</c:v>
                </c:pt>
                <c:pt idx="469">
                  <c:v>5526.8183486766347</c:v>
                </c:pt>
                <c:pt idx="470">
                  <c:v>5519.0510311059861</c:v>
                </c:pt>
                <c:pt idx="471">
                  <c:v>5520.4947635524741</c:v>
                </c:pt>
                <c:pt idx="472">
                  <c:v>5522.1110450346368</c:v>
                </c:pt>
                <c:pt idx="473">
                  <c:v>5523.8552947976823</c:v>
                </c:pt>
                <c:pt idx="474">
                  <c:v>5506.6817766203658</c:v>
                </c:pt>
                <c:pt idx="475">
                  <c:v>5507.9494959443746</c:v>
                </c:pt>
                <c:pt idx="476">
                  <c:v>5510.1935730858422</c:v>
                </c:pt>
                <c:pt idx="477">
                  <c:v>5489.7907084785093</c:v>
                </c:pt>
                <c:pt idx="478">
                  <c:v>5491.6723779069735</c:v>
                </c:pt>
                <c:pt idx="479">
                  <c:v>5492.5736670547121</c:v>
                </c:pt>
                <c:pt idx="480">
                  <c:v>5494.1771095571066</c:v>
                </c:pt>
                <c:pt idx="481">
                  <c:v>5495.7248891481877</c:v>
                </c:pt>
                <c:pt idx="482">
                  <c:v>5487.7741880841086</c:v>
                </c:pt>
                <c:pt idx="483">
                  <c:v>5488.9604035087677</c:v>
                </c:pt>
                <c:pt idx="484">
                  <c:v>5489.8766276346569</c:v>
                </c:pt>
                <c:pt idx="485">
                  <c:v>5491.9006858147686</c:v>
                </c:pt>
                <c:pt idx="486">
                  <c:v>5493.4499178403721</c:v>
                </c:pt>
                <c:pt idx="487">
                  <c:v>5494.7189012925946</c:v>
                </c:pt>
                <c:pt idx="488">
                  <c:v>5496.3396882352927</c:v>
                </c:pt>
                <c:pt idx="489">
                  <c:v>5497.9045229681951</c:v>
                </c:pt>
                <c:pt idx="490">
                  <c:v>5498.9658254716951</c:v>
                </c:pt>
                <c:pt idx="491">
                  <c:v>5500.2485537190068</c:v>
                </c:pt>
                <c:pt idx="492">
                  <c:v>5501.1838829787202</c:v>
                </c:pt>
                <c:pt idx="493">
                  <c:v>5482.7760177514774</c:v>
                </c:pt>
                <c:pt idx="494">
                  <c:v>5483.2876184834113</c:v>
                </c:pt>
                <c:pt idx="495">
                  <c:v>5484.1553558718833</c:v>
                </c:pt>
                <c:pt idx="496">
                  <c:v>5477.7955166270767</c:v>
                </c:pt>
                <c:pt idx="497">
                  <c:v>5479.3451189060597</c:v>
                </c:pt>
                <c:pt idx="498">
                  <c:v>5480.6686071428539</c:v>
                </c:pt>
                <c:pt idx="499">
                  <c:v>5462.3722646007127</c:v>
                </c:pt>
                <c:pt idx="500">
                  <c:v>5463.3387649164661</c:v>
                </c:pt>
                <c:pt idx="501">
                  <c:v>5465.1257347670244</c:v>
                </c:pt>
                <c:pt idx="502">
                  <c:v>5459.0430203349251</c:v>
                </c:pt>
                <c:pt idx="503">
                  <c:v>5460.4797005987984</c:v>
                </c:pt>
                <c:pt idx="504">
                  <c:v>5461.9179076738574</c:v>
                </c:pt>
                <c:pt idx="505">
                  <c:v>5464.0078151260468</c:v>
                </c:pt>
                <c:pt idx="506">
                  <c:v>5444.8765144230747</c:v>
                </c:pt>
                <c:pt idx="507">
                  <c:v>5445.5358904933782</c:v>
                </c:pt>
                <c:pt idx="508">
                  <c:v>5447.6720301204787</c:v>
                </c:pt>
                <c:pt idx="509">
                  <c:v>5449.4002412545215</c:v>
                </c:pt>
                <c:pt idx="510">
                  <c:v>5450.8998429951662</c:v>
                </c:pt>
                <c:pt idx="511">
                  <c:v>5452.334105199513</c:v>
                </c:pt>
                <c:pt idx="512">
                  <c:v>5454.5628450363165</c:v>
                </c:pt>
                <c:pt idx="513">
                  <c:v>5455.9583878787844</c:v>
                </c:pt>
                <c:pt idx="514">
                  <c:v>5457.059629854366</c:v>
                </c:pt>
                <c:pt idx="515">
                  <c:v>5459.1651701093533</c:v>
                </c:pt>
                <c:pt idx="516">
                  <c:v>5461.1034124087555</c:v>
                </c:pt>
                <c:pt idx="517">
                  <c:v>5463.2199086479868</c:v>
                </c:pt>
                <c:pt idx="518">
                  <c:v>5448.498609756095</c:v>
                </c:pt>
                <c:pt idx="519">
                  <c:v>5450.6651892551863</c:v>
                </c:pt>
                <c:pt idx="520">
                  <c:v>5451.3948105134441</c:v>
                </c:pt>
                <c:pt idx="521">
                  <c:v>5440.7225948592368</c:v>
                </c:pt>
                <c:pt idx="522">
                  <c:v>5423.0479166666628</c:v>
                </c:pt>
                <c:pt idx="523">
                  <c:v>5418.7023926380334</c:v>
                </c:pt>
                <c:pt idx="524">
                  <c:v>5420.0715847665815</c:v>
                </c:pt>
                <c:pt idx="525">
                  <c:v>5421.4457072570694</c:v>
                </c:pt>
                <c:pt idx="526">
                  <c:v>5422.8774384236422</c:v>
                </c:pt>
                <c:pt idx="527">
                  <c:v>5423.9507768187405</c:v>
                </c:pt>
                <c:pt idx="528">
                  <c:v>5425.3270740740718</c:v>
                </c:pt>
                <c:pt idx="529">
                  <c:v>5393.3479542645209</c:v>
                </c:pt>
                <c:pt idx="530">
                  <c:v>5395.2401856435627</c:v>
                </c:pt>
                <c:pt idx="531">
                  <c:v>5397.1287484510513</c:v>
                </c:pt>
                <c:pt idx="532">
                  <c:v>5379.2855521091806</c:v>
                </c:pt>
                <c:pt idx="533">
                  <c:v>5381.6519316770173</c:v>
                </c:pt>
                <c:pt idx="534">
                  <c:v>5383.7314241293516</c:v>
                </c:pt>
                <c:pt idx="535">
                  <c:v>5385.6206102117048</c:v>
                </c:pt>
                <c:pt idx="536">
                  <c:v>5387.8759538653339</c:v>
                </c:pt>
                <c:pt idx="537">
                  <c:v>5389.9699375780265</c:v>
                </c:pt>
                <c:pt idx="538">
                  <c:v>5391.6334812499981</c:v>
                </c:pt>
                <c:pt idx="539">
                  <c:v>5393.1846245306615</c:v>
                </c:pt>
                <c:pt idx="540">
                  <c:v>5387.6649248120284</c:v>
                </c:pt>
                <c:pt idx="541">
                  <c:v>5363.7566373902109</c:v>
                </c:pt>
                <c:pt idx="542">
                  <c:v>5365.3360427135658</c:v>
                </c:pt>
                <c:pt idx="543">
                  <c:v>5345.0512704402508</c:v>
                </c:pt>
                <c:pt idx="544">
                  <c:v>5322.6879911838796</c:v>
                </c:pt>
                <c:pt idx="545">
                  <c:v>5321.3312232030266</c:v>
                </c:pt>
                <c:pt idx="546">
                  <c:v>5322.8599242424234</c:v>
                </c:pt>
                <c:pt idx="547">
                  <c:v>5323.9671175726917</c:v>
                </c:pt>
                <c:pt idx="548">
                  <c:v>5325.8742151898723</c:v>
                </c:pt>
                <c:pt idx="549">
                  <c:v>5327.7904119138138</c:v>
                </c:pt>
                <c:pt idx="550">
                  <c:v>5314.1767829949222</c:v>
                </c:pt>
                <c:pt idx="551">
                  <c:v>5296.1512452350689</c:v>
                </c:pt>
                <c:pt idx="552">
                  <c:v>5298.1062531806601</c:v>
                </c:pt>
                <c:pt idx="553">
                  <c:v>5299.9983439490434</c:v>
                </c:pt>
                <c:pt idx="554">
                  <c:v>5301.6411096938764</c:v>
                </c:pt>
                <c:pt idx="555">
                  <c:v>5303.5432567049802</c:v>
                </c:pt>
                <c:pt idx="556">
                  <c:v>5305.7546483375954</c:v>
                </c:pt>
                <c:pt idx="557">
                  <c:v>5307.0365236875796</c:v>
                </c:pt>
                <c:pt idx="558">
                  <c:v>5286.8355961538446</c:v>
                </c:pt>
                <c:pt idx="559">
                  <c:v>5281.3330872913984</c:v>
                </c:pt>
                <c:pt idx="560">
                  <c:v>5282.6426413881736</c:v>
                </c:pt>
                <c:pt idx="561">
                  <c:v>5284.7137837837827</c:v>
                </c:pt>
                <c:pt idx="562">
                  <c:v>5287.1184600515453</c:v>
                </c:pt>
                <c:pt idx="563">
                  <c:v>5264.3513806451601</c:v>
                </c:pt>
                <c:pt idx="564">
                  <c:v>5266.3444056847538</c:v>
                </c:pt>
                <c:pt idx="565">
                  <c:v>5260.9915847347984</c:v>
                </c:pt>
                <c:pt idx="566">
                  <c:v>5240.24</c:v>
                </c:pt>
                <c:pt idx="567">
                  <c:v>5241.6457328145261</c:v>
                </c:pt>
                <c:pt idx="568">
                  <c:v>5244.0049935064935</c:v>
                </c:pt>
                <c:pt idx="569">
                  <c:v>5237.9503511053317</c:v>
                </c:pt>
                <c:pt idx="570">
                  <c:v>5230.5946093749999</c:v>
                </c:pt>
                <c:pt idx="571">
                  <c:v>5233.3395567144726</c:v>
                </c:pt>
                <c:pt idx="572">
                  <c:v>5213.3862010443863</c:v>
                </c:pt>
                <c:pt idx="573">
                  <c:v>5214.7023594771244</c:v>
                </c:pt>
                <c:pt idx="574">
                  <c:v>5209.2440248691109</c:v>
                </c:pt>
                <c:pt idx="575">
                  <c:v>5201.7313564875503</c:v>
                </c:pt>
                <c:pt idx="576">
                  <c:v>5203.7513123359586</c:v>
                </c:pt>
                <c:pt idx="577">
                  <c:v>5183.6877201051257</c:v>
                </c:pt>
                <c:pt idx="578">
                  <c:v>5185.4239868421064</c:v>
                </c:pt>
                <c:pt idx="579">
                  <c:v>5177.4465480895933</c:v>
                </c:pt>
                <c:pt idx="580">
                  <c:v>5169.9152506596329</c:v>
                </c:pt>
                <c:pt idx="581">
                  <c:v>5171.897470277413</c:v>
                </c:pt>
                <c:pt idx="582">
                  <c:v>5169.1596825396855</c:v>
                </c:pt>
                <c:pt idx="583">
                  <c:v>5150.9534569536445</c:v>
                </c:pt>
                <c:pt idx="584">
                  <c:v>5144.5457360742721</c:v>
                </c:pt>
                <c:pt idx="585">
                  <c:v>5137.2020318725117</c:v>
                </c:pt>
                <c:pt idx="586">
                  <c:v>5131.0576595744697</c:v>
                </c:pt>
                <c:pt idx="587">
                  <c:v>5132.9334753661806</c:v>
                </c:pt>
                <c:pt idx="588">
                  <c:v>5134.4313466666681</c:v>
                </c:pt>
                <c:pt idx="589">
                  <c:v>5136.1859813084129</c:v>
                </c:pt>
                <c:pt idx="590">
                  <c:v>5139.0620855614989</c:v>
                </c:pt>
                <c:pt idx="591">
                  <c:v>5131.1197121820642</c:v>
                </c:pt>
                <c:pt idx="592">
                  <c:v>5112.3634450402178</c:v>
                </c:pt>
                <c:pt idx="593">
                  <c:v>5114.0966107382583</c:v>
                </c:pt>
                <c:pt idx="594">
                  <c:v>5098.9337970430142</c:v>
                </c:pt>
                <c:pt idx="595">
                  <c:v>5100.5934320323058</c:v>
                </c:pt>
                <c:pt idx="596">
                  <c:v>5102.7157681940744</c:v>
                </c:pt>
                <c:pt idx="597">
                  <c:v>5104.8464777327972</c:v>
                </c:pt>
                <c:pt idx="598">
                  <c:v>5106.9055067567606</c:v>
                </c:pt>
                <c:pt idx="599">
                  <c:v>5109.7789309878253</c:v>
                </c:pt>
                <c:pt idx="600">
                  <c:v>5111.8503861788658</c:v>
                </c:pt>
                <c:pt idx="601">
                  <c:v>5114.4724491180505</c:v>
                </c:pt>
                <c:pt idx="602">
                  <c:v>5116.6344361413085</c:v>
                </c:pt>
                <c:pt idx="603">
                  <c:v>5119.5280000000048</c:v>
                </c:pt>
                <c:pt idx="604">
                  <c:v>5121.2904564032742</c:v>
                </c:pt>
                <c:pt idx="605">
                  <c:v>5123.3904365620783</c:v>
                </c:pt>
                <c:pt idx="606">
                  <c:v>5125.9674658469985</c:v>
                </c:pt>
                <c:pt idx="607">
                  <c:v>5118.4370656634783</c:v>
                </c:pt>
                <c:pt idx="608">
                  <c:v>5120.693890410962</c:v>
                </c:pt>
                <c:pt idx="609">
                  <c:v>5097.6095336076842</c:v>
                </c:pt>
                <c:pt idx="610">
                  <c:v>5099.7696978022004</c:v>
                </c:pt>
                <c:pt idx="611">
                  <c:v>5102.4698762035787</c:v>
                </c:pt>
                <c:pt idx="612">
                  <c:v>5104.9725757575779</c:v>
                </c:pt>
                <c:pt idx="613">
                  <c:v>5107.7476206896572</c:v>
                </c:pt>
                <c:pt idx="614">
                  <c:v>5108.9038397790082</c:v>
                </c:pt>
                <c:pt idx="615">
                  <c:v>5111.2834024896292</c:v>
                </c:pt>
                <c:pt idx="616">
                  <c:v>5113.2562534626068</c:v>
                </c:pt>
                <c:pt idx="617">
                  <c:v>5115.2446948682409</c:v>
                </c:pt>
                <c:pt idx="618">
                  <c:v>5117.3021875000022</c:v>
                </c:pt>
                <c:pt idx="619">
                  <c:v>5119.0292002781671</c:v>
                </c:pt>
                <c:pt idx="620">
                  <c:v>5121.1039484679686</c:v>
                </c:pt>
                <c:pt idx="621">
                  <c:v>5124.26506973501</c:v>
                </c:pt>
                <c:pt idx="622">
                  <c:v>5127.1025069832431</c:v>
                </c:pt>
                <c:pt idx="623">
                  <c:v>5106.1091888111914</c:v>
                </c:pt>
                <c:pt idx="624">
                  <c:v>5108.5927521008434</c:v>
                </c:pt>
                <c:pt idx="625">
                  <c:v>5111.0014726507752</c:v>
                </c:pt>
                <c:pt idx="626">
                  <c:v>5113.0789044943858</c:v>
                </c:pt>
                <c:pt idx="627">
                  <c:v>5092.4219057665296</c:v>
                </c:pt>
                <c:pt idx="628">
                  <c:v>5095.1695140845113</c:v>
                </c:pt>
                <c:pt idx="629">
                  <c:v>5097.9195768688332</c:v>
                </c:pt>
                <c:pt idx="630">
                  <c:v>5098.6035028248625</c:v>
                </c:pt>
                <c:pt idx="631">
                  <c:v>5100.1874398868495</c:v>
                </c:pt>
                <c:pt idx="632">
                  <c:v>5102.34453966006</c:v>
                </c:pt>
                <c:pt idx="633">
                  <c:v>5099.846822695039</c:v>
                </c:pt>
                <c:pt idx="634">
                  <c:v>5103.0427414772766</c:v>
                </c:pt>
                <c:pt idx="635">
                  <c:v>5105.4229729729768</c:v>
                </c:pt>
                <c:pt idx="636">
                  <c:v>5107.8728703703746</c:v>
                </c:pt>
                <c:pt idx="637">
                  <c:v>5110.2536019971512</c:v>
                </c:pt>
                <c:pt idx="638">
                  <c:v>5111.7949071428611</c:v>
                </c:pt>
                <c:pt idx="639">
                  <c:v>5114.5368311874145</c:v>
                </c:pt>
                <c:pt idx="640">
                  <c:v>5117.6234885386866</c:v>
                </c:pt>
                <c:pt idx="641">
                  <c:v>5119.8882352941218</c:v>
                </c:pt>
                <c:pt idx="642">
                  <c:v>5122.4950359195445</c:v>
                </c:pt>
                <c:pt idx="643">
                  <c:v>5123.9901942446077</c:v>
                </c:pt>
                <c:pt idx="644">
                  <c:v>5117.3631844380434</c:v>
                </c:pt>
                <c:pt idx="645">
                  <c:v>5119.5528354978396</c:v>
                </c:pt>
                <c:pt idx="646">
                  <c:v>5114.5373627167673</c:v>
                </c:pt>
                <c:pt idx="647">
                  <c:v>5105.7794066570223</c:v>
                </c:pt>
                <c:pt idx="648">
                  <c:v>5108.3956014492796</c:v>
                </c:pt>
                <c:pt idx="649">
                  <c:v>5087.4162554426739</c:v>
                </c:pt>
                <c:pt idx="650">
                  <c:v>5090.5150145348871</c:v>
                </c:pt>
                <c:pt idx="651">
                  <c:v>5092.3311426492028</c:v>
                </c:pt>
                <c:pt idx="652">
                  <c:v>5094.5245116618098</c:v>
                </c:pt>
                <c:pt idx="653">
                  <c:v>5095.9360218978136</c:v>
                </c:pt>
                <c:pt idx="654">
                  <c:v>5074.1425584795343</c:v>
                </c:pt>
                <c:pt idx="655">
                  <c:v>5076.8124304538815</c:v>
                </c:pt>
                <c:pt idx="656">
                  <c:v>5080.2690835777139</c:v>
                </c:pt>
                <c:pt idx="657">
                  <c:v>5082.5978928047007</c:v>
                </c:pt>
                <c:pt idx="658">
                  <c:v>5069.1327941176487</c:v>
                </c:pt>
                <c:pt idx="659">
                  <c:v>5071.7365537555252</c:v>
                </c:pt>
                <c:pt idx="660">
                  <c:v>5074.4250368731582</c:v>
                </c:pt>
                <c:pt idx="661">
                  <c:v>5077.1977474150681</c:v>
                </c:pt>
                <c:pt idx="662">
                  <c:v>5080.7027292899429</c:v>
                </c:pt>
                <c:pt idx="663">
                  <c:v>5083.3441333333349</c:v>
                </c:pt>
                <c:pt idx="664">
                  <c:v>5079.1407715133546</c:v>
                </c:pt>
                <c:pt idx="665">
                  <c:v>5082.4903714710263</c:v>
                </c:pt>
                <c:pt idx="666">
                  <c:v>5085.0594122023822</c:v>
                </c:pt>
                <c:pt idx="667">
                  <c:v>5076.4954694485859</c:v>
                </c:pt>
                <c:pt idx="668">
                  <c:v>5078.4631716417916</c:v>
                </c:pt>
                <c:pt idx="669">
                  <c:v>5070.2970777279534</c:v>
                </c:pt>
                <c:pt idx="670">
                  <c:v>5073.1281586826362</c:v>
                </c:pt>
                <c:pt idx="671">
                  <c:v>5065.6296101949038</c:v>
                </c:pt>
                <c:pt idx="672">
                  <c:v>5068.6376351351364</c:v>
                </c:pt>
                <c:pt idx="673">
                  <c:v>5046.1048421052637</c:v>
                </c:pt>
                <c:pt idx="674">
                  <c:v>5047.6887198795184</c:v>
                </c:pt>
                <c:pt idx="675">
                  <c:v>5051.0319683257921</c:v>
                </c:pt>
                <c:pt idx="676">
                  <c:v>5053.2151812688826</c:v>
                </c:pt>
                <c:pt idx="677">
                  <c:v>5056.2317776096825</c:v>
                </c:pt>
                <c:pt idx="678">
                  <c:v>5059.1659924242431</c:v>
                </c:pt>
                <c:pt idx="679">
                  <c:v>5060.0366540212444</c:v>
                </c:pt>
                <c:pt idx="680">
                  <c:v>5061.1903343465056</c:v>
                </c:pt>
                <c:pt idx="681">
                  <c:v>5062.8135464231364</c:v>
                </c:pt>
                <c:pt idx="682">
                  <c:v>5064.874603658538</c:v>
                </c:pt>
                <c:pt idx="683">
                  <c:v>5068.2122671755724</c:v>
                </c:pt>
                <c:pt idx="684">
                  <c:v>5061.4142278287463</c:v>
                </c:pt>
                <c:pt idx="685">
                  <c:v>5062.589977029098</c:v>
                </c:pt>
                <c:pt idx="686">
                  <c:v>5065.4926610429457</c:v>
                </c:pt>
                <c:pt idx="687">
                  <c:v>5055.1746620583717</c:v>
                </c:pt>
                <c:pt idx="688">
                  <c:v>5045.672592307692</c:v>
                </c:pt>
                <c:pt idx="689">
                  <c:v>5047.8972804314335</c:v>
                </c:pt>
                <c:pt idx="690">
                  <c:v>5050.9953703703713</c:v>
                </c:pt>
                <c:pt idx="691">
                  <c:v>5046.575965996909</c:v>
                </c:pt>
                <c:pt idx="692">
                  <c:v>5049.678707430342</c:v>
                </c:pt>
                <c:pt idx="693">
                  <c:v>5052.5015736434116</c:v>
                </c:pt>
                <c:pt idx="694">
                  <c:v>5056.1537655279517</c:v>
                </c:pt>
                <c:pt idx="695">
                  <c:v>5058.8417729393486</c:v>
                </c:pt>
                <c:pt idx="696">
                  <c:v>5061.6156152647991</c:v>
                </c:pt>
                <c:pt idx="697">
                  <c:v>5064.8510686427471</c:v>
                </c:pt>
                <c:pt idx="698">
                  <c:v>5068.548007812502</c:v>
                </c:pt>
                <c:pt idx="699">
                  <c:v>5071.7318622848225</c:v>
                </c:pt>
                <c:pt idx="700">
                  <c:v>5074.6855485893439</c:v>
                </c:pt>
                <c:pt idx="701">
                  <c:v>5077.9599136577726</c:v>
                </c:pt>
                <c:pt idx="702">
                  <c:v>5080.7762500000017</c:v>
                </c:pt>
                <c:pt idx="703">
                  <c:v>5083.3166535433093</c:v>
                </c:pt>
                <c:pt idx="704">
                  <c:v>5085.692476340696</c:v>
                </c:pt>
                <c:pt idx="705">
                  <c:v>5089.3908372827827</c:v>
                </c:pt>
                <c:pt idx="706">
                  <c:v>5091.789509493673</c:v>
                </c:pt>
                <c:pt idx="707">
                  <c:v>5095.5122583201291</c:v>
                </c:pt>
                <c:pt idx="708">
                  <c:v>5099.3277222222241</c:v>
                </c:pt>
                <c:pt idx="709">
                  <c:v>5102.7790381558052</c:v>
                </c:pt>
                <c:pt idx="710">
                  <c:v>5077.5030175159254</c:v>
                </c:pt>
                <c:pt idx="711">
                  <c:v>5080.4497208931443</c:v>
                </c:pt>
                <c:pt idx="712">
                  <c:v>5082.5429632587884</c:v>
                </c:pt>
                <c:pt idx="713">
                  <c:v>5085.3610000000026</c:v>
                </c:pt>
                <c:pt idx="714">
                  <c:v>5087.7927483974381</c:v>
                </c:pt>
                <c:pt idx="715">
                  <c:v>5090.1130337078675</c:v>
                </c:pt>
                <c:pt idx="716">
                  <c:v>5093.1450401929278</c:v>
                </c:pt>
                <c:pt idx="717">
                  <c:v>5096.3498631239963</c:v>
                </c:pt>
                <c:pt idx="718">
                  <c:v>5099.4764274193576</c:v>
                </c:pt>
                <c:pt idx="719">
                  <c:v>5075.5349353796473</c:v>
                </c:pt>
                <c:pt idx="720">
                  <c:v>5079.9882605178027</c:v>
                </c:pt>
                <c:pt idx="721">
                  <c:v>5082.8015072933576</c:v>
                </c:pt>
                <c:pt idx="722">
                  <c:v>5086.971517857146</c:v>
                </c:pt>
                <c:pt idx="723">
                  <c:v>5089.7146747967508</c:v>
                </c:pt>
                <c:pt idx="724">
                  <c:v>5082.3569543973972</c:v>
                </c:pt>
                <c:pt idx="725">
                  <c:v>5057.8695676998395</c:v>
                </c:pt>
                <c:pt idx="726">
                  <c:v>5060.8737500000034</c:v>
                </c:pt>
                <c:pt idx="727">
                  <c:v>5036.0805646481213</c:v>
                </c:pt>
                <c:pt idx="728">
                  <c:v>5028.3206639344289</c:v>
                </c:pt>
                <c:pt idx="729">
                  <c:v>5005.9778817734014</c:v>
                </c:pt>
                <c:pt idx="730">
                  <c:v>4976.2874588815812</c:v>
                </c:pt>
                <c:pt idx="731">
                  <c:v>4979.284678747943</c:v>
                </c:pt>
                <c:pt idx="732">
                  <c:v>4955.2832590759099</c:v>
                </c:pt>
                <c:pt idx="733">
                  <c:v>4957.7878760330605</c:v>
                </c:pt>
                <c:pt idx="734">
                  <c:v>4932.9889321192086</c:v>
                </c:pt>
                <c:pt idx="735">
                  <c:v>4924.237172470981</c:v>
                </c:pt>
                <c:pt idx="736">
                  <c:v>4927.3394352159494</c:v>
                </c:pt>
                <c:pt idx="737">
                  <c:v>4930.3793094841958</c:v>
                </c:pt>
                <c:pt idx="738">
                  <c:v>4921.6817250000022</c:v>
                </c:pt>
                <c:pt idx="739">
                  <c:v>4924.0647412353946</c:v>
                </c:pt>
                <c:pt idx="740">
                  <c:v>4899.9325919732464</c:v>
                </c:pt>
                <c:pt idx="741">
                  <c:v>4876.5299832495839</c:v>
                </c:pt>
                <c:pt idx="742">
                  <c:v>4848.0037416107398</c:v>
                </c:pt>
                <c:pt idx="743">
                  <c:v>4852.0475546218504</c:v>
                </c:pt>
                <c:pt idx="744">
                  <c:v>4854.534385521888</c:v>
                </c:pt>
                <c:pt idx="745">
                  <c:v>4858.1010202360894</c:v>
                </c:pt>
                <c:pt idx="746">
                  <c:v>4850.5891469594617</c:v>
                </c:pt>
                <c:pt idx="747">
                  <c:v>4853.0845685279201</c:v>
                </c:pt>
                <c:pt idx="748">
                  <c:v>4857.5815508474598</c:v>
                </c:pt>
                <c:pt idx="749">
                  <c:v>4861.186095076403</c:v>
                </c:pt>
                <c:pt idx="750">
                  <c:v>4864.7031547619063</c:v>
                </c:pt>
                <c:pt idx="751">
                  <c:v>4855.2949574105651</c:v>
                </c:pt>
                <c:pt idx="752">
                  <c:v>4859.086953924917</c:v>
                </c:pt>
                <c:pt idx="753">
                  <c:v>4862.7961111111135</c:v>
                </c:pt>
                <c:pt idx="754">
                  <c:v>4867.3537842465767</c:v>
                </c:pt>
                <c:pt idx="755">
                  <c:v>4871.0215866209282</c:v>
                </c:pt>
                <c:pt idx="756">
                  <c:v>4874.8616752577336</c:v>
                </c:pt>
                <c:pt idx="757">
                  <c:v>4877.0147848537026</c:v>
                </c:pt>
                <c:pt idx="758">
                  <c:v>4881.2087413793124</c:v>
                </c:pt>
                <c:pt idx="759">
                  <c:v>4885.0900863557881</c:v>
                </c:pt>
                <c:pt idx="760">
                  <c:v>4887.8746712802795</c:v>
                </c:pt>
                <c:pt idx="761">
                  <c:v>4890.0796360485292</c:v>
                </c:pt>
                <c:pt idx="762">
                  <c:v>4865.220859375002</c:v>
                </c:pt>
                <c:pt idx="763">
                  <c:v>4869.0087565217409</c:v>
                </c:pt>
                <c:pt idx="764">
                  <c:v>4872.7235365853676</c:v>
                </c:pt>
                <c:pt idx="765">
                  <c:v>4846.5194938917994</c:v>
                </c:pt>
                <c:pt idx="766">
                  <c:v>4849.9828059440579</c:v>
                </c:pt>
                <c:pt idx="767">
                  <c:v>4853.9878371278483</c:v>
                </c:pt>
                <c:pt idx="768">
                  <c:v>4857.9009298245628</c:v>
                </c:pt>
                <c:pt idx="769">
                  <c:v>4847.9973374340971</c:v>
                </c:pt>
                <c:pt idx="770">
                  <c:v>4852.3493838028189</c:v>
                </c:pt>
                <c:pt idx="771">
                  <c:v>4855.7495414462101</c:v>
                </c:pt>
                <c:pt idx="772">
                  <c:v>4859.0902208480584</c:v>
                </c:pt>
                <c:pt idx="773">
                  <c:v>4863.4750442477889</c:v>
                </c:pt>
                <c:pt idx="774">
                  <c:v>4867.4512677304983</c:v>
                </c:pt>
                <c:pt idx="775">
                  <c:v>4840.5849023090605</c:v>
                </c:pt>
                <c:pt idx="776">
                  <c:v>4827.0298487544505</c:v>
                </c:pt>
                <c:pt idx="777">
                  <c:v>4818.3748217468828</c:v>
                </c:pt>
                <c:pt idx="778">
                  <c:v>4821.6778303571455</c:v>
                </c:pt>
                <c:pt idx="779">
                  <c:v>4824.5634973166389</c:v>
                </c:pt>
                <c:pt idx="780">
                  <c:v>4827.4710573476723</c:v>
                </c:pt>
                <c:pt idx="781">
                  <c:v>4831.4286086175962</c:v>
                </c:pt>
                <c:pt idx="782">
                  <c:v>4835.8490377697854</c:v>
                </c:pt>
                <c:pt idx="783">
                  <c:v>4826.3326846846867</c:v>
                </c:pt>
                <c:pt idx="784">
                  <c:v>4829.775054151627</c:v>
                </c:pt>
                <c:pt idx="785">
                  <c:v>4833.4170886075963</c:v>
                </c:pt>
                <c:pt idx="786">
                  <c:v>4837.4377807971032</c:v>
                </c:pt>
                <c:pt idx="787">
                  <c:v>4841.5733303085317</c:v>
                </c:pt>
                <c:pt idx="788">
                  <c:v>4846.0597818181841</c:v>
                </c:pt>
                <c:pt idx="789">
                  <c:v>4837.1266302367967</c:v>
                </c:pt>
                <c:pt idx="790">
                  <c:v>4811.5530656934334</c:v>
                </c:pt>
                <c:pt idx="791">
                  <c:v>4814.8726142595997</c:v>
                </c:pt>
                <c:pt idx="792">
                  <c:v>4819.1078663003691</c:v>
                </c:pt>
                <c:pt idx="793">
                  <c:v>4802.832926605508</c:v>
                </c:pt>
                <c:pt idx="794">
                  <c:v>4794.2218658088268</c:v>
                </c:pt>
                <c:pt idx="795">
                  <c:v>4798.4434714548834</c:v>
                </c:pt>
                <c:pt idx="796">
                  <c:v>4802.6717158671609</c:v>
                </c:pt>
                <c:pt idx="797">
                  <c:v>4807.0243900184869</c:v>
                </c:pt>
                <c:pt idx="798">
                  <c:v>4783.0636574074097</c:v>
                </c:pt>
                <c:pt idx="799">
                  <c:v>4786.1980055658651</c:v>
                </c:pt>
                <c:pt idx="800">
                  <c:v>4789.3327137546494</c:v>
                </c:pt>
                <c:pt idx="801">
                  <c:v>4794.5873556797051</c:v>
                </c:pt>
                <c:pt idx="802">
                  <c:v>4762.5391231343292</c:v>
                </c:pt>
                <c:pt idx="803">
                  <c:v>4766.2112990654223</c:v>
                </c:pt>
                <c:pt idx="804">
                  <c:v>4768.8109082397013</c:v>
                </c:pt>
                <c:pt idx="805">
                  <c:v>4772.7051688555366</c:v>
                </c:pt>
                <c:pt idx="806">
                  <c:v>4770.642725563911</c:v>
                </c:pt>
                <c:pt idx="807">
                  <c:v>4775.5588041431274</c:v>
                </c:pt>
                <c:pt idx="808">
                  <c:v>4765.6913396226428</c:v>
                </c:pt>
                <c:pt idx="809">
                  <c:v>4769.981512287336</c:v>
                </c:pt>
                <c:pt idx="810">
                  <c:v>4774.7538825757592</c:v>
                </c:pt>
                <c:pt idx="811">
                  <c:v>4779.52682163188</c:v>
                </c:pt>
                <c:pt idx="812">
                  <c:v>4774.9637927756676</c:v>
                </c:pt>
                <c:pt idx="813">
                  <c:v>4779.1768761904787</c:v>
                </c:pt>
                <c:pt idx="814">
                  <c:v>4784.0845038167963</c:v>
                </c:pt>
                <c:pt idx="815">
                  <c:v>4788.8941682600407</c:v>
                </c:pt>
                <c:pt idx="816">
                  <c:v>4777.0103735632201</c:v>
                </c:pt>
                <c:pt idx="817">
                  <c:v>4781.0400767754336</c:v>
                </c:pt>
                <c:pt idx="818">
                  <c:v>4785.5305384615403</c:v>
                </c:pt>
                <c:pt idx="819">
                  <c:v>4782.8004624277464</c:v>
                </c:pt>
                <c:pt idx="820">
                  <c:v>4787.9939961389973</c:v>
                </c:pt>
                <c:pt idx="821">
                  <c:v>4761.394980657642</c:v>
                </c:pt>
                <c:pt idx="822">
                  <c:v>4764.8323934108539</c:v>
                </c:pt>
                <c:pt idx="823">
                  <c:v>4769.4431359223317</c:v>
                </c:pt>
                <c:pt idx="824">
                  <c:v>4767.7030350194564</c:v>
                </c:pt>
                <c:pt idx="825">
                  <c:v>4770.494619883043</c:v>
                </c:pt>
                <c:pt idx="826">
                  <c:v>4775.1566992187518</c:v>
                </c:pt>
                <c:pt idx="827">
                  <c:v>4779.2401369863028</c:v>
                </c:pt>
                <c:pt idx="828">
                  <c:v>4769.9426862745113</c:v>
                </c:pt>
                <c:pt idx="829">
                  <c:v>4761.7259430255408</c:v>
                </c:pt>
                <c:pt idx="830">
                  <c:v>4764.8356496063006</c:v>
                </c:pt>
                <c:pt idx="831">
                  <c:v>4719.8595857988175</c:v>
                </c:pt>
                <c:pt idx="832">
                  <c:v>4722.607539525693</c:v>
                </c:pt>
                <c:pt idx="833">
                  <c:v>4726.7518019801992</c:v>
                </c:pt>
                <c:pt idx="834">
                  <c:v>4729.6275496031758</c:v>
                </c:pt>
                <c:pt idx="835">
                  <c:v>4722.352157057654</c:v>
                </c:pt>
                <c:pt idx="836">
                  <c:v>4693.6280079681273</c:v>
                </c:pt>
                <c:pt idx="837">
                  <c:v>4699.299570858283</c:v>
                </c:pt>
                <c:pt idx="838">
                  <c:v>4703.9015099999997</c:v>
                </c:pt>
                <c:pt idx="839">
                  <c:v>4707.2528456913824</c:v>
                </c:pt>
                <c:pt idx="840">
                  <c:v>4711.4205522088341</c:v>
                </c:pt>
                <c:pt idx="841">
                  <c:v>4716.3012676056342</c:v>
                </c:pt>
                <c:pt idx="842">
                  <c:v>4721.91189516129</c:v>
                </c:pt>
                <c:pt idx="843">
                  <c:v>4698.3842525252521</c:v>
                </c:pt>
                <c:pt idx="844">
                  <c:v>4701.4808400809707</c:v>
                </c:pt>
                <c:pt idx="845">
                  <c:v>4705.7899999999991</c:v>
                </c:pt>
                <c:pt idx="846">
                  <c:v>4709.1231097560976</c:v>
                </c:pt>
                <c:pt idx="847">
                  <c:v>4713.3611201629319</c:v>
                </c:pt>
                <c:pt idx="848">
                  <c:v>4718.2163367346939</c:v>
                </c:pt>
                <c:pt idx="849">
                  <c:v>4723.6979141104293</c:v>
                </c:pt>
                <c:pt idx="850">
                  <c:v>4728.5739446721309</c:v>
                </c:pt>
                <c:pt idx="851">
                  <c:v>4734.1827412731009</c:v>
                </c:pt>
                <c:pt idx="852">
                  <c:v>4739.836491769548</c:v>
                </c:pt>
                <c:pt idx="853">
                  <c:v>4731.4369381443294</c:v>
                </c:pt>
                <c:pt idx="854">
                  <c:v>4735.8928512396687</c:v>
                </c:pt>
                <c:pt idx="855">
                  <c:v>4725.2832194616967</c:v>
                </c:pt>
                <c:pt idx="856">
                  <c:v>4716.937012448132</c:v>
                </c:pt>
                <c:pt idx="857">
                  <c:v>4721.8834615384603</c:v>
                </c:pt>
                <c:pt idx="858">
                  <c:v>4727.0710104166646</c:v>
                </c:pt>
                <c:pt idx="859">
                  <c:v>4732.175709812107</c:v>
                </c:pt>
                <c:pt idx="860">
                  <c:v>4737.4151987447676</c:v>
                </c:pt>
                <c:pt idx="861">
                  <c:v>4743.0727777777756</c:v>
                </c:pt>
                <c:pt idx="862">
                  <c:v>4748.8462079831925</c:v>
                </c:pt>
                <c:pt idx="863">
                  <c:v>4753.925210526314</c:v>
                </c:pt>
                <c:pt idx="864">
                  <c:v>4724.2831434599157</c:v>
                </c:pt>
                <c:pt idx="865">
                  <c:v>4729.4674312896404</c:v>
                </c:pt>
                <c:pt idx="866">
                  <c:v>4734.8719809322029</c:v>
                </c:pt>
                <c:pt idx="867">
                  <c:v>4722.125976645435</c:v>
                </c:pt>
                <c:pt idx="868">
                  <c:v>4728.176648936168</c:v>
                </c:pt>
                <c:pt idx="869">
                  <c:v>4696.9861940298497</c:v>
                </c:pt>
                <c:pt idx="870">
                  <c:v>4701.7321474358951</c:v>
                </c:pt>
                <c:pt idx="871">
                  <c:v>4704.5148072805123</c:v>
                </c:pt>
                <c:pt idx="872">
                  <c:v>4709.8440128755346</c:v>
                </c:pt>
                <c:pt idx="873">
                  <c:v>4715.1714086021484</c:v>
                </c:pt>
                <c:pt idx="874">
                  <c:v>4683.5776400862032</c:v>
                </c:pt>
                <c:pt idx="875">
                  <c:v>4690.1726241900615</c:v>
                </c:pt>
                <c:pt idx="876">
                  <c:v>4695.7308008657974</c:v>
                </c:pt>
                <c:pt idx="877">
                  <c:v>4700.7765618221219</c:v>
                </c:pt>
                <c:pt idx="878">
                  <c:v>4706.2706195652145</c:v>
                </c:pt>
                <c:pt idx="879">
                  <c:v>4711.1495860566411</c:v>
                </c:pt>
                <c:pt idx="880">
                  <c:v>4717.2244104803458</c:v>
                </c:pt>
                <c:pt idx="881">
                  <c:v>4723.4313676148759</c:v>
                </c:pt>
                <c:pt idx="882">
                  <c:v>4669.566008771927</c:v>
                </c:pt>
                <c:pt idx="883">
                  <c:v>4673.107659340656</c:v>
                </c:pt>
                <c:pt idx="884">
                  <c:v>4679.2622577092479</c:v>
                </c:pt>
                <c:pt idx="885">
                  <c:v>4684.0362693156703</c:v>
                </c:pt>
                <c:pt idx="886">
                  <c:v>4689.5855641592898</c:v>
                </c:pt>
                <c:pt idx="887">
                  <c:v>4695.6858314855845</c:v>
                </c:pt>
                <c:pt idx="888">
                  <c:v>4684.7840888888868</c:v>
                </c:pt>
                <c:pt idx="889">
                  <c:v>4673.669610244986</c:v>
                </c:pt>
                <c:pt idx="890">
                  <c:v>4678.153917410712</c:v>
                </c:pt>
                <c:pt idx="891">
                  <c:v>4683.9953355704674</c:v>
                </c:pt>
                <c:pt idx="892">
                  <c:v>4688.96313901345</c:v>
                </c:pt>
                <c:pt idx="893">
                  <c:v>4693.4012359550534</c:v>
                </c:pt>
                <c:pt idx="894">
                  <c:v>4699.1961824324299</c:v>
                </c:pt>
                <c:pt idx="895">
                  <c:v>4668.2265688487569</c:v>
                </c:pt>
                <c:pt idx="896">
                  <c:v>4674.0927601809935</c:v>
                </c:pt>
                <c:pt idx="897">
                  <c:v>4680.5588548752812</c:v>
                </c:pt>
                <c:pt idx="898">
                  <c:v>4667.618090909089</c:v>
                </c:pt>
                <c:pt idx="899">
                  <c:v>4636.1658997722079</c:v>
                </c:pt>
                <c:pt idx="900">
                  <c:v>4640.6678196347011</c:v>
                </c:pt>
                <c:pt idx="901">
                  <c:v>4646.4380778032018</c:v>
                </c:pt>
                <c:pt idx="902">
                  <c:v>4652.33354357798</c:v>
                </c:pt>
                <c:pt idx="903">
                  <c:v>4658.9432758620669</c:v>
                </c:pt>
                <c:pt idx="904">
                  <c:v>4665.0315783410115</c:v>
                </c:pt>
                <c:pt idx="905">
                  <c:v>4653.2614780600443</c:v>
                </c:pt>
                <c:pt idx="906">
                  <c:v>4658.5287037037015</c:v>
                </c:pt>
                <c:pt idx="907">
                  <c:v>4623.8113225057978</c:v>
                </c:pt>
                <c:pt idx="908">
                  <c:v>4630.3081511627879</c:v>
                </c:pt>
                <c:pt idx="909">
                  <c:v>4635.4597086247059</c:v>
                </c:pt>
                <c:pt idx="910">
                  <c:v>4598.4684579439227</c:v>
                </c:pt>
                <c:pt idx="911">
                  <c:v>4602.8773653395756</c:v>
                </c:pt>
                <c:pt idx="912">
                  <c:v>4592.2477112676024</c:v>
                </c:pt>
                <c:pt idx="913">
                  <c:v>4598.0316235294085</c:v>
                </c:pt>
                <c:pt idx="914">
                  <c:v>4603.3093867924499</c:v>
                </c:pt>
                <c:pt idx="915">
                  <c:v>4608.8394562647727</c:v>
                </c:pt>
                <c:pt idx="916">
                  <c:v>4599.1876895734567</c:v>
                </c:pt>
                <c:pt idx="917">
                  <c:v>4605.1982066508281</c:v>
                </c:pt>
                <c:pt idx="918">
                  <c:v>4609.3814999999959</c:v>
                </c:pt>
                <c:pt idx="919">
                  <c:v>4597.7521360381825</c:v>
                </c:pt>
                <c:pt idx="920">
                  <c:v>4603.1065669856416</c:v>
                </c:pt>
                <c:pt idx="921">
                  <c:v>4591.6405395683423</c:v>
                </c:pt>
                <c:pt idx="922">
                  <c:v>4597.9324519230731</c:v>
                </c:pt>
                <c:pt idx="923">
                  <c:v>4605.557445783129</c:v>
                </c:pt>
                <c:pt idx="924">
                  <c:v>4593.6037439613501</c:v>
                </c:pt>
                <c:pt idx="925">
                  <c:v>4582.7409443099241</c:v>
                </c:pt>
                <c:pt idx="926">
                  <c:v>4587.6247087378606</c:v>
                </c:pt>
                <c:pt idx="927">
                  <c:v>4592.7954257907513</c:v>
                </c:pt>
                <c:pt idx="928">
                  <c:v>4599.0686341463388</c:v>
                </c:pt>
                <c:pt idx="929">
                  <c:v>4585.5225794621001</c:v>
                </c:pt>
                <c:pt idx="930">
                  <c:v>4572.9327450980363</c:v>
                </c:pt>
                <c:pt idx="931">
                  <c:v>4580.6474570024548</c:v>
                </c:pt>
                <c:pt idx="932">
                  <c:v>4585.8849999999975</c:v>
                </c:pt>
                <c:pt idx="933">
                  <c:v>4552.519654320985</c:v>
                </c:pt>
                <c:pt idx="934">
                  <c:v>4559.1639356435626</c:v>
                </c:pt>
                <c:pt idx="935">
                  <c:v>4566.29998759305</c:v>
                </c:pt>
                <c:pt idx="936">
                  <c:v>4572.7539676616898</c:v>
                </c:pt>
                <c:pt idx="937">
                  <c:v>4563.3858728179539</c:v>
                </c:pt>
                <c:pt idx="938">
                  <c:v>4519.0600124999983</c:v>
                </c:pt>
                <c:pt idx="939">
                  <c:v>4523.8539223057633</c:v>
                </c:pt>
                <c:pt idx="940">
                  <c:v>4531.0077261306515</c:v>
                </c:pt>
                <c:pt idx="941">
                  <c:v>4522.0949496221656</c:v>
                </c:pt>
                <c:pt idx="942">
                  <c:v>4527.9141414141404</c:v>
                </c:pt>
                <c:pt idx="943">
                  <c:v>4532.1457341772148</c:v>
                </c:pt>
                <c:pt idx="944">
                  <c:v>4539.2420304568523</c:v>
                </c:pt>
                <c:pt idx="945">
                  <c:v>4545.0270229007629</c:v>
                </c:pt>
                <c:pt idx="946">
                  <c:v>4550.9634183673461</c:v>
                </c:pt>
                <c:pt idx="947">
                  <c:v>4557.4107416879788</c:v>
                </c:pt>
                <c:pt idx="948">
                  <c:v>4548.4357692307685</c:v>
                </c:pt>
                <c:pt idx="949">
                  <c:v>4554.405449871465</c:v>
                </c:pt>
                <c:pt idx="950">
                  <c:v>4500.1699484536075</c:v>
                </c:pt>
                <c:pt idx="951">
                  <c:v>4507.2027906976737</c:v>
                </c:pt>
                <c:pt idx="952">
                  <c:v>4513.5237305699475</c:v>
                </c:pt>
                <c:pt idx="953">
                  <c:v>4502.3041298701291</c:v>
                </c:pt>
                <c:pt idx="954">
                  <c:v>4509.1227864583334</c:v>
                </c:pt>
                <c:pt idx="955">
                  <c:v>4515.2318015665787</c:v>
                </c:pt>
                <c:pt idx="956">
                  <c:v>4523.5314921465961</c:v>
                </c:pt>
                <c:pt idx="957">
                  <c:v>4531.2415223097105</c:v>
                </c:pt>
                <c:pt idx="958">
                  <c:v>4537.4402368421052</c:v>
                </c:pt>
                <c:pt idx="959">
                  <c:v>4522.7901187335083</c:v>
                </c:pt>
                <c:pt idx="960">
                  <c:v>4503.9483862433854</c:v>
                </c:pt>
                <c:pt idx="961">
                  <c:v>4511.559854111405</c:v>
                </c:pt>
                <c:pt idx="962">
                  <c:v>4518.4394414893613</c:v>
                </c:pt>
                <c:pt idx="963">
                  <c:v>4524.5724933333331</c:v>
                </c:pt>
                <c:pt idx="964">
                  <c:v>4532.5760160427799</c:v>
                </c:pt>
                <c:pt idx="965">
                  <c:v>4538.788163538874</c:v>
                </c:pt>
                <c:pt idx="966">
                  <c:v>4544.6427822580636</c:v>
                </c:pt>
                <c:pt idx="967">
                  <c:v>4550.9083153638812</c:v>
                </c:pt>
                <c:pt idx="968">
                  <c:v>4558.9358378378374</c:v>
                </c:pt>
                <c:pt idx="969">
                  <c:v>4524.309444444445</c:v>
                </c:pt>
                <c:pt idx="970">
                  <c:v>4529.3820652173918</c:v>
                </c:pt>
                <c:pt idx="971">
                  <c:v>4514.9207901907357</c:v>
                </c:pt>
                <c:pt idx="972">
                  <c:v>4522.9238387978139</c:v>
                </c:pt>
                <c:pt idx="973">
                  <c:v>4527.6162739726033</c:v>
                </c:pt>
                <c:pt idx="974">
                  <c:v>4535.5518131868139</c:v>
                </c:pt>
                <c:pt idx="975">
                  <c:v>4542.9050826446282</c:v>
                </c:pt>
                <c:pt idx="976">
                  <c:v>4549.4566988950273</c:v>
                </c:pt>
                <c:pt idx="977">
                  <c:v>4507.1951385041557</c:v>
                </c:pt>
                <c:pt idx="978">
                  <c:v>4496.6904305555563</c:v>
                </c:pt>
                <c:pt idx="979">
                  <c:v>4502.4877576601675</c:v>
                </c:pt>
                <c:pt idx="980">
                  <c:v>4463.2015502793301</c:v>
                </c:pt>
                <c:pt idx="981">
                  <c:v>4472.2248879551826</c:v>
                </c:pt>
                <c:pt idx="982">
                  <c:v>4478.7989185393262</c:v>
                </c:pt>
                <c:pt idx="983">
                  <c:v>4442.3464225352109</c:v>
                </c:pt>
                <c:pt idx="984">
                  <c:v>4449.8630932203387</c:v>
                </c:pt>
                <c:pt idx="985">
                  <c:v>4441.2103257790368</c:v>
                </c:pt>
                <c:pt idx="986">
                  <c:v>4427.1118465909085</c:v>
                </c:pt>
                <c:pt idx="987">
                  <c:v>4436.1676638176632</c:v>
                </c:pt>
                <c:pt idx="988">
                  <c:v>4445.2732714285712</c:v>
                </c:pt>
                <c:pt idx="989">
                  <c:v>4454.4373495702002</c:v>
                </c:pt>
                <c:pt idx="990">
                  <c:v>4462.1244971264368</c:v>
                </c:pt>
                <c:pt idx="991">
                  <c:v>4469.1324783861673</c:v>
                </c:pt>
                <c:pt idx="992">
                  <c:v>4431.7492341040461</c:v>
                </c:pt>
                <c:pt idx="993">
                  <c:v>4439.407927536231</c:v>
                </c:pt>
                <c:pt idx="994">
                  <c:v>4425.7921075581389</c:v>
                </c:pt>
                <c:pt idx="995">
                  <c:v>4434.2188921282786</c:v>
                </c:pt>
                <c:pt idx="996">
                  <c:v>4420.4143567251467</c:v>
                </c:pt>
                <c:pt idx="997">
                  <c:v>4429.0165542522</c:v>
                </c:pt>
                <c:pt idx="998">
                  <c:v>4434.9108382352952</c:v>
                </c:pt>
                <c:pt idx="999">
                  <c:v>4423.2182300884961</c:v>
                </c:pt>
                <c:pt idx="1000">
                  <c:v>4412.0095710059177</c:v>
                </c:pt>
                <c:pt idx="1001">
                  <c:v>4420.1261127596435</c:v>
                </c:pt>
                <c:pt idx="1002">
                  <c:v>4405.1495684523816</c:v>
                </c:pt>
                <c:pt idx="1003">
                  <c:v>4412.7837014925381</c:v>
                </c:pt>
                <c:pt idx="1004">
                  <c:v>4420.0718712574853</c:v>
                </c:pt>
                <c:pt idx="1005">
                  <c:v>4429.8884534534545</c:v>
                </c:pt>
                <c:pt idx="1006">
                  <c:v>4437.3891716867483</c:v>
                </c:pt>
                <c:pt idx="1007">
                  <c:v>4445.6812839879158</c:v>
                </c:pt>
                <c:pt idx="1008">
                  <c:v>4453.8628181818185</c:v>
                </c:pt>
                <c:pt idx="1009">
                  <c:v>4461.3457142857151</c:v>
                </c:pt>
                <c:pt idx="1010">
                  <c:v>4469.7736280487807</c:v>
                </c:pt>
                <c:pt idx="1011">
                  <c:v>4445.7122935779826</c:v>
                </c:pt>
                <c:pt idx="1012">
                  <c:v>4404.0009509202464</c:v>
                </c:pt>
                <c:pt idx="1013">
                  <c:v>4412.6643076923092</c:v>
                </c:pt>
                <c:pt idx="1014">
                  <c:v>4403.9724691358042</c:v>
                </c:pt>
                <c:pt idx="1015">
                  <c:v>4413.1220433436556</c:v>
                </c:pt>
                <c:pt idx="1016">
                  <c:v>4421.5303105590074</c:v>
                </c:pt>
                <c:pt idx="1017">
                  <c:v>4430.3181775700959</c:v>
                </c:pt>
                <c:pt idx="1018">
                  <c:v>4438.7155312500017</c:v>
                </c:pt>
                <c:pt idx="1019">
                  <c:v>4448.4278840125407</c:v>
                </c:pt>
                <c:pt idx="1020">
                  <c:v>4457.0811635220152</c:v>
                </c:pt>
                <c:pt idx="1021">
                  <c:v>4463.7844321766588</c:v>
                </c:pt>
                <c:pt idx="1022">
                  <c:v>4470.6853481012686</c:v>
                </c:pt>
                <c:pt idx="1023">
                  <c:v>4480.2302857142877</c:v>
                </c:pt>
                <c:pt idx="1024">
                  <c:v>4490.8000955414045</c:v>
                </c:pt>
                <c:pt idx="1025">
                  <c:v>4500.5088658146988</c:v>
                </c:pt>
                <c:pt idx="1026">
                  <c:v>4509.5170512820541</c:v>
                </c:pt>
                <c:pt idx="1027">
                  <c:v>4517.6024276527351</c:v>
                </c:pt>
                <c:pt idx="1028">
                  <c:v>4527.4897096774221</c:v>
                </c:pt>
                <c:pt idx="1029">
                  <c:v>4537.0021521035624</c:v>
                </c:pt>
                <c:pt idx="1030">
                  <c:v>4547.3502597402621</c:v>
                </c:pt>
                <c:pt idx="1031">
                  <c:v>4556.7984201954423</c:v>
                </c:pt>
                <c:pt idx="1032">
                  <c:v>4543.8413235294147</c:v>
                </c:pt>
                <c:pt idx="1033">
                  <c:v>4554.2779836065592</c:v>
                </c:pt>
                <c:pt idx="1034">
                  <c:v>4561.8436019736864</c:v>
                </c:pt>
                <c:pt idx="1035">
                  <c:v>4573.3717161716195</c:v>
                </c:pt>
                <c:pt idx="1036">
                  <c:v>4584.3378973509953</c:v>
                </c:pt>
                <c:pt idx="1037">
                  <c:v>4529.6110465116308</c:v>
                </c:pt>
                <c:pt idx="1038">
                  <c:v>4538.1945333333351</c:v>
                </c:pt>
                <c:pt idx="1039">
                  <c:v>4544.8689297658884</c:v>
                </c:pt>
                <c:pt idx="1040">
                  <c:v>4555.543993288592</c:v>
                </c:pt>
                <c:pt idx="1041">
                  <c:v>4566.6158754208773</c:v>
                </c:pt>
                <c:pt idx="1042">
                  <c:v>4576.6152195945961</c:v>
                </c:pt>
                <c:pt idx="1043">
                  <c:v>4561.8259491525441</c:v>
                </c:pt>
                <c:pt idx="1044">
                  <c:v>4571.8891496598653</c:v>
                </c:pt>
                <c:pt idx="1045">
                  <c:v>4581.8430546075097</c:v>
                </c:pt>
                <c:pt idx="1046">
                  <c:v>4570.448698630139</c:v>
                </c:pt>
                <c:pt idx="1047">
                  <c:v>4554.8503092783531</c:v>
                </c:pt>
                <c:pt idx="1048">
                  <c:v>4562.9797068965545</c:v>
                </c:pt>
                <c:pt idx="1049">
                  <c:v>4570.3222318339122</c:v>
                </c:pt>
                <c:pt idx="1050">
                  <c:v>4551.5794965277792</c:v>
                </c:pt>
                <c:pt idx="1051">
                  <c:v>4526.9448083623711</c:v>
                </c:pt>
                <c:pt idx="1052">
                  <c:v>4536.4880244755259</c:v>
                </c:pt>
                <c:pt idx="1053">
                  <c:v>4546.7421578947378</c:v>
                </c:pt>
                <c:pt idx="1054">
                  <c:v>4499.1486971831009</c:v>
                </c:pt>
                <c:pt idx="1055">
                  <c:v>4510.3948233215569</c:v>
                </c:pt>
                <c:pt idx="1056">
                  <c:v>4520.6454432624132</c:v>
                </c:pt>
                <c:pt idx="1057">
                  <c:v>4531.3562633451975</c:v>
                </c:pt>
                <c:pt idx="1058">
                  <c:v>4540.0555535714302</c:v>
                </c:pt>
                <c:pt idx="1059">
                  <c:v>4550.575842293907</c:v>
                </c:pt>
                <c:pt idx="1060">
                  <c:v>4505.9724280575547</c:v>
                </c:pt>
                <c:pt idx="1061">
                  <c:v>4516.7411732851988</c:v>
                </c:pt>
                <c:pt idx="1062">
                  <c:v>4527.933278985508</c:v>
                </c:pt>
                <c:pt idx="1063">
                  <c:v>4537.9626727272735</c:v>
                </c:pt>
                <c:pt idx="1064">
                  <c:v>4508.7549270072996</c:v>
                </c:pt>
                <c:pt idx="1065">
                  <c:v>4521.6314468864475</c:v>
                </c:pt>
                <c:pt idx="1066">
                  <c:v>4503.4109375000016</c:v>
                </c:pt>
                <c:pt idx="1067">
                  <c:v>4449.6850553505546</c:v>
                </c:pt>
                <c:pt idx="1068">
                  <c:v>4457.6078148148163</c:v>
                </c:pt>
                <c:pt idx="1069">
                  <c:v>4470.5178624535329</c:v>
                </c:pt>
                <c:pt idx="1070">
                  <c:v>4421.6251492537322</c:v>
                </c:pt>
                <c:pt idx="1071">
                  <c:v>4432.4847752809001</c:v>
                </c:pt>
                <c:pt idx="1072">
                  <c:v>4445.430545112783</c:v>
                </c:pt>
                <c:pt idx="1073">
                  <c:v>4457.7661886792466</c:v>
                </c:pt>
                <c:pt idx="1074">
                  <c:v>4469.9973106060615</c:v>
                </c:pt>
                <c:pt idx="1075">
                  <c:v>4478.9365969581759</c:v>
                </c:pt>
                <c:pt idx="1076">
                  <c:v>4463.336297709925</c:v>
                </c:pt>
                <c:pt idx="1077">
                  <c:v>4474.9913026819931</c:v>
                </c:pt>
                <c:pt idx="1078">
                  <c:v>4487.4464038461547</c:v>
                </c:pt>
                <c:pt idx="1079">
                  <c:v>4480.4271042471055</c:v>
                </c:pt>
                <c:pt idx="1080">
                  <c:v>4469.5530038759698</c:v>
                </c:pt>
                <c:pt idx="1081">
                  <c:v>4419.8764785992234</c:v>
                </c:pt>
                <c:pt idx="1082">
                  <c:v>4433.2882031250019</c:v>
                </c:pt>
                <c:pt idx="1083">
                  <c:v>4445.8089803921584</c:v>
                </c:pt>
                <c:pt idx="1084">
                  <c:v>4459.4114173228363</c:v>
                </c:pt>
                <c:pt idx="1085">
                  <c:v>4471.4037944664051</c:v>
                </c:pt>
                <c:pt idx="1086">
                  <c:v>4452.1466269841285</c:v>
                </c:pt>
                <c:pt idx="1087">
                  <c:v>4401.6491035856588</c:v>
                </c:pt>
                <c:pt idx="1088">
                  <c:v>4414.3264600000011</c:v>
                </c:pt>
                <c:pt idx="1089">
                  <c:v>4428.3863253012059</c:v>
                </c:pt>
                <c:pt idx="1090">
                  <c:v>4441.4137500000015</c:v>
                </c:pt>
                <c:pt idx="1091">
                  <c:v>4453.7753643724709</c:v>
                </c:pt>
                <c:pt idx="1092">
                  <c:v>4393.6004065040661</c:v>
                </c:pt>
                <c:pt idx="1093">
                  <c:v>4407.7839183673468</c:v>
                </c:pt>
                <c:pt idx="1094">
                  <c:v>4388.8937500000002</c:v>
                </c:pt>
                <c:pt idx="1095">
                  <c:v>4403.2013580246912</c:v>
                </c:pt>
                <c:pt idx="1096">
                  <c:v>4412.1616528925624</c:v>
                </c:pt>
                <c:pt idx="1097">
                  <c:v>4423.2025518672208</c:v>
                </c:pt>
                <c:pt idx="1098">
                  <c:v>4366.2323541666665</c:v>
                </c:pt>
                <c:pt idx="1099">
                  <c:v>4379.4426150627614</c:v>
                </c:pt>
                <c:pt idx="1100">
                  <c:v>4394.0287605042022</c:v>
                </c:pt>
                <c:pt idx="1101">
                  <c:v>4404.97276371308</c:v>
                </c:pt>
                <c:pt idx="1102">
                  <c:v>4347.3179661016948</c:v>
                </c:pt>
                <c:pt idx="1103">
                  <c:v>4360.6277021276592</c:v>
                </c:pt>
                <c:pt idx="1104">
                  <c:v>4373.5147649572655</c:v>
                </c:pt>
                <c:pt idx="1105">
                  <c:v>4386.2979613733905</c:v>
                </c:pt>
                <c:pt idx="1106">
                  <c:v>4358.6626508620693</c:v>
                </c:pt>
                <c:pt idx="1107">
                  <c:v>4369.7510606060614</c:v>
                </c:pt>
                <c:pt idx="1108">
                  <c:v>4383.5410652173923</c:v>
                </c:pt>
                <c:pt idx="1109">
                  <c:v>4328.0843231441058</c:v>
                </c:pt>
                <c:pt idx="1110">
                  <c:v>4257.3627631578947</c:v>
                </c:pt>
                <c:pt idx="1111">
                  <c:v>4244.3377753303976</c:v>
                </c:pt>
                <c:pt idx="1112">
                  <c:v>4256.7032300884957</c:v>
                </c:pt>
                <c:pt idx="1113">
                  <c:v>4234.8902666666672</c:v>
                </c:pt>
                <c:pt idx="1114">
                  <c:v>4224.4954017857144</c:v>
                </c:pt>
                <c:pt idx="1115">
                  <c:v>4193.2201793721979</c:v>
                </c:pt>
                <c:pt idx="1116">
                  <c:v>4187.7933783783792</c:v>
                </c:pt>
                <c:pt idx="1117">
                  <c:v>4126.2323076923085</c:v>
                </c:pt>
                <c:pt idx="1118">
                  <c:v>4138.7265000000007</c:v>
                </c:pt>
                <c:pt idx="1119">
                  <c:v>4072.7705479452061</c:v>
                </c:pt>
                <c:pt idx="1120">
                  <c:v>4086.5087614678901</c:v>
                </c:pt>
                <c:pt idx="1121">
                  <c:v>4100.6270276497698</c:v>
                </c:pt>
                <c:pt idx="1122">
                  <c:v>4114.5958333333338</c:v>
                </c:pt>
                <c:pt idx="1123">
                  <c:v>4124.4115813953495</c:v>
                </c:pt>
                <c:pt idx="1124">
                  <c:v>4138.6600700934578</c:v>
                </c:pt>
                <c:pt idx="1125">
                  <c:v>4153.0276056338025</c:v>
                </c:pt>
                <c:pt idx="1126">
                  <c:v>4167.2994339622646</c:v>
                </c:pt>
                <c:pt idx="1127">
                  <c:v>4180.7836255924176</c:v>
                </c:pt>
                <c:pt idx="1128">
                  <c:v>4196.7278333333334</c:v>
                </c:pt>
                <c:pt idx="1129">
                  <c:v>4207.4113157894744</c:v>
                </c:pt>
                <c:pt idx="1130">
                  <c:v>4221.0721634615393</c:v>
                </c:pt>
                <c:pt idx="1131">
                  <c:v>4233.1400000000003</c:v>
                </c:pt>
                <c:pt idx="1132">
                  <c:v>4249.6052427184477</c:v>
                </c:pt>
                <c:pt idx="1133">
                  <c:v>4263.8959024390251</c:v>
                </c:pt>
                <c:pt idx="1134">
                  <c:v>4278.6017156862754</c:v>
                </c:pt>
                <c:pt idx="1135">
                  <c:v>4211.9973152709372</c:v>
                </c:pt>
                <c:pt idx="1136">
                  <c:v>4140.0605445544561</c:v>
                </c:pt>
                <c:pt idx="1137">
                  <c:v>4155.0587562189066</c:v>
                </c:pt>
                <c:pt idx="1138">
                  <c:v>4064.5780500000005</c:v>
                </c:pt>
                <c:pt idx="1139">
                  <c:v>3999.8082160804024</c:v>
                </c:pt>
                <c:pt idx="1140">
                  <c:v>4015.7804040404048</c:v>
                </c:pt>
                <c:pt idx="1141">
                  <c:v>4030.6971573604064</c:v>
                </c:pt>
                <c:pt idx="1142">
                  <c:v>4046.0187755102043</c:v>
                </c:pt>
                <c:pt idx="1143">
                  <c:v>4055.7438205128205</c:v>
                </c:pt>
                <c:pt idx="1144">
                  <c:v>4069.5828350515467</c:v>
                </c:pt>
                <c:pt idx="1145">
                  <c:v>4081.3894041450772</c:v>
                </c:pt>
                <c:pt idx="1146">
                  <c:v>4098.6558333333332</c:v>
                </c:pt>
                <c:pt idx="1147">
                  <c:v>4114.8085602094234</c:v>
                </c:pt>
                <c:pt idx="1148">
                  <c:v>4130.1372105263154</c:v>
                </c:pt>
                <c:pt idx="1149">
                  <c:v>4145.114708994709</c:v>
                </c:pt>
                <c:pt idx="1150">
                  <c:v>4158.6990691489355</c:v>
                </c:pt>
                <c:pt idx="1151">
                  <c:v>4136.5891711229942</c:v>
                </c:pt>
                <c:pt idx="1152">
                  <c:v>4150.3115322580643</c:v>
                </c:pt>
                <c:pt idx="1153">
                  <c:v>4168.5988918918911</c:v>
                </c:pt>
                <c:pt idx="1154">
                  <c:v>4142.4877173913046</c:v>
                </c:pt>
                <c:pt idx="1155">
                  <c:v>4156.7114207650275</c:v>
                </c:pt>
                <c:pt idx="1156">
                  <c:v>4168.9345329670332</c:v>
                </c:pt>
                <c:pt idx="1157">
                  <c:v>4149.5361049723761</c:v>
                </c:pt>
                <c:pt idx="1158">
                  <c:v>4165.4049999999997</c:v>
                </c:pt>
                <c:pt idx="1159">
                  <c:v>4182.7980167597771</c:v>
                </c:pt>
                <c:pt idx="1160">
                  <c:v>4200.6211797752812</c:v>
                </c:pt>
                <c:pt idx="1161">
                  <c:v>4218.9683050847461</c:v>
                </c:pt>
                <c:pt idx="1162">
                  <c:v>4237.4927840909086</c:v>
                </c:pt>
                <c:pt idx="1163">
                  <c:v>4255.6953714285719</c:v>
                </c:pt>
                <c:pt idx="1164">
                  <c:v>4275.7674425287369</c:v>
                </c:pt>
                <c:pt idx="1165">
                  <c:v>4293.0093063583818</c:v>
                </c:pt>
                <c:pt idx="1166">
                  <c:v>4308.4283430232563</c:v>
                </c:pt>
                <c:pt idx="1167">
                  <c:v>4257.5391812865491</c:v>
                </c:pt>
                <c:pt idx="1168">
                  <c:v>4276.6418235294122</c:v>
                </c:pt>
                <c:pt idx="1169">
                  <c:v>4296.2978994082841</c:v>
                </c:pt>
                <c:pt idx="1170">
                  <c:v>4315.6143750000001</c:v>
                </c:pt>
                <c:pt idx="1171">
                  <c:v>4336.919431137726</c:v>
                </c:pt>
                <c:pt idx="1172">
                  <c:v>4356.9974096385549</c:v>
                </c:pt>
                <c:pt idx="1173">
                  <c:v>4338.8224242424249</c:v>
                </c:pt>
                <c:pt idx="1174">
                  <c:v>4311.7378658536581</c:v>
                </c:pt>
                <c:pt idx="1175">
                  <c:v>4331.2654601226996</c:v>
                </c:pt>
                <c:pt idx="1176">
                  <c:v>4350.4176851851853</c:v>
                </c:pt>
                <c:pt idx="1177">
                  <c:v>4362.4214285714288</c:v>
                </c:pt>
                <c:pt idx="1178">
                  <c:v>4383.4957187500004</c:v>
                </c:pt>
                <c:pt idx="1179">
                  <c:v>4357.334465408805</c:v>
                </c:pt>
                <c:pt idx="1180">
                  <c:v>4380.5089556962021</c:v>
                </c:pt>
                <c:pt idx="1181">
                  <c:v>4402.7748407643303</c:v>
                </c:pt>
                <c:pt idx="1182">
                  <c:v>4424.6932051282047</c:v>
                </c:pt>
                <c:pt idx="1183">
                  <c:v>4363.8031935483859</c:v>
                </c:pt>
                <c:pt idx="1184">
                  <c:v>4382.2097402597401</c:v>
                </c:pt>
                <c:pt idx="1185">
                  <c:v>4402.4579411764698</c:v>
                </c:pt>
                <c:pt idx="1186">
                  <c:v>4425.2370394736836</c:v>
                </c:pt>
                <c:pt idx="1187">
                  <c:v>4446.7179801324501</c:v>
                </c:pt>
                <c:pt idx="1188">
                  <c:v>4469.7479333333331</c:v>
                </c:pt>
                <c:pt idx="1189">
                  <c:v>4493.4444630872476</c:v>
                </c:pt>
                <c:pt idx="1190">
                  <c:v>4517.4699662162157</c:v>
                </c:pt>
                <c:pt idx="1191">
                  <c:v>4531.466156462584</c:v>
                </c:pt>
                <c:pt idx="1192">
                  <c:v>4447.8603767123277</c:v>
                </c:pt>
                <c:pt idx="1193">
                  <c:v>4470.7367586206883</c:v>
                </c:pt>
                <c:pt idx="1194">
                  <c:v>4493.24284722222</c:v>
                </c:pt>
                <c:pt idx="1195">
                  <c:v>4393.655944055944</c:v>
                </c:pt>
                <c:pt idx="1196">
                  <c:v>4332.6053873239434</c:v>
                </c:pt>
                <c:pt idx="1197">
                  <c:v>4291.81769503546</c:v>
                </c:pt>
                <c:pt idx="1198">
                  <c:v>4264.4990714285714</c:v>
                </c:pt>
                <c:pt idx="1199">
                  <c:v>4288.4145683453226</c:v>
                </c:pt>
                <c:pt idx="1200">
                  <c:v>4180.5531884057955</c:v>
                </c:pt>
                <c:pt idx="1201">
                  <c:v>4203.8937956204363</c:v>
                </c:pt>
                <c:pt idx="1202">
                  <c:v>4172.7278676470569</c:v>
                </c:pt>
                <c:pt idx="1203">
                  <c:v>4196.8286666666645</c:v>
                </c:pt>
                <c:pt idx="1204">
                  <c:v>4210.637835820894</c:v>
                </c:pt>
                <c:pt idx="1205">
                  <c:v>4236.1861278195474</c:v>
                </c:pt>
                <c:pt idx="1206">
                  <c:v>4261.675378787877</c:v>
                </c:pt>
                <c:pt idx="1207">
                  <c:v>4285.304503816792</c:v>
                </c:pt>
                <c:pt idx="1208">
                  <c:v>4252.5719230769209</c:v>
                </c:pt>
                <c:pt idx="1209">
                  <c:v>4279.2098449612386</c:v>
                </c:pt>
                <c:pt idx="1210">
                  <c:v>4307.713671874998</c:v>
                </c:pt>
                <c:pt idx="1211">
                  <c:v>4334.3747244094466</c:v>
                </c:pt>
                <c:pt idx="1212">
                  <c:v>4357.9797619047604</c:v>
                </c:pt>
                <c:pt idx="1213">
                  <c:v>4386.285359999998</c:v>
                </c:pt>
                <c:pt idx="1214">
                  <c:v>4413.0671774193524</c:v>
                </c:pt>
                <c:pt idx="1215">
                  <c:v>4307.5652032520311</c:v>
                </c:pt>
                <c:pt idx="1216">
                  <c:v>4335.7920081967195</c:v>
                </c:pt>
                <c:pt idx="1217">
                  <c:v>4299.9197107437994</c:v>
                </c:pt>
                <c:pt idx="1218">
                  <c:v>4328.1144999999979</c:v>
                </c:pt>
                <c:pt idx="1219">
                  <c:v>4222.6772689075606</c:v>
                </c:pt>
                <c:pt idx="1220">
                  <c:v>4104.9905932203365</c:v>
                </c:pt>
                <c:pt idx="1221">
                  <c:v>4128.0858119658096</c:v>
                </c:pt>
                <c:pt idx="1222">
                  <c:v>4093.4234051724106</c:v>
                </c:pt>
                <c:pt idx="1223">
                  <c:v>4121.4645652173886</c:v>
                </c:pt>
                <c:pt idx="1224">
                  <c:v>4150.4435087719276</c:v>
                </c:pt>
                <c:pt idx="1225">
                  <c:v>4125.9142035398199</c:v>
                </c:pt>
                <c:pt idx="1226">
                  <c:v>4157.1194196428542</c:v>
                </c:pt>
                <c:pt idx="1227">
                  <c:v>4184.9399999999969</c:v>
                </c:pt>
                <c:pt idx="1228">
                  <c:v>4215.6151818181788</c:v>
                </c:pt>
                <c:pt idx="1229">
                  <c:v>4244.4974311926571</c:v>
                </c:pt>
                <c:pt idx="1230">
                  <c:v>4176.9327777777744</c:v>
                </c:pt>
                <c:pt idx="1231">
                  <c:v>4208.3431775700901</c:v>
                </c:pt>
                <c:pt idx="1232">
                  <c:v>4239.8158962264115</c:v>
                </c:pt>
                <c:pt idx="1233">
                  <c:v>4274.2239523809494</c:v>
                </c:pt>
                <c:pt idx="1234">
                  <c:v>4306.9147115384585</c:v>
                </c:pt>
                <c:pt idx="1235">
                  <c:v>4190.7277669902887</c:v>
                </c:pt>
                <c:pt idx="1236">
                  <c:v>4225.654999999997</c:v>
                </c:pt>
                <c:pt idx="1237">
                  <c:v>4148.3759405940564</c:v>
                </c:pt>
                <c:pt idx="1238">
                  <c:v>4181.6275499999974</c:v>
                </c:pt>
                <c:pt idx="1239">
                  <c:v>4213.1165656565636</c:v>
                </c:pt>
                <c:pt idx="1240">
                  <c:v>4247.7424489795894</c:v>
                </c:pt>
                <c:pt idx="1241">
                  <c:v>4285.1273195876265</c:v>
                </c:pt>
                <c:pt idx="1242">
                  <c:v>4238.7797916666641</c:v>
                </c:pt>
                <c:pt idx="1243">
                  <c:v>4102.1361052631546</c:v>
                </c:pt>
                <c:pt idx="1244">
                  <c:v>4131.3603723404231</c:v>
                </c:pt>
                <c:pt idx="1245">
                  <c:v>4169.1047849462338</c:v>
                </c:pt>
                <c:pt idx="1246">
                  <c:v>4207.5556521739109</c:v>
                </c:pt>
                <c:pt idx="1247">
                  <c:v>4244.8514285714255</c:v>
                </c:pt>
                <c:pt idx="1248">
                  <c:v>4193.4136111111084</c:v>
                </c:pt>
                <c:pt idx="1249">
                  <c:v>4233.4946067415694</c:v>
                </c:pt>
                <c:pt idx="1250">
                  <c:v>4269.4611363636332</c:v>
                </c:pt>
                <c:pt idx="1251">
                  <c:v>4305.7620689655141</c:v>
                </c:pt>
                <c:pt idx="1252">
                  <c:v>4343.5189534883684</c:v>
                </c:pt>
                <c:pt idx="1253">
                  <c:v>4377.468764705879</c:v>
                </c:pt>
                <c:pt idx="1254">
                  <c:v>4419.8882142857101</c:v>
                </c:pt>
                <c:pt idx="1255">
                  <c:v>4456.6874096385509</c:v>
                </c:pt>
                <c:pt idx="1256">
                  <c:v>4500.3095731707272</c:v>
                </c:pt>
                <c:pt idx="1257">
                  <c:v>4539.1390740740699</c:v>
                </c:pt>
                <c:pt idx="1258">
                  <c:v>4493.0539999999964</c:v>
                </c:pt>
                <c:pt idx="1259">
                  <c:v>4407.5505063291093</c:v>
                </c:pt>
                <c:pt idx="1260">
                  <c:v>4452.9748717948678</c:v>
                </c:pt>
                <c:pt idx="1261">
                  <c:v>4271.2035714285694</c:v>
                </c:pt>
                <c:pt idx="1262">
                  <c:v>4066.0697368421029</c:v>
                </c:pt>
                <c:pt idx="1263">
                  <c:v>3994.6726666666646</c:v>
                </c:pt>
                <c:pt idx="1264">
                  <c:v>3823.6037162162152</c:v>
                </c:pt>
                <c:pt idx="1265">
                  <c:v>3867.4779452054781</c:v>
                </c:pt>
                <c:pt idx="1266">
                  <c:v>3679.3272916666665</c:v>
                </c:pt>
                <c:pt idx="1267">
                  <c:v>3712.0514084507054</c:v>
                </c:pt>
                <c:pt idx="1268">
                  <c:v>3505.0837142857158</c:v>
                </c:pt>
                <c:pt idx="1269">
                  <c:v>3543.3336231884073</c:v>
                </c:pt>
                <c:pt idx="1270">
                  <c:v>3582.7462500000015</c:v>
                </c:pt>
                <c:pt idx="1271">
                  <c:v>3627.7349253731359</c:v>
                </c:pt>
                <c:pt idx="1272">
                  <c:v>3666.0476515151531</c:v>
                </c:pt>
                <c:pt idx="1273">
                  <c:v>3696.3302307692325</c:v>
                </c:pt>
                <c:pt idx="1274">
                  <c:v>3736.8109375000017</c:v>
                </c:pt>
                <c:pt idx="1275">
                  <c:v>3523.8621428571441</c:v>
                </c:pt>
                <c:pt idx="1276">
                  <c:v>3408.5627419354851</c:v>
                </c:pt>
                <c:pt idx="1277">
                  <c:v>3450.4603278688537</c:v>
                </c:pt>
                <c:pt idx="1278">
                  <c:v>3378.6498333333343</c:v>
                </c:pt>
                <c:pt idx="1279">
                  <c:v>3129.5635593220345</c:v>
                </c:pt>
                <c:pt idx="1280">
                  <c:v>3168.9112068965524</c:v>
                </c:pt>
                <c:pt idx="1281">
                  <c:v>3210.1919298245621</c:v>
                </c:pt>
                <c:pt idx="1282">
                  <c:v>3257.3608035714292</c:v>
                </c:pt>
                <c:pt idx="1283">
                  <c:v>3301.8967272727277</c:v>
                </c:pt>
                <c:pt idx="1284">
                  <c:v>3244.2331481481492</c:v>
                </c:pt>
                <c:pt idx="1285">
                  <c:v>3289.2145283018876</c:v>
                </c:pt>
                <c:pt idx="1286">
                  <c:v>3336.0785576923086</c:v>
                </c:pt>
                <c:pt idx="1287">
                  <c:v>3262.9326470588239</c:v>
                </c:pt>
                <c:pt idx="1288">
                  <c:v>3312.1162000000004</c:v>
                </c:pt>
                <c:pt idx="1289">
                  <c:v>3344.1505102040824</c:v>
                </c:pt>
                <c:pt idx="1290">
                  <c:v>3396.8237500000009</c:v>
                </c:pt>
                <c:pt idx="1291">
                  <c:v>3391.1845744680854</c:v>
                </c:pt>
                <c:pt idx="1292">
                  <c:v>3452.4125000000008</c:v>
                </c:pt>
                <c:pt idx="1293">
                  <c:v>3504.6650000000004</c:v>
                </c:pt>
                <c:pt idx="1294">
                  <c:v>3559.2770454545462</c:v>
                </c:pt>
                <c:pt idx="1295">
                  <c:v>3623.1882558139541</c:v>
                </c:pt>
                <c:pt idx="1296">
                  <c:v>3683.3061904761917</c:v>
                </c:pt>
                <c:pt idx="1297">
                  <c:v>3633.1108536585371</c:v>
                </c:pt>
                <c:pt idx="1298">
                  <c:v>3702.5886250000003</c:v>
                </c:pt>
                <c:pt idx="1299">
                  <c:v>3761.5875641025636</c:v>
                </c:pt>
                <c:pt idx="1300">
                  <c:v>3831.3602631578942</c:v>
                </c:pt>
                <c:pt idx="1301">
                  <c:v>3912.8424324324319</c:v>
                </c:pt>
                <c:pt idx="1302">
                  <c:v>3990.8699999999994</c:v>
                </c:pt>
                <c:pt idx="1303">
                  <c:v>3610.3542857142852</c:v>
                </c:pt>
                <c:pt idx="1304">
                  <c:v>3691.361323529411</c:v>
                </c:pt>
                <c:pt idx="1305">
                  <c:v>3786.002575757575</c:v>
                </c:pt>
                <c:pt idx="1306">
                  <c:v>3877.3067187499992</c:v>
                </c:pt>
                <c:pt idx="1307">
                  <c:v>3966.6133870967733</c:v>
                </c:pt>
                <c:pt idx="1308">
                  <c:v>3493.7038333333326</c:v>
                </c:pt>
                <c:pt idx="1309">
                  <c:v>3594.403965517241</c:v>
                </c:pt>
                <c:pt idx="1310">
                  <c:v>3030.0489285714284</c:v>
                </c:pt>
                <c:pt idx="1311">
                  <c:v>3121.3190740740738</c:v>
                </c:pt>
                <c:pt idx="1312">
                  <c:v>3210.1798076923073</c:v>
                </c:pt>
                <c:pt idx="1313">
                  <c:v>3315.7579999999994</c:v>
                </c:pt>
                <c:pt idx="1314">
                  <c:v>3419.861041666667</c:v>
                </c:pt>
                <c:pt idx="1315">
                  <c:v>2835.2313043478266</c:v>
                </c:pt>
                <c:pt idx="1316">
                  <c:v>2911.6963636363639</c:v>
                </c:pt>
                <c:pt idx="1317">
                  <c:v>3023.6373809523816</c:v>
                </c:pt>
                <c:pt idx="1318">
                  <c:v>3119.3825000000006</c:v>
                </c:pt>
                <c:pt idx="1319">
                  <c:v>3238.5071052631583</c:v>
                </c:pt>
                <c:pt idx="1320">
                  <c:v>3036.5388888888897</c:v>
                </c:pt>
                <c:pt idx="1321">
                  <c:v>3165.0205882352943</c:v>
                </c:pt>
                <c:pt idx="1322">
                  <c:v>2991.3953124999998</c:v>
                </c:pt>
                <c:pt idx="1323">
                  <c:v>3038.6486666666665</c:v>
                </c:pt>
                <c:pt idx="1324">
                  <c:v>3176.9900000000002</c:v>
                </c:pt>
                <c:pt idx="1325">
                  <c:v>3336.7265384615389</c:v>
                </c:pt>
                <c:pt idx="1326">
                  <c:v>2898.9670833333334</c:v>
                </c:pt>
                <c:pt idx="1327">
                  <c:v>2334.0345454545459</c:v>
                </c:pt>
                <c:pt idx="1328">
                  <c:v>2482.3150000000001</c:v>
                </c:pt>
                <c:pt idx="1329">
                  <c:v>2042.0133333333335</c:v>
                </c:pt>
                <c:pt idx="1330">
                  <c:v>2226.2687500000002</c:v>
                </c:pt>
                <c:pt idx="1331">
                  <c:v>2427.5957142857142</c:v>
                </c:pt>
                <c:pt idx="1332">
                  <c:v>1641.9066666666665</c:v>
                </c:pt>
                <c:pt idx="1333">
                  <c:v>1798.1529999999998</c:v>
                </c:pt>
                <c:pt idx="1334">
                  <c:v>2034.075</c:v>
                </c:pt>
                <c:pt idx="1335">
                  <c:v>833.2116666666667</c:v>
                </c:pt>
                <c:pt idx="1336">
                  <c:v>958.95249999999999</c:v>
                </c:pt>
                <c:pt idx="1337">
                  <c:v>814.91499999999996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386-4679-ABC3-F205D76FB9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95136127"/>
        <c:axId val="1595143327"/>
      </c:lineChart>
      <c:catAx>
        <c:axId val="1595136127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95143327"/>
        <c:crosses val="autoZero"/>
        <c:auto val="1"/>
        <c:lblAlgn val="ctr"/>
        <c:lblOffset val="100"/>
        <c:noMultiLvlLbl val="0"/>
      </c:catAx>
      <c:valAx>
        <c:axId val="1595143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951361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 b="0" i="0" u="none" strike="noStrike" baseline="0">
                <a:effectLst/>
              </a:rPr>
              <a:t>Bar chart </a:t>
            </a:r>
            <a:endParaRPr lang="en-I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'Ass3 Solution'!$N$11:$O$11</c:f>
              <c:strCache>
                <c:ptCount val="2"/>
                <c:pt idx="0">
                  <c:v>Fraction of Male Smokers</c:v>
                </c:pt>
                <c:pt idx="1">
                  <c:v>Fraction of Female Smokers</c:v>
                </c:pt>
              </c:strCache>
            </c:strRef>
          </c:cat>
          <c:val>
            <c:numRef>
              <c:f>'Ass3 Solution'!$N$12:$O$12</c:f>
              <c:numCache>
                <c:formatCode>General</c:formatCode>
                <c:ptCount val="2"/>
                <c:pt idx="0">
                  <c:v>0.23520710059171598</c:v>
                </c:pt>
                <c:pt idx="1">
                  <c:v>0.17371601208459214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1A-4FBE-8C5A-751E2CCAD6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95131327"/>
        <c:axId val="1595118367"/>
      </c:barChart>
      <c:catAx>
        <c:axId val="15951313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95118367"/>
        <c:crosses val="autoZero"/>
        <c:auto val="1"/>
        <c:lblAlgn val="ctr"/>
        <c:lblOffset val="100"/>
        <c:noMultiLvlLbl val="0"/>
      </c:catAx>
      <c:valAx>
        <c:axId val="15951183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951313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[Insurance FIle project 3.xlsm]Ass3 Solution!PivotTable6</c:name>
    <c:fmtId val="2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'Ass3 Solution'!$T$5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92F-4165-A54B-E1A166EB210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92F-4165-A54B-E1A166EB210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92F-4165-A54B-E1A166EB210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592F-4165-A54B-E1A166EB2100}"/>
              </c:ext>
            </c:extLst>
          </c:dPt>
          <c:cat>
            <c:strRef>
              <c:f>'Ass3 Solution'!$S$6:$S$10</c:f>
              <c:strCache>
                <c:ptCount val="4"/>
                <c:pt idx="0">
                  <c:v>northeast</c:v>
                </c:pt>
                <c:pt idx="1">
                  <c:v>northwest</c:v>
                </c:pt>
                <c:pt idx="2">
                  <c:v>southeast</c:v>
                </c:pt>
                <c:pt idx="3">
                  <c:v>southwest</c:v>
                </c:pt>
              </c:strCache>
            </c:strRef>
          </c:cat>
          <c:val>
            <c:numRef>
              <c:f>'Ass3 Solution'!$T$6:$T$10</c:f>
              <c:numCache>
                <c:formatCode>General</c:formatCode>
                <c:ptCount val="4"/>
                <c:pt idx="0">
                  <c:v>67</c:v>
                </c:pt>
                <c:pt idx="1">
                  <c:v>58</c:v>
                </c:pt>
                <c:pt idx="2">
                  <c:v>91</c:v>
                </c:pt>
                <c:pt idx="3">
                  <c:v>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D9-48A7-B643-7800C18B6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44450</xdr:colOff>
      <xdr:row>6</xdr:row>
      <xdr:rowOff>25400</xdr:rowOff>
    </xdr:from>
    <xdr:to>
      <xdr:col>14</xdr:col>
      <xdr:colOff>387350</xdr:colOff>
      <xdr:row>11</xdr:row>
      <xdr:rowOff>57150</xdr:rowOff>
    </xdr:to>
    <xdr:sp macro="[0]!Perheadpremium" textlink="">
      <xdr:nvSpPr>
        <xdr:cNvPr id="3" name="Oval 2">
          <a:extLst>
            <a:ext uri="{FF2B5EF4-FFF2-40B4-BE49-F238E27FC236}">
              <a16:creationId xmlns:a16="http://schemas.microsoft.com/office/drawing/2014/main" id="{6FE1BCD1-0271-3FF6-AA91-FCB543BADB10}"/>
            </a:ext>
          </a:extLst>
        </xdr:cNvPr>
        <xdr:cNvSpPr/>
      </xdr:nvSpPr>
      <xdr:spPr>
        <a:xfrm>
          <a:off x="8959850" y="920750"/>
          <a:ext cx="1562100" cy="952500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/>
            <a:t>macro</a:t>
          </a:r>
        </a:p>
        <a:p>
          <a:pPr algn="ctr"/>
          <a:r>
            <a:rPr lang="en-IN" sz="1100"/>
            <a:t>Per Head</a:t>
          </a:r>
          <a:r>
            <a:rPr lang="en-IN" sz="1100" baseline="0"/>
            <a:t> Premium</a:t>
          </a:r>
          <a:endParaRPr lang="en-IN" sz="1100"/>
        </a:p>
        <a:p>
          <a:pPr algn="ctr"/>
          <a:endParaRPr lang="en-IN" sz="1100"/>
        </a:p>
        <a:p>
          <a:pPr algn="l"/>
          <a:endParaRPr lang="en-IN" sz="1100"/>
        </a:p>
      </xdr:txBody>
    </xdr:sp>
    <xdr:clientData/>
  </xdr:twoCellAnchor>
  <xdr:twoCellAnchor>
    <xdr:from>
      <xdr:col>4</xdr:col>
      <xdr:colOff>31750</xdr:colOff>
      <xdr:row>8</xdr:row>
      <xdr:rowOff>12700</xdr:rowOff>
    </xdr:from>
    <xdr:to>
      <xdr:col>6</xdr:col>
      <xdr:colOff>31750</xdr:colOff>
      <xdr:row>12</xdr:row>
      <xdr:rowOff>88900</xdr:rowOff>
    </xdr:to>
    <xdr:sp macro="[0]!TotalInsured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DCDE710C-4824-62FD-6B52-965F512C9784}"/>
            </a:ext>
          </a:extLst>
        </xdr:cNvPr>
        <xdr:cNvSpPr/>
      </xdr:nvSpPr>
      <xdr:spPr>
        <a:xfrm>
          <a:off x="2959100" y="1276350"/>
          <a:ext cx="1219200" cy="8128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/>
            <a:t> macro</a:t>
          </a:r>
          <a:r>
            <a:rPr lang="en-IN" sz="1100" baseline="0"/>
            <a:t> </a:t>
          </a:r>
        </a:p>
        <a:p>
          <a:pPr algn="ctr"/>
          <a:r>
            <a:rPr lang="en-IN" sz="1100" baseline="0"/>
            <a:t>Total Insured</a:t>
          </a:r>
          <a:endParaRPr lang="en-IN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688975</xdr:colOff>
      <xdr:row>4</xdr:row>
      <xdr:rowOff>31749</xdr:rowOff>
    </xdr:from>
    <xdr:to>
      <xdr:col>8</xdr:col>
      <xdr:colOff>25400</xdr:colOff>
      <xdr:row>16</xdr:row>
      <xdr:rowOff>34924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4309627-BD5C-632D-C4F9-764E0674365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73025</xdr:colOff>
      <xdr:row>3</xdr:row>
      <xdr:rowOff>25399</xdr:rowOff>
    </xdr:from>
    <xdr:to>
      <xdr:col>16</xdr:col>
      <xdr:colOff>1778000</xdr:colOff>
      <xdr:row>12</xdr:row>
      <xdr:rowOff>3174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797562EA-6698-AA3A-E05F-A44989A0111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209550</xdr:colOff>
      <xdr:row>4</xdr:row>
      <xdr:rowOff>12699</xdr:rowOff>
    </xdr:from>
    <xdr:to>
      <xdr:col>25</xdr:col>
      <xdr:colOff>184150</xdr:colOff>
      <xdr:row>12</xdr:row>
      <xdr:rowOff>104774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5708C32B-61E9-E8D6-608A-F8A59D9EB65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ittu Kumar Sharma" refreshedDate="45474.692285763886" createdVersion="8" refreshedVersion="8" minRefreshableVersion="3" recordCount="1338" xr:uid="{1E29B7B2-9097-4851-812D-9747930173DC}">
  <cacheSource type="worksheet">
    <worksheetSource ref="A1:G1339" sheet="Sheet1"/>
  </cacheSource>
  <cacheFields count="7">
    <cacheField name="age" numFmtId="0">
      <sharedItems containsSemiMixedTypes="0" containsString="0" containsNumber="1" containsInteger="1" minValue="18" maxValue="64"/>
    </cacheField>
    <cacheField name="sex" numFmtId="0">
      <sharedItems/>
    </cacheField>
    <cacheField name="bmi" numFmtId="0">
      <sharedItems containsSemiMixedTypes="0" containsString="0" containsNumber="1" minValue="16" maxValue="53.1"/>
    </cacheField>
    <cacheField name="children" numFmtId="0">
      <sharedItems containsSemiMixedTypes="0" containsString="0" containsNumber="1" containsInteger="1" minValue="0" maxValue="5"/>
    </cacheField>
    <cacheField name="smoker" numFmtId="0">
      <sharedItems count="2">
        <s v="no"/>
        <s v="yes"/>
      </sharedItems>
    </cacheField>
    <cacheField name="region" numFmtId="0">
      <sharedItems count="4">
        <s v="northwest"/>
        <s v="southwest"/>
        <s v="northeast"/>
        <s v="southeast"/>
      </sharedItems>
    </cacheField>
    <cacheField name="premium / Expenses" numFmtId="0">
      <sharedItems containsSemiMixedTypes="0" containsString="0" containsNumber="1" minValue="1121.8699999999999" maxValue="63770.4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38">
  <r>
    <n v="64"/>
    <s v="male"/>
    <n v="24.7"/>
    <n v="1"/>
    <x v="0"/>
    <x v="0"/>
    <n v="30166.62"/>
  </r>
  <r>
    <n v="64"/>
    <s v="female"/>
    <n v="31.3"/>
    <n v="2"/>
    <x v="1"/>
    <x v="1"/>
    <n v="47291.06"/>
  </r>
  <r>
    <n v="64"/>
    <s v="female"/>
    <n v="39.299999999999997"/>
    <n v="0"/>
    <x v="0"/>
    <x v="2"/>
    <n v="14901.52"/>
  </r>
  <r>
    <n v="64"/>
    <s v="female"/>
    <n v="33.799999999999997"/>
    <n v="1"/>
    <x v="1"/>
    <x v="1"/>
    <n v="47928.03"/>
  </r>
  <r>
    <n v="64"/>
    <s v="male"/>
    <n v="34.5"/>
    <n v="0"/>
    <x v="0"/>
    <x v="1"/>
    <n v="13822.8"/>
  </r>
  <r>
    <n v="64"/>
    <s v="female"/>
    <n v="30.1"/>
    <n v="3"/>
    <x v="0"/>
    <x v="0"/>
    <n v="16455.71"/>
  </r>
  <r>
    <n v="64"/>
    <s v="male"/>
    <n v="25.6"/>
    <n v="2"/>
    <x v="0"/>
    <x v="1"/>
    <n v="14988.43"/>
  </r>
  <r>
    <n v="64"/>
    <s v="female"/>
    <n v="33"/>
    <n v="0"/>
    <x v="0"/>
    <x v="0"/>
    <n v="14692.67"/>
  </r>
  <r>
    <n v="64"/>
    <s v="male"/>
    <n v="39.200000000000003"/>
    <n v="1"/>
    <x v="0"/>
    <x v="3"/>
    <n v="14418.28"/>
  </r>
  <r>
    <n v="64"/>
    <s v="male"/>
    <n v="33.9"/>
    <n v="0"/>
    <x v="1"/>
    <x v="3"/>
    <n v="46889.26"/>
  </r>
  <r>
    <n v="64"/>
    <s v="male"/>
    <n v="40.5"/>
    <n v="0"/>
    <x v="0"/>
    <x v="3"/>
    <n v="13831.12"/>
  </r>
  <r>
    <n v="64"/>
    <s v="female"/>
    <n v="39.1"/>
    <n v="3"/>
    <x v="0"/>
    <x v="3"/>
    <n v="16085.13"/>
  </r>
  <r>
    <n v="64"/>
    <s v="male"/>
    <n v="38.200000000000003"/>
    <n v="0"/>
    <x v="0"/>
    <x v="2"/>
    <n v="14410.93"/>
  </r>
  <r>
    <n v="64"/>
    <s v="female"/>
    <n v="23"/>
    <n v="0"/>
    <x v="1"/>
    <x v="3"/>
    <n v="27037.91"/>
  </r>
  <r>
    <n v="64"/>
    <s v="male"/>
    <n v="37.9"/>
    <n v="0"/>
    <x v="0"/>
    <x v="0"/>
    <n v="14210.54"/>
  </r>
  <r>
    <n v="64"/>
    <s v="female"/>
    <n v="39.700000000000003"/>
    <n v="0"/>
    <x v="0"/>
    <x v="1"/>
    <n v="14319.03"/>
  </r>
  <r>
    <n v="64"/>
    <s v="female"/>
    <n v="36"/>
    <n v="0"/>
    <x v="0"/>
    <x v="3"/>
    <n v="14313.85"/>
  </r>
  <r>
    <n v="64"/>
    <s v="female"/>
    <n v="31.8"/>
    <n v="2"/>
    <x v="0"/>
    <x v="2"/>
    <n v="16069.08"/>
  </r>
  <r>
    <n v="64"/>
    <s v="female"/>
    <n v="26.9"/>
    <n v="0"/>
    <x v="1"/>
    <x v="0"/>
    <n v="29330.98"/>
  </r>
  <r>
    <n v="64"/>
    <s v="male"/>
    <n v="26.4"/>
    <n v="0"/>
    <x v="0"/>
    <x v="2"/>
    <n v="14394.56"/>
  </r>
  <r>
    <n v="64"/>
    <s v="male"/>
    <n v="37"/>
    <n v="2"/>
    <x v="1"/>
    <x v="3"/>
    <n v="49577.66"/>
  </r>
  <r>
    <n v="64"/>
    <s v="male"/>
    <n v="23.8"/>
    <n v="0"/>
    <x v="1"/>
    <x v="3"/>
    <n v="26926.51"/>
  </r>
  <r>
    <n v="63"/>
    <s v="female"/>
    <n v="23.1"/>
    <n v="0"/>
    <x v="0"/>
    <x v="2"/>
    <n v="14451.84"/>
  </r>
  <r>
    <n v="63"/>
    <s v="male"/>
    <n v="28.3"/>
    <n v="0"/>
    <x v="0"/>
    <x v="0"/>
    <n v="13770.1"/>
  </r>
  <r>
    <n v="63"/>
    <s v="male"/>
    <n v="35.1"/>
    <n v="0"/>
    <x v="1"/>
    <x v="3"/>
    <n v="47055.53"/>
  </r>
  <r>
    <n v="63"/>
    <s v="male"/>
    <n v="41.5"/>
    <n v="0"/>
    <x v="0"/>
    <x v="3"/>
    <n v="13405.39"/>
  </r>
  <r>
    <n v="63"/>
    <s v="female"/>
    <n v="37.700000000000003"/>
    <n v="0"/>
    <x v="1"/>
    <x v="1"/>
    <n v="48824.45"/>
  </r>
  <r>
    <n v="63"/>
    <s v="female"/>
    <n v="31.8"/>
    <n v="0"/>
    <x v="0"/>
    <x v="1"/>
    <n v="13880.95"/>
  </r>
  <r>
    <n v="63"/>
    <s v="female"/>
    <n v="27.7"/>
    <n v="0"/>
    <x v="1"/>
    <x v="2"/>
    <n v="29523.17"/>
  </r>
  <r>
    <n v="63"/>
    <s v="female"/>
    <n v="32.200000000000003"/>
    <n v="2"/>
    <x v="1"/>
    <x v="1"/>
    <n v="47305.31"/>
  </r>
  <r>
    <n v="63"/>
    <s v="female"/>
    <n v="26.2"/>
    <n v="0"/>
    <x v="0"/>
    <x v="0"/>
    <n v="14256.19"/>
  </r>
  <r>
    <n v="63"/>
    <s v="male"/>
    <n v="36.799999999999997"/>
    <n v="0"/>
    <x v="0"/>
    <x v="2"/>
    <n v="13981.85"/>
  </r>
  <r>
    <n v="63"/>
    <s v="female"/>
    <n v="27"/>
    <n v="0"/>
    <x v="1"/>
    <x v="0"/>
    <n v="28950.47"/>
  </r>
  <r>
    <n v="63"/>
    <s v="male"/>
    <n v="41.3"/>
    <n v="3"/>
    <x v="0"/>
    <x v="0"/>
    <n v="15555.19"/>
  </r>
  <r>
    <n v="63"/>
    <s v="female"/>
    <n v="36.299999999999997"/>
    <n v="0"/>
    <x v="0"/>
    <x v="3"/>
    <n v="13887.2"/>
  </r>
  <r>
    <n v="63"/>
    <s v="male"/>
    <n v="30.8"/>
    <n v="0"/>
    <x v="0"/>
    <x v="1"/>
    <n v="13390.56"/>
  </r>
  <r>
    <n v="63"/>
    <s v="male"/>
    <n v="33.1"/>
    <n v="0"/>
    <x v="0"/>
    <x v="1"/>
    <n v="13393.76"/>
  </r>
  <r>
    <n v="63"/>
    <s v="male"/>
    <n v="39.799999999999997"/>
    <n v="3"/>
    <x v="0"/>
    <x v="1"/>
    <n v="15170.07"/>
  </r>
  <r>
    <n v="63"/>
    <s v="female"/>
    <n v="35.200000000000003"/>
    <n v="1"/>
    <x v="0"/>
    <x v="3"/>
    <n v="14474.68"/>
  </r>
  <r>
    <n v="63"/>
    <s v="female"/>
    <n v="36.9"/>
    <n v="0"/>
    <x v="0"/>
    <x v="3"/>
    <n v="13887.97"/>
  </r>
  <r>
    <n v="63"/>
    <s v="male"/>
    <n v="21.7"/>
    <n v="1"/>
    <x v="0"/>
    <x v="0"/>
    <n v="14349.85"/>
  </r>
  <r>
    <n v="63"/>
    <s v="male"/>
    <n v="31.4"/>
    <n v="0"/>
    <x v="0"/>
    <x v="2"/>
    <n v="13974.46"/>
  </r>
  <r>
    <n v="63"/>
    <s v="male"/>
    <n v="33.700000000000003"/>
    <n v="3"/>
    <x v="0"/>
    <x v="3"/>
    <n v="15161.53"/>
  </r>
  <r>
    <n v="63"/>
    <s v="female"/>
    <n v="25.1"/>
    <n v="0"/>
    <x v="0"/>
    <x v="0"/>
    <n v="14254.61"/>
  </r>
  <r>
    <n v="63"/>
    <s v="female"/>
    <n v="21.7"/>
    <n v="0"/>
    <x v="0"/>
    <x v="2"/>
    <n v="14449.85"/>
  </r>
  <r>
    <n v="62"/>
    <s v="female"/>
    <n v="26.3"/>
    <n v="0"/>
    <x v="1"/>
    <x v="3"/>
    <n v="27808.73"/>
  </r>
  <r>
    <n v="62"/>
    <s v="female"/>
    <n v="33"/>
    <n v="3"/>
    <x v="0"/>
    <x v="0"/>
    <n v="15612.19"/>
  </r>
  <r>
    <n v="62"/>
    <s v="male"/>
    <n v="27.6"/>
    <n v="1"/>
    <x v="0"/>
    <x v="0"/>
    <n v="13937.67"/>
  </r>
  <r>
    <n v="62"/>
    <s v="male"/>
    <n v="30"/>
    <n v="0"/>
    <x v="0"/>
    <x v="0"/>
    <n v="13352.1"/>
  </r>
  <r>
    <n v="62"/>
    <s v="male"/>
    <n v="31.5"/>
    <n v="1"/>
    <x v="0"/>
    <x v="3"/>
    <n v="27000.98"/>
  </r>
  <r>
    <n v="62"/>
    <s v="female"/>
    <n v="38.1"/>
    <n v="2"/>
    <x v="0"/>
    <x v="2"/>
    <n v="15230.32"/>
  </r>
  <r>
    <n v="62"/>
    <s v="female"/>
    <n v="39.200000000000003"/>
    <n v="0"/>
    <x v="0"/>
    <x v="1"/>
    <n v="13470.86"/>
  </r>
  <r>
    <n v="62"/>
    <s v="female"/>
    <n v="31.7"/>
    <n v="0"/>
    <x v="0"/>
    <x v="2"/>
    <n v="14043.48"/>
  </r>
  <r>
    <n v="62"/>
    <s v="male"/>
    <n v="21.4"/>
    <n v="0"/>
    <x v="0"/>
    <x v="1"/>
    <n v="12957.12"/>
  </r>
  <r>
    <n v="62"/>
    <s v="female"/>
    <n v="36.9"/>
    <n v="1"/>
    <x v="0"/>
    <x v="2"/>
    <n v="31620"/>
  </r>
  <r>
    <n v="62"/>
    <s v="male"/>
    <n v="32"/>
    <n v="0"/>
    <x v="1"/>
    <x v="2"/>
    <n v="45710.21"/>
  </r>
  <r>
    <n v="62"/>
    <s v="male"/>
    <n v="37.4"/>
    <n v="0"/>
    <x v="0"/>
    <x v="1"/>
    <n v="12979.36"/>
  </r>
  <r>
    <n v="62"/>
    <s v="female"/>
    <n v="29.9"/>
    <n v="0"/>
    <x v="0"/>
    <x v="3"/>
    <n v="13457.96"/>
  </r>
  <r>
    <n v="62"/>
    <s v="male"/>
    <n v="32.1"/>
    <n v="0"/>
    <x v="0"/>
    <x v="2"/>
    <n v="13555"/>
  </r>
  <r>
    <n v="62"/>
    <s v="female"/>
    <n v="25"/>
    <n v="0"/>
    <x v="0"/>
    <x v="1"/>
    <n v="13451.12"/>
  </r>
  <r>
    <n v="62"/>
    <s v="female"/>
    <n v="33.200000000000003"/>
    <n v="0"/>
    <x v="0"/>
    <x v="1"/>
    <n v="13462.52"/>
  </r>
  <r>
    <n v="62"/>
    <s v="female"/>
    <n v="39.200000000000003"/>
    <n v="0"/>
    <x v="0"/>
    <x v="3"/>
    <n v="13470.8"/>
  </r>
  <r>
    <n v="62"/>
    <s v="male"/>
    <n v="39.9"/>
    <n v="0"/>
    <x v="0"/>
    <x v="3"/>
    <n v="12982.87"/>
  </r>
  <r>
    <n v="62"/>
    <s v="female"/>
    <n v="30.5"/>
    <n v="2"/>
    <x v="0"/>
    <x v="0"/>
    <n v="15019.76"/>
  </r>
  <r>
    <n v="62"/>
    <s v="female"/>
    <n v="32.700000000000003"/>
    <n v="0"/>
    <x v="0"/>
    <x v="0"/>
    <n v="13844.8"/>
  </r>
  <r>
    <n v="62"/>
    <s v="male"/>
    <n v="30.9"/>
    <n v="3"/>
    <x v="1"/>
    <x v="0"/>
    <n v="46718.16"/>
  </r>
  <r>
    <n v="62"/>
    <s v="male"/>
    <n v="26.7"/>
    <n v="0"/>
    <x v="1"/>
    <x v="2"/>
    <n v="28101.33"/>
  </r>
  <r>
    <n v="62"/>
    <s v="male"/>
    <n v="38.799999999999997"/>
    <n v="0"/>
    <x v="0"/>
    <x v="3"/>
    <n v="12981.35"/>
  </r>
  <r>
    <n v="61"/>
    <s v="female"/>
    <n v="39.1"/>
    <n v="2"/>
    <x v="0"/>
    <x v="1"/>
    <n v="14235.07"/>
  </r>
  <r>
    <n v="61"/>
    <s v="female"/>
    <n v="29.9"/>
    <n v="3"/>
    <x v="1"/>
    <x v="3"/>
    <n v="30942.19"/>
  </r>
  <r>
    <n v="61"/>
    <s v="female"/>
    <n v="22"/>
    <n v="0"/>
    <x v="0"/>
    <x v="2"/>
    <n v="13616.36"/>
  </r>
  <r>
    <n v="61"/>
    <s v="male"/>
    <n v="31.6"/>
    <n v="0"/>
    <x v="0"/>
    <x v="3"/>
    <n v="12557.61"/>
  </r>
  <r>
    <n v="61"/>
    <s v="female"/>
    <n v="36.4"/>
    <n v="1"/>
    <x v="1"/>
    <x v="2"/>
    <n v="48517.56"/>
  </r>
  <r>
    <n v="61"/>
    <s v="female"/>
    <n v="31.2"/>
    <n v="0"/>
    <x v="0"/>
    <x v="0"/>
    <n v="13429.04"/>
  </r>
  <r>
    <n v="61"/>
    <s v="female"/>
    <n v="21.1"/>
    <n v="0"/>
    <x v="0"/>
    <x v="0"/>
    <n v="13415.04"/>
  </r>
  <r>
    <n v="61"/>
    <s v="male"/>
    <n v="35.9"/>
    <n v="0"/>
    <x v="1"/>
    <x v="3"/>
    <n v="46599.11"/>
  </r>
  <r>
    <n v="61"/>
    <s v="male"/>
    <n v="28.3"/>
    <n v="1"/>
    <x v="1"/>
    <x v="0"/>
    <n v="28868.66"/>
  </r>
  <r>
    <n v="61"/>
    <s v="female"/>
    <n v="25.1"/>
    <n v="0"/>
    <x v="0"/>
    <x v="3"/>
    <n v="24513.09"/>
  </r>
  <r>
    <n v="61"/>
    <s v="male"/>
    <n v="43.4"/>
    <n v="0"/>
    <x v="0"/>
    <x v="1"/>
    <n v="12574.05"/>
  </r>
  <r>
    <n v="61"/>
    <s v="female"/>
    <n v="35.9"/>
    <n v="0"/>
    <x v="0"/>
    <x v="2"/>
    <n v="13635.64"/>
  </r>
  <r>
    <n v="61"/>
    <s v="male"/>
    <n v="33.9"/>
    <n v="0"/>
    <x v="0"/>
    <x v="2"/>
    <n v="13143.86"/>
  </r>
  <r>
    <n v="61"/>
    <s v="male"/>
    <n v="36.1"/>
    <n v="3"/>
    <x v="0"/>
    <x v="1"/>
    <n v="27941.29"/>
  </r>
  <r>
    <n v="61"/>
    <s v="male"/>
    <n v="32.299999999999997"/>
    <n v="2"/>
    <x v="0"/>
    <x v="0"/>
    <n v="14119.62"/>
  </r>
  <r>
    <n v="61"/>
    <s v="male"/>
    <n v="23.7"/>
    <n v="0"/>
    <x v="0"/>
    <x v="2"/>
    <n v="13129.6"/>
  </r>
  <r>
    <n v="61"/>
    <s v="female"/>
    <n v="44"/>
    <n v="0"/>
    <x v="0"/>
    <x v="1"/>
    <n v="13063.88"/>
  </r>
  <r>
    <n v="61"/>
    <s v="female"/>
    <n v="28.2"/>
    <n v="0"/>
    <x v="0"/>
    <x v="1"/>
    <n v="13041.92"/>
  </r>
  <r>
    <n v="61"/>
    <s v="female"/>
    <n v="33.299999999999997"/>
    <n v="4"/>
    <x v="0"/>
    <x v="3"/>
    <n v="36580.28"/>
  </r>
  <r>
    <n v="61"/>
    <s v="male"/>
    <n v="38.4"/>
    <n v="0"/>
    <x v="0"/>
    <x v="0"/>
    <n v="12950.07"/>
  </r>
  <r>
    <n v="61"/>
    <s v="male"/>
    <n v="36.299999999999997"/>
    <n v="1"/>
    <x v="1"/>
    <x v="1"/>
    <n v="47403.88"/>
  </r>
  <r>
    <n v="61"/>
    <s v="male"/>
    <n v="33.5"/>
    <n v="0"/>
    <x v="0"/>
    <x v="2"/>
    <n v="13143.34"/>
  </r>
  <r>
    <n v="61"/>
    <s v="female"/>
    <n v="29.1"/>
    <n v="0"/>
    <x v="1"/>
    <x v="0"/>
    <n v="29141.360000000001"/>
  </r>
  <r>
    <n v="60"/>
    <s v="female"/>
    <n v="25.8"/>
    <n v="0"/>
    <x v="0"/>
    <x v="0"/>
    <n v="28923.14"/>
  </r>
  <r>
    <n v="60"/>
    <s v="female"/>
    <n v="36"/>
    <n v="0"/>
    <x v="0"/>
    <x v="2"/>
    <n v="13228.85"/>
  </r>
  <r>
    <n v="60"/>
    <s v="male"/>
    <n v="39.9"/>
    <n v="0"/>
    <x v="1"/>
    <x v="1"/>
    <n v="48173.36"/>
  </r>
  <r>
    <n v="60"/>
    <s v="female"/>
    <n v="24.5"/>
    <n v="0"/>
    <x v="0"/>
    <x v="3"/>
    <n v="12629.9"/>
  </r>
  <r>
    <n v="60"/>
    <s v="male"/>
    <n v="28.6"/>
    <n v="0"/>
    <x v="0"/>
    <x v="2"/>
    <n v="30260"/>
  </r>
  <r>
    <n v="60"/>
    <s v="female"/>
    <n v="24"/>
    <n v="0"/>
    <x v="0"/>
    <x v="0"/>
    <n v="13012.21"/>
  </r>
  <r>
    <n v="60"/>
    <s v="female"/>
    <n v="38.1"/>
    <n v="0"/>
    <x v="0"/>
    <x v="3"/>
    <n v="12648.7"/>
  </r>
  <r>
    <n v="60"/>
    <s v="male"/>
    <n v="25.7"/>
    <n v="0"/>
    <x v="0"/>
    <x v="3"/>
    <n v="12142.58"/>
  </r>
  <r>
    <n v="60"/>
    <s v="female"/>
    <n v="27.6"/>
    <n v="0"/>
    <x v="0"/>
    <x v="2"/>
    <n v="13217.09"/>
  </r>
  <r>
    <n v="60"/>
    <s v="female"/>
    <n v="30.5"/>
    <n v="0"/>
    <x v="0"/>
    <x v="1"/>
    <n v="12638.2"/>
  </r>
  <r>
    <n v="60"/>
    <s v="male"/>
    <n v="33.1"/>
    <n v="3"/>
    <x v="0"/>
    <x v="3"/>
    <n v="13919.82"/>
  </r>
  <r>
    <n v="60"/>
    <s v="male"/>
    <n v="29.6"/>
    <n v="0"/>
    <x v="0"/>
    <x v="2"/>
    <n v="12731"/>
  </r>
  <r>
    <n v="60"/>
    <s v="female"/>
    <n v="28.7"/>
    <n v="1"/>
    <x v="0"/>
    <x v="1"/>
    <n v="13224.69"/>
  </r>
  <r>
    <n v="60"/>
    <s v="male"/>
    <n v="31.4"/>
    <n v="3"/>
    <x v="1"/>
    <x v="0"/>
    <n v="46130.53"/>
  </r>
  <r>
    <n v="60"/>
    <s v="male"/>
    <n v="28.9"/>
    <n v="0"/>
    <x v="0"/>
    <x v="1"/>
    <n v="12146.97"/>
  </r>
  <r>
    <n v="60"/>
    <s v="male"/>
    <n v="24.3"/>
    <n v="1"/>
    <x v="0"/>
    <x v="0"/>
    <n v="13112.6"/>
  </r>
  <r>
    <n v="60"/>
    <s v="male"/>
    <n v="37"/>
    <n v="0"/>
    <x v="0"/>
    <x v="2"/>
    <n v="12741.17"/>
  </r>
  <r>
    <n v="60"/>
    <s v="male"/>
    <n v="24.3"/>
    <n v="0"/>
    <x v="0"/>
    <x v="0"/>
    <n v="12523.6"/>
  </r>
  <r>
    <n v="60"/>
    <s v="female"/>
    <n v="32.5"/>
    <n v="0"/>
    <x v="1"/>
    <x v="3"/>
    <n v="45008.959999999999"/>
  </r>
  <r>
    <n v="60"/>
    <s v="male"/>
    <n v="40.9"/>
    <n v="0"/>
    <x v="1"/>
    <x v="3"/>
    <n v="48673.56"/>
  </r>
  <r>
    <n v="60"/>
    <s v="female"/>
    <n v="35.1"/>
    <n v="0"/>
    <x v="0"/>
    <x v="1"/>
    <n v="12644.59"/>
  </r>
  <r>
    <n v="60"/>
    <s v="female"/>
    <n v="18.3"/>
    <n v="0"/>
    <x v="0"/>
    <x v="2"/>
    <n v="13204.29"/>
  </r>
  <r>
    <n v="60"/>
    <s v="male"/>
    <n v="32.799999999999997"/>
    <n v="0"/>
    <x v="1"/>
    <x v="1"/>
    <n v="52590.83"/>
  </r>
  <r>
    <n v="59"/>
    <s v="female"/>
    <n v="27.7"/>
    <n v="3"/>
    <x v="0"/>
    <x v="3"/>
    <n v="14001.13"/>
  </r>
  <r>
    <n v="59"/>
    <s v="male"/>
    <n v="29.8"/>
    <n v="3"/>
    <x v="1"/>
    <x v="2"/>
    <n v="30184.94"/>
  </r>
  <r>
    <n v="59"/>
    <s v="female"/>
    <n v="26.5"/>
    <n v="0"/>
    <x v="0"/>
    <x v="2"/>
    <n v="12815.44"/>
  </r>
  <r>
    <n v="59"/>
    <s v="male"/>
    <n v="26.4"/>
    <n v="0"/>
    <x v="0"/>
    <x v="3"/>
    <n v="11743.3"/>
  </r>
  <r>
    <n v="59"/>
    <s v="female"/>
    <n v="27.8"/>
    <n v="3"/>
    <x v="0"/>
    <x v="3"/>
    <n v="14001.29"/>
  </r>
  <r>
    <n v="59"/>
    <s v="male"/>
    <n v="27.5"/>
    <n v="1"/>
    <x v="0"/>
    <x v="1"/>
    <n v="12333.83"/>
  </r>
  <r>
    <n v="59"/>
    <s v="female"/>
    <n v="32.4"/>
    <n v="3"/>
    <x v="0"/>
    <x v="2"/>
    <n v="14590.63"/>
  </r>
  <r>
    <n v="59"/>
    <s v="male"/>
    <n v="31.8"/>
    <n v="2"/>
    <x v="0"/>
    <x v="3"/>
    <n v="12928.79"/>
  </r>
  <r>
    <n v="59"/>
    <s v="female"/>
    <n v="36.799999999999997"/>
    <n v="1"/>
    <x v="1"/>
    <x v="2"/>
    <n v="47896.79"/>
  </r>
  <r>
    <n v="59"/>
    <s v="female"/>
    <n v="36.5"/>
    <n v="1"/>
    <x v="0"/>
    <x v="3"/>
    <n v="28287.9"/>
  </r>
  <r>
    <n v="59"/>
    <s v="male"/>
    <n v="37.4"/>
    <n v="0"/>
    <x v="0"/>
    <x v="1"/>
    <n v="21797"/>
  </r>
  <r>
    <n v="59"/>
    <s v="male"/>
    <n v="29.7"/>
    <n v="2"/>
    <x v="0"/>
    <x v="3"/>
    <n v="12925.89"/>
  </r>
  <r>
    <n v="59"/>
    <s v="male"/>
    <n v="25.5"/>
    <n v="1"/>
    <x v="0"/>
    <x v="2"/>
    <n v="12913.99"/>
  </r>
  <r>
    <n v="59"/>
    <s v="female"/>
    <n v="23.7"/>
    <n v="0"/>
    <x v="1"/>
    <x v="0"/>
    <n v="25678.78"/>
  </r>
  <r>
    <n v="59"/>
    <s v="male"/>
    <n v="28.8"/>
    <n v="0"/>
    <x v="0"/>
    <x v="0"/>
    <n v="12129.61"/>
  </r>
  <r>
    <n v="59"/>
    <s v="female"/>
    <n v="35.200000000000003"/>
    <n v="0"/>
    <x v="0"/>
    <x v="3"/>
    <n v="12244.53"/>
  </r>
  <r>
    <n v="59"/>
    <s v="female"/>
    <n v="32.1"/>
    <n v="3"/>
    <x v="0"/>
    <x v="1"/>
    <n v="14007.22"/>
  </r>
  <r>
    <n v="59"/>
    <s v="female"/>
    <n v="31.4"/>
    <n v="0"/>
    <x v="0"/>
    <x v="0"/>
    <n v="12622.18"/>
  </r>
  <r>
    <n v="59"/>
    <s v="male"/>
    <n v="24.7"/>
    <n v="0"/>
    <x v="0"/>
    <x v="2"/>
    <n v="12323.94"/>
  </r>
  <r>
    <n v="59"/>
    <s v="female"/>
    <n v="26.7"/>
    <n v="3"/>
    <x v="0"/>
    <x v="0"/>
    <n v="14382.71"/>
  </r>
  <r>
    <n v="59"/>
    <s v="female"/>
    <n v="27.5"/>
    <n v="0"/>
    <x v="0"/>
    <x v="1"/>
    <n v="12233.83"/>
  </r>
  <r>
    <n v="59"/>
    <s v="male"/>
    <n v="25.5"/>
    <n v="0"/>
    <x v="0"/>
    <x v="0"/>
    <n v="12124.99"/>
  </r>
  <r>
    <n v="59"/>
    <s v="male"/>
    <n v="41.1"/>
    <n v="1"/>
    <x v="1"/>
    <x v="3"/>
    <n v="48970.25"/>
  </r>
  <r>
    <n v="59"/>
    <s v="female"/>
    <n v="34.799999999999997"/>
    <n v="2"/>
    <x v="0"/>
    <x v="1"/>
    <n v="36910.61"/>
  </r>
  <r>
    <n v="59"/>
    <s v="male"/>
    <n v="37.1"/>
    <n v="1"/>
    <x v="0"/>
    <x v="1"/>
    <n v="12347.17"/>
  </r>
  <r>
    <n v="58"/>
    <s v="male"/>
    <n v="37"/>
    <n v="2"/>
    <x v="1"/>
    <x v="0"/>
    <n v="47496.49"/>
  </r>
  <r>
    <n v="58"/>
    <s v="female"/>
    <n v="31.8"/>
    <n v="2"/>
    <x v="0"/>
    <x v="2"/>
    <n v="13607.37"/>
  </r>
  <r>
    <n v="58"/>
    <s v="male"/>
    <n v="32"/>
    <n v="1"/>
    <x v="0"/>
    <x v="3"/>
    <n v="11946.63"/>
  </r>
  <r>
    <n v="58"/>
    <s v="male"/>
    <n v="49.1"/>
    <n v="0"/>
    <x v="0"/>
    <x v="3"/>
    <n v="11381.33"/>
  </r>
  <r>
    <n v="58"/>
    <s v="male"/>
    <n v="28.6"/>
    <n v="0"/>
    <x v="0"/>
    <x v="0"/>
    <n v="11735.88"/>
  </r>
  <r>
    <n v="58"/>
    <s v="female"/>
    <n v="41.9"/>
    <n v="0"/>
    <x v="0"/>
    <x v="3"/>
    <n v="24227.34"/>
  </r>
  <r>
    <n v="58"/>
    <s v="female"/>
    <n v="25.2"/>
    <n v="0"/>
    <x v="0"/>
    <x v="1"/>
    <n v="11837.16"/>
  </r>
  <r>
    <n v="58"/>
    <s v="male"/>
    <n v="34.9"/>
    <n v="0"/>
    <x v="0"/>
    <x v="2"/>
    <n v="11944.59"/>
  </r>
  <r>
    <n v="58"/>
    <s v="female"/>
    <n v="39.1"/>
    <n v="0"/>
    <x v="0"/>
    <x v="3"/>
    <n v="11856.41"/>
  </r>
  <r>
    <n v="58"/>
    <s v="male"/>
    <n v="35.700000000000003"/>
    <n v="0"/>
    <x v="0"/>
    <x v="1"/>
    <n v="11362.76"/>
  </r>
  <r>
    <n v="58"/>
    <s v="female"/>
    <n v="27.2"/>
    <n v="0"/>
    <x v="0"/>
    <x v="0"/>
    <n v="12222.9"/>
  </r>
  <r>
    <n v="58"/>
    <s v="female"/>
    <n v="29"/>
    <n v="0"/>
    <x v="0"/>
    <x v="1"/>
    <n v="11842.44"/>
  </r>
  <r>
    <n v="58"/>
    <s v="male"/>
    <n v="38"/>
    <n v="0"/>
    <x v="0"/>
    <x v="1"/>
    <n v="11365.95"/>
  </r>
  <r>
    <n v="58"/>
    <s v="female"/>
    <n v="33"/>
    <n v="0"/>
    <x v="0"/>
    <x v="2"/>
    <n v="12430.95"/>
  </r>
  <r>
    <n v="58"/>
    <s v="female"/>
    <n v="33.4"/>
    <n v="0"/>
    <x v="0"/>
    <x v="0"/>
    <n v="12231.61"/>
  </r>
  <r>
    <n v="58"/>
    <s v="female"/>
    <n v="22.8"/>
    <n v="0"/>
    <x v="0"/>
    <x v="3"/>
    <n v="11833.78"/>
  </r>
  <r>
    <n v="58"/>
    <s v="female"/>
    <n v="33.1"/>
    <n v="0"/>
    <x v="0"/>
    <x v="1"/>
    <n v="11848.14"/>
  </r>
  <r>
    <n v="58"/>
    <s v="male"/>
    <n v="34.4"/>
    <n v="0"/>
    <x v="0"/>
    <x v="0"/>
    <n v="11743.93"/>
  </r>
  <r>
    <n v="58"/>
    <s v="male"/>
    <n v="36.1"/>
    <n v="0"/>
    <x v="0"/>
    <x v="3"/>
    <n v="11363.28"/>
  </r>
  <r>
    <n v="58"/>
    <s v="female"/>
    <n v="36.5"/>
    <n v="0"/>
    <x v="0"/>
    <x v="0"/>
    <n v="12235.84"/>
  </r>
  <r>
    <n v="58"/>
    <s v="female"/>
    <n v="32.4"/>
    <n v="1"/>
    <x v="0"/>
    <x v="2"/>
    <n v="13019.16"/>
  </r>
  <r>
    <n v="58"/>
    <s v="male"/>
    <n v="30.3"/>
    <n v="0"/>
    <x v="0"/>
    <x v="2"/>
    <n v="11938.26"/>
  </r>
  <r>
    <n v="58"/>
    <s v="male"/>
    <n v="23.3"/>
    <n v="0"/>
    <x v="0"/>
    <x v="1"/>
    <n v="11345.52"/>
  </r>
  <r>
    <n v="58"/>
    <s v="female"/>
    <n v="28.2"/>
    <n v="0"/>
    <x v="0"/>
    <x v="0"/>
    <n v="12224.35"/>
  </r>
  <r>
    <n v="58"/>
    <s v="male"/>
    <n v="25.2"/>
    <n v="0"/>
    <x v="0"/>
    <x v="2"/>
    <n v="11931.13"/>
  </r>
  <r>
    <n v="57"/>
    <s v="male"/>
    <n v="34"/>
    <n v="0"/>
    <x v="0"/>
    <x v="0"/>
    <n v="11356.66"/>
  </r>
  <r>
    <n v="57"/>
    <s v="female"/>
    <n v="31.2"/>
    <n v="0"/>
    <x v="1"/>
    <x v="0"/>
    <n v="43578.94"/>
  </r>
  <r>
    <n v="57"/>
    <s v="female"/>
    <n v="38"/>
    <n v="2"/>
    <x v="0"/>
    <x v="1"/>
    <n v="12646.21"/>
  </r>
  <r>
    <n v="57"/>
    <s v="male"/>
    <n v="40.9"/>
    <n v="0"/>
    <x v="0"/>
    <x v="2"/>
    <n v="11566.3"/>
  </r>
  <r>
    <n v="57"/>
    <s v="female"/>
    <n v="23.2"/>
    <n v="0"/>
    <x v="0"/>
    <x v="0"/>
    <n v="11830.61"/>
  </r>
  <r>
    <n v="57"/>
    <s v="female"/>
    <n v="22.2"/>
    <n v="0"/>
    <x v="0"/>
    <x v="2"/>
    <n v="12029.29"/>
  </r>
  <r>
    <n v="57"/>
    <s v="female"/>
    <n v="30.5"/>
    <n v="0"/>
    <x v="0"/>
    <x v="0"/>
    <n v="11840.78"/>
  </r>
  <r>
    <n v="57"/>
    <s v="female"/>
    <n v="28.7"/>
    <n v="0"/>
    <x v="0"/>
    <x v="1"/>
    <n v="11455.28"/>
  </r>
  <r>
    <n v="57"/>
    <s v="male"/>
    <n v="42.1"/>
    <n v="1"/>
    <x v="1"/>
    <x v="3"/>
    <n v="48675.519999999997"/>
  </r>
  <r>
    <n v="57"/>
    <s v="female"/>
    <n v="34.299999999999997"/>
    <n v="2"/>
    <x v="0"/>
    <x v="2"/>
    <n v="13224.06"/>
  </r>
  <r>
    <n v="57"/>
    <s v="female"/>
    <n v="28.8"/>
    <n v="4"/>
    <x v="0"/>
    <x v="2"/>
    <n v="14394.4"/>
  </r>
  <r>
    <n v="57"/>
    <s v="female"/>
    <n v="24"/>
    <n v="1"/>
    <x v="0"/>
    <x v="3"/>
    <n v="22192.44"/>
  </r>
  <r>
    <n v="57"/>
    <s v="female"/>
    <n v="31.8"/>
    <n v="0"/>
    <x v="0"/>
    <x v="0"/>
    <n v="11842.62"/>
  </r>
  <r>
    <n v="57"/>
    <s v="female"/>
    <n v="29.8"/>
    <n v="0"/>
    <x v="1"/>
    <x v="3"/>
    <n v="27533.91"/>
  </r>
  <r>
    <n v="57"/>
    <s v="male"/>
    <n v="28.1"/>
    <n v="0"/>
    <x v="0"/>
    <x v="1"/>
    <n v="10965.45"/>
  </r>
  <r>
    <n v="57"/>
    <s v="male"/>
    <n v="43.7"/>
    <n v="1"/>
    <x v="0"/>
    <x v="1"/>
    <n v="11576.13"/>
  </r>
  <r>
    <n v="57"/>
    <s v="male"/>
    <n v="29"/>
    <n v="0"/>
    <x v="1"/>
    <x v="2"/>
    <n v="27218.44"/>
  </r>
  <r>
    <n v="57"/>
    <s v="male"/>
    <n v="33.6"/>
    <n v="1"/>
    <x v="0"/>
    <x v="0"/>
    <n v="11945.13"/>
  </r>
  <r>
    <n v="57"/>
    <s v="female"/>
    <n v="20.100000000000001"/>
    <n v="1"/>
    <x v="0"/>
    <x v="1"/>
    <n v="12032.33"/>
  </r>
  <r>
    <n v="57"/>
    <s v="male"/>
    <n v="18.3"/>
    <n v="0"/>
    <x v="0"/>
    <x v="2"/>
    <n v="11534.87"/>
  </r>
  <r>
    <n v="57"/>
    <s v="male"/>
    <n v="27.9"/>
    <n v="1"/>
    <x v="0"/>
    <x v="3"/>
    <n v="11554.22"/>
  </r>
  <r>
    <n v="57"/>
    <s v="male"/>
    <n v="31.5"/>
    <n v="0"/>
    <x v="0"/>
    <x v="0"/>
    <n v="11353.23"/>
  </r>
  <r>
    <n v="57"/>
    <s v="male"/>
    <n v="40.299999999999997"/>
    <n v="0"/>
    <x v="0"/>
    <x v="2"/>
    <n v="20709.02"/>
  </r>
  <r>
    <n v="57"/>
    <s v="male"/>
    <n v="40.4"/>
    <n v="0"/>
    <x v="0"/>
    <x v="3"/>
    <n v="10982.5"/>
  </r>
  <r>
    <n v="57"/>
    <s v="male"/>
    <n v="23.7"/>
    <n v="0"/>
    <x v="0"/>
    <x v="1"/>
    <n v="10959.33"/>
  </r>
  <r>
    <n v="57"/>
    <s v="female"/>
    <n v="25.7"/>
    <n v="2"/>
    <x v="0"/>
    <x v="3"/>
    <n v="12629.17"/>
  </r>
  <r>
    <n v="56"/>
    <s v="female"/>
    <n v="39.799999999999997"/>
    <n v="0"/>
    <x v="0"/>
    <x v="3"/>
    <n v="11090.72"/>
  </r>
  <r>
    <n v="56"/>
    <s v="male"/>
    <n v="40.299999999999997"/>
    <n v="0"/>
    <x v="0"/>
    <x v="1"/>
    <n v="10602.39"/>
  </r>
  <r>
    <n v="56"/>
    <s v="female"/>
    <n v="27.2"/>
    <n v="0"/>
    <x v="0"/>
    <x v="1"/>
    <n v="11073.18"/>
  </r>
  <r>
    <n v="56"/>
    <s v="male"/>
    <n v="20"/>
    <n v="0"/>
    <x v="1"/>
    <x v="2"/>
    <n v="22412.65"/>
  </r>
  <r>
    <n v="56"/>
    <s v="female"/>
    <n v="26.6"/>
    <n v="1"/>
    <x v="0"/>
    <x v="0"/>
    <n v="12044.34"/>
  </r>
  <r>
    <n v="56"/>
    <s v="male"/>
    <n v="33.6"/>
    <n v="0"/>
    <x v="1"/>
    <x v="0"/>
    <n v="43921.18"/>
  </r>
  <r>
    <n v="56"/>
    <s v="female"/>
    <n v="37.5"/>
    <n v="2"/>
    <x v="0"/>
    <x v="3"/>
    <n v="12265.51"/>
  </r>
  <r>
    <n v="56"/>
    <s v="female"/>
    <n v="28.8"/>
    <n v="0"/>
    <x v="0"/>
    <x v="2"/>
    <n v="11658.38"/>
  </r>
  <r>
    <n v="56"/>
    <s v="female"/>
    <n v="32.299999999999997"/>
    <n v="3"/>
    <x v="0"/>
    <x v="2"/>
    <n v="13430.27"/>
  </r>
  <r>
    <n v="56"/>
    <s v="male"/>
    <n v="26.7"/>
    <n v="1"/>
    <x v="1"/>
    <x v="0"/>
    <n v="26109.33"/>
  </r>
  <r>
    <n v="56"/>
    <s v="female"/>
    <n v="25.7"/>
    <n v="0"/>
    <x v="0"/>
    <x v="0"/>
    <n v="11454.02"/>
  </r>
  <r>
    <n v="56"/>
    <s v="male"/>
    <n v="39.6"/>
    <n v="0"/>
    <x v="0"/>
    <x v="1"/>
    <n v="10601.41"/>
  </r>
  <r>
    <n v="56"/>
    <s v="male"/>
    <n v="25.9"/>
    <n v="0"/>
    <x v="0"/>
    <x v="2"/>
    <n v="11165.42"/>
  </r>
  <r>
    <n v="56"/>
    <s v="female"/>
    <n v="33.799999999999997"/>
    <n v="2"/>
    <x v="0"/>
    <x v="0"/>
    <n v="12643.38"/>
  </r>
  <r>
    <n v="56"/>
    <s v="male"/>
    <n v="32.1"/>
    <n v="1"/>
    <x v="0"/>
    <x v="2"/>
    <n v="11763"/>
  </r>
  <r>
    <n v="56"/>
    <s v="female"/>
    <n v="25.3"/>
    <n v="0"/>
    <x v="0"/>
    <x v="1"/>
    <n v="11070.54"/>
  </r>
  <r>
    <n v="56"/>
    <s v="female"/>
    <n v="28.6"/>
    <n v="0"/>
    <x v="0"/>
    <x v="2"/>
    <n v="11658.12"/>
  </r>
  <r>
    <n v="56"/>
    <s v="male"/>
    <n v="33.700000000000003"/>
    <n v="4"/>
    <x v="0"/>
    <x v="3"/>
    <n v="12949.16"/>
  </r>
  <r>
    <n v="56"/>
    <s v="male"/>
    <n v="36.1"/>
    <n v="3"/>
    <x v="0"/>
    <x v="1"/>
    <n v="12363.55"/>
  </r>
  <r>
    <n v="56"/>
    <s v="male"/>
    <n v="33.700000000000003"/>
    <n v="0"/>
    <x v="0"/>
    <x v="0"/>
    <n v="10976.25"/>
  </r>
  <r>
    <n v="56"/>
    <s v="male"/>
    <n v="31.8"/>
    <n v="2"/>
    <x v="1"/>
    <x v="3"/>
    <n v="43813.87"/>
  </r>
  <r>
    <n v="56"/>
    <s v="female"/>
    <n v="28.3"/>
    <n v="0"/>
    <x v="0"/>
    <x v="2"/>
    <n v="11657.72"/>
  </r>
  <r>
    <n v="56"/>
    <s v="female"/>
    <n v="35.799999999999997"/>
    <n v="1"/>
    <x v="0"/>
    <x v="1"/>
    <n v="11674.13"/>
  </r>
  <r>
    <n v="56"/>
    <s v="male"/>
    <n v="22.1"/>
    <n v="0"/>
    <x v="0"/>
    <x v="1"/>
    <n v="10577.09"/>
  </r>
  <r>
    <n v="56"/>
    <s v="female"/>
    <n v="41.9"/>
    <n v="0"/>
    <x v="0"/>
    <x v="3"/>
    <n v="11093.62"/>
  </r>
  <r>
    <n v="56"/>
    <s v="male"/>
    <n v="34.4"/>
    <n v="0"/>
    <x v="0"/>
    <x v="3"/>
    <n v="10594.23"/>
  </r>
  <r>
    <n v="55"/>
    <s v="female"/>
    <n v="32.799999999999997"/>
    <n v="2"/>
    <x v="0"/>
    <x v="0"/>
    <n v="12268.63"/>
  </r>
  <r>
    <n v="55"/>
    <s v="male"/>
    <n v="37.299999999999997"/>
    <n v="0"/>
    <x v="0"/>
    <x v="1"/>
    <n v="20630.28"/>
  </r>
  <r>
    <n v="55"/>
    <s v="female"/>
    <n v="27"/>
    <n v="0"/>
    <x v="0"/>
    <x v="0"/>
    <n v="11082.58"/>
  </r>
  <r>
    <n v="55"/>
    <s v="male"/>
    <n v="38.299999999999997"/>
    <n v="0"/>
    <x v="0"/>
    <x v="3"/>
    <n v="10226.280000000001"/>
  </r>
  <r>
    <n v="55"/>
    <s v="female"/>
    <n v="29.7"/>
    <n v="2"/>
    <x v="0"/>
    <x v="1"/>
    <n v="11881.36"/>
  </r>
  <r>
    <n v="55"/>
    <s v="male"/>
    <n v="33.9"/>
    <n v="3"/>
    <x v="0"/>
    <x v="3"/>
    <n v="11987.17"/>
  </r>
  <r>
    <n v="55"/>
    <s v="female"/>
    <n v="26.8"/>
    <n v="1"/>
    <x v="0"/>
    <x v="1"/>
    <n v="35160.129999999997"/>
  </r>
  <r>
    <n v="55"/>
    <s v="female"/>
    <n v="25.4"/>
    <n v="3"/>
    <x v="0"/>
    <x v="2"/>
    <n v="13047.33"/>
  </r>
  <r>
    <n v="55"/>
    <s v="female"/>
    <n v="32.4"/>
    <n v="1"/>
    <x v="0"/>
    <x v="2"/>
    <n v="11879.1"/>
  </r>
  <r>
    <n v="55"/>
    <s v="male"/>
    <n v="30.7"/>
    <n v="0"/>
    <x v="1"/>
    <x v="2"/>
    <n v="42303.69"/>
  </r>
  <r>
    <n v="55"/>
    <s v="male"/>
    <n v="33"/>
    <n v="0"/>
    <x v="0"/>
    <x v="3"/>
    <n v="20781.490000000002"/>
  </r>
  <r>
    <n v="55"/>
    <s v="female"/>
    <n v="30.1"/>
    <n v="2"/>
    <x v="0"/>
    <x v="3"/>
    <n v="11881.97"/>
  </r>
  <r>
    <n v="55"/>
    <s v="female"/>
    <n v="37.1"/>
    <n v="0"/>
    <x v="0"/>
    <x v="1"/>
    <n v="10713.64"/>
  </r>
  <r>
    <n v="55"/>
    <s v="female"/>
    <n v="40.799999999999997"/>
    <n v="3"/>
    <x v="0"/>
    <x v="3"/>
    <n v="12485.8"/>
  </r>
  <r>
    <n v="55"/>
    <s v="male"/>
    <n v="32.799999999999997"/>
    <n v="0"/>
    <x v="0"/>
    <x v="0"/>
    <n v="10601.63"/>
  </r>
  <r>
    <n v="55"/>
    <s v="female"/>
    <n v="33.5"/>
    <n v="2"/>
    <x v="0"/>
    <x v="0"/>
    <n v="12269.69"/>
  </r>
  <r>
    <n v="55"/>
    <s v="female"/>
    <n v="35.200000000000003"/>
    <n v="0"/>
    <x v="1"/>
    <x v="3"/>
    <n v="44423.8"/>
  </r>
  <r>
    <n v="55"/>
    <s v="male"/>
    <n v="35.200000000000003"/>
    <n v="1"/>
    <x v="0"/>
    <x v="2"/>
    <n v="11394.07"/>
  </r>
  <r>
    <n v="55"/>
    <s v="male"/>
    <n v="27.6"/>
    <n v="0"/>
    <x v="0"/>
    <x v="0"/>
    <n v="10594.5"/>
  </r>
  <r>
    <n v="55"/>
    <s v="male"/>
    <n v="29"/>
    <n v="0"/>
    <x v="0"/>
    <x v="2"/>
    <n v="10796.35"/>
  </r>
  <r>
    <n v="55"/>
    <s v="female"/>
    <n v="29.8"/>
    <n v="0"/>
    <x v="0"/>
    <x v="2"/>
    <n v="11286.54"/>
  </r>
  <r>
    <n v="55"/>
    <s v="male"/>
    <n v="32.700000000000003"/>
    <n v="1"/>
    <x v="0"/>
    <x v="3"/>
    <n v="10807.49"/>
  </r>
  <r>
    <n v="55"/>
    <s v="male"/>
    <n v="29.9"/>
    <n v="0"/>
    <x v="0"/>
    <x v="1"/>
    <n v="10214.64"/>
  </r>
  <r>
    <n v="55"/>
    <s v="male"/>
    <n v="21.5"/>
    <n v="1"/>
    <x v="0"/>
    <x v="1"/>
    <n v="10791.96"/>
  </r>
  <r>
    <n v="55"/>
    <s v="male"/>
    <n v="37.700000000000003"/>
    <n v="3"/>
    <x v="0"/>
    <x v="0"/>
    <n v="30063.58"/>
  </r>
  <r>
    <n v="55"/>
    <s v="female"/>
    <n v="30.5"/>
    <n v="0"/>
    <x v="0"/>
    <x v="1"/>
    <n v="10704.47"/>
  </r>
  <r>
    <n v="54"/>
    <s v="female"/>
    <n v="30.8"/>
    <n v="3"/>
    <x v="0"/>
    <x v="1"/>
    <n v="12105.32"/>
  </r>
  <r>
    <n v="54"/>
    <s v="male"/>
    <n v="33.6"/>
    <n v="1"/>
    <x v="0"/>
    <x v="0"/>
    <n v="10825.25"/>
  </r>
  <r>
    <n v="54"/>
    <s v="female"/>
    <n v="31.9"/>
    <n v="3"/>
    <x v="0"/>
    <x v="3"/>
    <n v="27322.73"/>
  </r>
  <r>
    <n v="54"/>
    <s v="male"/>
    <n v="39.6"/>
    <n v="1"/>
    <x v="0"/>
    <x v="1"/>
    <n v="10450.549999999999"/>
  </r>
  <r>
    <n v="54"/>
    <s v="male"/>
    <n v="29.2"/>
    <n v="1"/>
    <x v="0"/>
    <x v="1"/>
    <n v="10436.1"/>
  </r>
  <r>
    <n v="54"/>
    <s v="male"/>
    <n v="30"/>
    <n v="0"/>
    <x v="0"/>
    <x v="0"/>
    <n v="24476.48"/>
  </r>
  <r>
    <n v="54"/>
    <s v="male"/>
    <n v="34.200000000000003"/>
    <n v="2"/>
    <x v="1"/>
    <x v="3"/>
    <n v="44260.75"/>
  </r>
  <r>
    <n v="54"/>
    <s v="male"/>
    <n v="40.6"/>
    <n v="3"/>
    <x v="1"/>
    <x v="2"/>
    <n v="48549.18"/>
  </r>
  <r>
    <n v="54"/>
    <s v="male"/>
    <n v="32.799999999999997"/>
    <n v="0"/>
    <x v="0"/>
    <x v="2"/>
    <n v="10435.07"/>
  </r>
  <r>
    <n v="54"/>
    <s v="male"/>
    <n v="25.1"/>
    <n v="3"/>
    <x v="1"/>
    <x v="1"/>
    <n v="25382.3"/>
  </r>
  <r>
    <n v="54"/>
    <s v="female"/>
    <n v="21.5"/>
    <n v="3"/>
    <x v="0"/>
    <x v="0"/>
    <n v="12475.35"/>
  </r>
  <r>
    <n v="54"/>
    <s v="female"/>
    <n v="47.4"/>
    <n v="0"/>
    <x v="1"/>
    <x v="3"/>
    <n v="63770.43"/>
  </r>
  <r>
    <n v="54"/>
    <s v="male"/>
    <n v="30.2"/>
    <n v="0"/>
    <x v="0"/>
    <x v="0"/>
    <n v="10231.5"/>
  </r>
  <r>
    <n v="54"/>
    <s v="female"/>
    <n v="46.7"/>
    <n v="2"/>
    <x v="0"/>
    <x v="1"/>
    <n v="11538.42"/>
  </r>
  <r>
    <n v="54"/>
    <s v="female"/>
    <n v="32.700000000000003"/>
    <n v="0"/>
    <x v="0"/>
    <x v="2"/>
    <n v="10923.93"/>
  </r>
  <r>
    <n v="54"/>
    <s v="male"/>
    <n v="21"/>
    <n v="2"/>
    <x v="0"/>
    <x v="3"/>
    <n v="11013.71"/>
  </r>
  <r>
    <n v="54"/>
    <s v="male"/>
    <n v="24"/>
    <n v="0"/>
    <x v="0"/>
    <x v="2"/>
    <n v="10422.92"/>
  </r>
  <r>
    <n v="54"/>
    <s v="male"/>
    <n v="30.8"/>
    <n v="1"/>
    <x v="1"/>
    <x v="3"/>
    <n v="41999.519999999997"/>
  </r>
  <r>
    <n v="54"/>
    <s v="male"/>
    <n v="25.5"/>
    <n v="1"/>
    <x v="0"/>
    <x v="2"/>
    <n v="25517.11"/>
  </r>
  <r>
    <n v="54"/>
    <s v="female"/>
    <n v="35.799999999999997"/>
    <n v="3"/>
    <x v="0"/>
    <x v="0"/>
    <n v="12495.29"/>
  </r>
  <r>
    <n v="54"/>
    <s v="male"/>
    <n v="31.6"/>
    <n v="0"/>
    <x v="0"/>
    <x v="1"/>
    <n v="9850.43"/>
  </r>
  <r>
    <n v="54"/>
    <s v="female"/>
    <n v="23"/>
    <n v="3"/>
    <x v="0"/>
    <x v="1"/>
    <n v="12094.48"/>
  </r>
  <r>
    <n v="54"/>
    <s v="female"/>
    <n v="31.9"/>
    <n v="1"/>
    <x v="0"/>
    <x v="3"/>
    <n v="10928.85"/>
  </r>
  <r>
    <n v="54"/>
    <s v="female"/>
    <n v="28.9"/>
    <n v="2"/>
    <x v="0"/>
    <x v="2"/>
    <n v="12096.65"/>
  </r>
  <r>
    <n v="54"/>
    <s v="female"/>
    <n v="31.2"/>
    <n v="0"/>
    <x v="0"/>
    <x v="3"/>
    <n v="10338.93"/>
  </r>
  <r>
    <n v="54"/>
    <s v="female"/>
    <n v="32.299999999999997"/>
    <n v="1"/>
    <x v="0"/>
    <x v="2"/>
    <n v="11512.41"/>
  </r>
  <r>
    <n v="54"/>
    <s v="female"/>
    <n v="24.6"/>
    <n v="3"/>
    <x v="0"/>
    <x v="0"/>
    <n v="12479.71"/>
  </r>
  <r>
    <n v="54"/>
    <s v="female"/>
    <n v="27.6"/>
    <n v="1"/>
    <x v="0"/>
    <x v="0"/>
    <n v="11305.93"/>
  </r>
  <r>
    <n v="53"/>
    <s v="female"/>
    <n v="22.9"/>
    <n v="1"/>
    <x v="1"/>
    <x v="3"/>
    <n v="23244.79"/>
  </r>
  <r>
    <n v="53"/>
    <s v="female"/>
    <n v="28.1"/>
    <n v="3"/>
    <x v="0"/>
    <x v="1"/>
    <n v="11741.73"/>
  </r>
  <r>
    <n v="53"/>
    <s v="female"/>
    <n v="24.8"/>
    <n v="1"/>
    <x v="0"/>
    <x v="0"/>
    <n v="10942.13"/>
  </r>
  <r>
    <n v="53"/>
    <s v="female"/>
    <n v="35.9"/>
    <n v="2"/>
    <x v="0"/>
    <x v="1"/>
    <n v="11163.57"/>
  </r>
  <r>
    <n v="53"/>
    <s v="female"/>
    <n v="37.4"/>
    <n v="1"/>
    <x v="0"/>
    <x v="0"/>
    <n v="10959.69"/>
  </r>
  <r>
    <n v="53"/>
    <s v="female"/>
    <n v="26.6"/>
    <n v="0"/>
    <x v="0"/>
    <x v="0"/>
    <n v="10355.64"/>
  </r>
  <r>
    <n v="53"/>
    <s v="female"/>
    <n v="33.299999999999997"/>
    <n v="0"/>
    <x v="0"/>
    <x v="2"/>
    <n v="10564.88"/>
  </r>
  <r>
    <n v="53"/>
    <s v="female"/>
    <n v="38.1"/>
    <n v="3"/>
    <x v="0"/>
    <x v="3"/>
    <n v="20463"/>
  </r>
  <r>
    <n v="53"/>
    <s v="female"/>
    <n v="22.6"/>
    <n v="3"/>
    <x v="1"/>
    <x v="2"/>
    <n v="24873.38"/>
  </r>
  <r>
    <n v="53"/>
    <s v="male"/>
    <n v="31.2"/>
    <n v="1"/>
    <x v="0"/>
    <x v="0"/>
    <n v="10461.98"/>
  </r>
  <r>
    <n v="53"/>
    <s v="male"/>
    <n v="31.4"/>
    <n v="0"/>
    <x v="0"/>
    <x v="3"/>
    <n v="27346.04"/>
  </r>
  <r>
    <n v="53"/>
    <s v="male"/>
    <n v="36.1"/>
    <n v="1"/>
    <x v="0"/>
    <x v="1"/>
    <n v="10085.85"/>
  </r>
  <r>
    <n v="53"/>
    <s v="female"/>
    <n v="39.6"/>
    <n v="1"/>
    <x v="0"/>
    <x v="3"/>
    <n v="10579.71"/>
  </r>
  <r>
    <n v="53"/>
    <s v="male"/>
    <n v="24.3"/>
    <n v="0"/>
    <x v="0"/>
    <x v="0"/>
    <n v="9863.4699999999993"/>
  </r>
  <r>
    <n v="53"/>
    <s v="male"/>
    <n v="26.4"/>
    <n v="2"/>
    <x v="0"/>
    <x v="2"/>
    <n v="11244.38"/>
  </r>
  <r>
    <n v="53"/>
    <s v="female"/>
    <n v="32.299999999999997"/>
    <n v="2"/>
    <x v="0"/>
    <x v="2"/>
    <n v="29186.48"/>
  </r>
  <r>
    <n v="53"/>
    <s v="male"/>
    <n v="41.5"/>
    <n v="0"/>
    <x v="0"/>
    <x v="3"/>
    <n v="9504.31"/>
  </r>
  <r>
    <n v="53"/>
    <s v="male"/>
    <n v="36.6"/>
    <n v="3"/>
    <x v="0"/>
    <x v="1"/>
    <n v="11264.54"/>
  </r>
  <r>
    <n v="53"/>
    <s v="male"/>
    <n v="21.4"/>
    <n v="1"/>
    <x v="0"/>
    <x v="1"/>
    <n v="10065.41"/>
  </r>
  <r>
    <n v="53"/>
    <s v="male"/>
    <n v="34.1"/>
    <n v="0"/>
    <x v="1"/>
    <x v="2"/>
    <n v="43254.42"/>
  </r>
  <r>
    <n v="53"/>
    <s v="female"/>
    <n v="26.7"/>
    <n v="2"/>
    <x v="0"/>
    <x v="1"/>
    <n v="11150.78"/>
  </r>
  <r>
    <n v="53"/>
    <s v="male"/>
    <n v="28.9"/>
    <n v="0"/>
    <x v="0"/>
    <x v="0"/>
    <n v="9869.81"/>
  </r>
  <r>
    <n v="53"/>
    <s v="male"/>
    <n v="20.9"/>
    <n v="0"/>
    <x v="1"/>
    <x v="3"/>
    <n v="21195.82"/>
  </r>
  <r>
    <n v="53"/>
    <s v="male"/>
    <n v="30.5"/>
    <n v="0"/>
    <x v="0"/>
    <x v="2"/>
    <n v="10072.06"/>
  </r>
  <r>
    <n v="53"/>
    <s v="female"/>
    <n v="23.8"/>
    <n v="2"/>
    <x v="0"/>
    <x v="2"/>
    <n v="11729.68"/>
  </r>
  <r>
    <n v="53"/>
    <s v="male"/>
    <n v="29.5"/>
    <n v="0"/>
    <x v="0"/>
    <x v="3"/>
    <n v="9487.64"/>
  </r>
  <r>
    <n v="53"/>
    <s v="male"/>
    <n v="28.6"/>
    <n v="3"/>
    <x v="0"/>
    <x v="1"/>
    <n v="11253.42"/>
  </r>
  <r>
    <n v="53"/>
    <s v="female"/>
    <n v="36.9"/>
    <n v="3"/>
    <x v="1"/>
    <x v="0"/>
    <n v="46661.440000000002"/>
  </r>
  <r>
    <n v="52"/>
    <s v="female"/>
    <n v="30.8"/>
    <n v="1"/>
    <x v="0"/>
    <x v="2"/>
    <n v="10797.34"/>
  </r>
  <r>
    <n v="52"/>
    <s v="male"/>
    <n v="32.200000000000003"/>
    <n v="3"/>
    <x v="0"/>
    <x v="2"/>
    <n v="11488.32"/>
  </r>
  <r>
    <n v="52"/>
    <s v="female"/>
    <n v="37.4"/>
    <n v="0"/>
    <x v="0"/>
    <x v="1"/>
    <n v="9634.5400000000009"/>
  </r>
  <r>
    <n v="52"/>
    <s v="male"/>
    <n v="24.3"/>
    <n v="3"/>
    <x v="1"/>
    <x v="2"/>
    <n v="24869.84"/>
  </r>
  <r>
    <n v="52"/>
    <s v="female"/>
    <n v="31.2"/>
    <n v="0"/>
    <x v="0"/>
    <x v="1"/>
    <n v="9625.92"/>
  </r>
  <r>
    <n v="52"/>
    <s v="male"/>
    <n v="26.4"/>
    <n v="3"/>
    <x v="0"/>
    <x v="3"/>
    <n v="25992.82"/>
  </r>
  <r>
    <n v="52"/>
    <s v="male"/>
    <n v="33.299999999999997"/>
    <n v="0"/>
    <x v="0"/>
    <x v="2"/>
    <n v="9722.77"/>
  </r>
  <r>
    <n v="52"/>
    <s v="male"/>
    <n v="36.700000000000003"/>
    <n v="0"/>
    <x v="0"/>
    <x v="1"/>
    <n v="9144.57"/>
  </r>
  <r>
    <n v="52"/>
    <s v="male"/>
    <n v="27.4"/>
    <n v="0"/>
    <x v="1"/>
    <x v="0"/>
    <n v="24393.62"/>
  </r>
  <r>
    <n v="52"/>
    <s v="female"/>
    <n v="38.4"/>
    <n v="2"/>
    <x v="0"/>
    <x v="2"/>
    <n v="11396.9"/>
  </r>
  <r>
    <n v="52"/>
    <s v="male"/>
    <n v="34.1"/>
    <n v="0"/>
    <x v="0"/>
    <x v="3"/>
    <n v="9140.9500000000007"/>
  </r>
  <r>
    <n v="52"/>
    <s v="female"/>
    <n v="46.8"/>
    <n v="5"/>
    <x v="0"/>
    <x v="3"/>
    <n v="12592.53"/>
  </r>
  <r>
    <n v="52"/>
    <s v="female"/>
    <n v="31.7"/>
    <n v="2"/>
    <x v="0"/>
    <x v="0"/>
    <n v="11187.66"/>
  </r>
  <r>
    <n v="52"/>
    <s v="male"/>
    <n v="30.2"/>
    <n v="1"/>
    <x v="0"/>
    <x v="1"/>
    <n v="9724.5300000000007"/>
  </r>
  <r>
    <n v="52"/>
    <s v="female"/>
    <n v="37.5"/>
    <n v="2"/>
    <x v="0"/>
    <x v="0"/>
    <n v="33471.97"/>
  </r>
  <r>
    <n v="52"/>
    <s v="female"/>
    <n v="25.3"/>
    <n v="2"/>
    <x v="1"/>
    <x v="3"/>
    <n v="24667.42"/>
  </r>
  <r>
    <n v="52"/>
    <s v="male"/>
    <n v="36.799999999999997"/>
    <n v="2"/>
    <x v="0"/>
    <x v="0"/>
    <n v="26467.1"/>
  </r>
  <r>
    <n v="52"/>
    <s v="male"/>
    <n v="47.7"/>
    <n v="1"/>
    <x v="0"/>
    <x v="3"/>
    <n v="9748.91"/>
  </r>
  <r>
    <n v="52"/>
    <s v="female"/>
    <n v="30.9"/>
    <n v="0"/>
    <x v="0"/>
    <x v="2"/>
    <n v="23045.57"/>
  </r>
  <r>
    <n v="52"/>
    <s v="female"/>
    <n v="18.3"/>
    <n v="0"/>
    <x v="0"/>
    <x v="0"/>
    <n v="9991.0400000000009"/>
  </r>
  <r>
    <n v="52"/>
    <s v="female"/>
    <n v="24.9"/>
    <n v="0"/>
    <x v="0"/>
    <x v="3"/>
    <n v="27117.99"/>
  </r>
  <r>
    <n v="52"/>
    <s v="male"/>
    <n v="32.799999999999997"/>
    <n v="3"/>
    <x v="0"/>
    <x v="0"/>
    <n v="11289.11"/>
  </r>
  <r>
    <n v="52"/>
    <s v="female"/>
    <n v="24.1"/>
    <n v="1"/>
    <x v="1"/>
    <x v="0"/>
    <n v="23887.66"/>
  </r>
  <r>
    <n v="52"/>
    <s v="female"/>
    <n v="33.299999999999997"/>
    <n v="2"/>
    <x v="0"/>
    <x v="1"/>
    <n v="10806.84"/>
  </r>
  <r>
    <n v="52"/>
    <s v="male"/>
    <n v="34.5"/>
    <n v="3"/>
    <x v="1"/>
    <x v="0"/>
    <n v="60021.4"/>
  </r>
  <r>
    <n v="52"/>
    <s v="male"/>
    <n v="41.8"/>
    <n v="2"/>
    <x v="1"/>
    <x v="3"/>
    <n v="47269.85"/>
  </r>
  <r>
    <n v="52"/>
    <s v="female"/>
    <n v="23.2"/>
    <n v="0"/>
    <x v="0"/>
    <x v="2"/>
    <n v="10197.77"/>
  </r>
  <r>
    <n v="52"/>
    <s v="male"/>
    <n v="38.6"/>
    <n v="2"/>
    <x v="0"/>
    <x v="1"/>
    <n v="10325.209999999999"/>
  </r>
  <r>
    <n v="52"/>
    <s v="female"/>
    <n v="44.7"/>
    <n v="3"/>
    <x v="0"/>
    <x v="1"/>
    <n v="11411.69"/>
  </r>
  <r>
    <n v="51"/>
    <s v="female"/>
    <n v="37.700000000000003"/>
    <n v="1"/>
    <x v="0"/>
    <x v="3"/>
    <n v="9877.61"/>
  </r>
  <r>
    <n v="51"/>
    <s v="female"/>
    <n v="18.100000000000001"/>
    <n v="0"/>
    <x v="0"/>
    <x v="0"/>
    <n v="9644.25"/>
  </r>
  <r>
    <n v="51"/>
    <s v="male"/>
    <n v="24.4"/>
    <n v="4"/>
    <x v="0"/>
    <x v="0"/>
    <n v="11520.1"/>
  </r>
  <r>
    <n v="51"/>
    <s v="female"/>
    <n v="21.6"/>
    <n v="1"/>
    <x v="0"/>
    <x v="3"/>
    <n v="9855.1299999999992"/>
  </r>
  <r>
    <n v="51"/>
    <s v="female"/>
    <n v="20.6"/>
    <n v="0"/>
    <x v="0"/>
    <x v="1"/>
    <n v="9264.7999999999993"/>
  </r>
  <r>
    <n v="51"/>
    <s v="female"/>
    <n v="39.5"/>
    <n v="1"/>
    <x v="0"/>
    <x v="1"/>
    <n v="9880.07"/>
  </r>
  <r>
    <n v="51"/>
    <s v="male"/>
    <n v="23.2"/>
    <n v="1"/>
    <x v="1"/>
    <x v="3"/>
    <n v="22218.11"/>
  </r>
  <r>
    <n v="51"/>
    <s v="male"/>
    <n v="22.4"/>
    <n v="0"/>
    <x v="0"/>
    <x v="2"/>
    <n v="9361.33"/>
  </r>
  <r>
    <n v="51"/>
    <s v="female"/>
    <n v="33.9"/>
    <n v="0"/>
    <x v="0"/>
    <x v="2"/>
    <n v="9866.2999999999993"/>
  </r>
  <r>
    <n v="51"/>
    <s v="female"/>
    <n v="25.8"/>
    <n v="1"/>
    <x v="0"/>
    <x v="1"/>
    <n v="9861.0300000000007"/>
  </r>
  <r>
    <n v="51"/>
    <s v="male"/>
    <n v="31.6"/>
    <n v="0"/>
    <x v="0"/>
    <x v="0"/>
    <n v="9174.14"/>
  </r>
  <r>
    <n v="51"/>
    <s v="female"/>
    <n v="34.1"/>
    <n v="0"/>
    <x v="0"/>
    <x v="3"/>
    <n v="9283.56"/>
  </r>
  <r>
    <n v="51"/>
    <s v="male"/>
    <n v="39.700000000000003"/>
    <n v="1"/>
    <x v="0"/>
    <x v="1"/>
    <n v="9391.35"/>
  </r>
  <r>
    <n v="51"/>
    <s v="female"/>
    <n v="38.1"/>
    <n v="0"/>
    <x v="1"/>
    <x v="3"/>
    <n v="44400.41"/>
  </r>
  <r>
    <n v="51"/>
    <s v="female"/>
    <n v="36.700000000000003"/>
    <n v="2"/>
    <x v="0"/>
    <x v="0"/>
    <n v="10848.13"/>
  </r>
  <r>
    <n v="51"/>
    <s v="female"/>
    <n v="40.700000000000003"/>
    <n v="0"/>
    <x v="0"/>
    <x v="2"/>
    <n v="9875.68"/>
  </r>
  <r>
    <n v="51"/>
    <s v="male"/>
    <n v="33.299999999999997"/>
    <n v="3"/>
    <x v="0"/>
    <x v="3"/>
    <n v="10560.49"/>
  </r>
  <r>
    <n v="51"/>
    <s v="male"/>
    <n v="36"/>
    <n v="1"/>
    <x v="0"/>
    <x v="3"/>
    <n v="9386.16"/>
  </r>
  <r>
    <n v="51"/>
    <s v="female"/>
    <n v="34.200000000000003"/>
    <n v="1"/>
    <x v="0"/>
    <x v="1"/>
    <n v="9872.7000000000007"/>
  </r>
  <r>
    <n v="51"/>
    <s v="male"/>
    <n v="25.4"/>
    <n v="0"/>
    <x v="0"/>
    <x v="1"/>
    <n v="8782.4699999999993"/>
  </r>
  <r>
    <n v="51"/>
    <s v="female"/>
    <n v="37.1"/>
    <n v="3"/>
    <x v="1"/>
    <x v="2"/>
    <n v="46255.11"/>
  </r>
  <r>
    <n v="51"/>
    <s v="male"/>
    <n v="42.9"/>
    <n v="2"/>
    <x v="1"/>
    <x v="3"/>
    <n v="47462.89"/>
  </r>
  <r>
    <n v="51"/>
    <s v="male"/>
    <n v="24.8"/>
    <n v="2"/>
    <x v="1"/>
    <x v="0"/>
    <n v="23967.38"/>
  </r>
  <r>
    <n v="51"/>
    <s v="male"/>
    <n v="27.7"/>
    <n v="1"/>
    <x v="0"/>
    <x v="2"/>
    <n v="9957.7199999999993"/>
  </r>
  <r>
    <n v="51"/>
    <s v="male"/>
    <n v="37"/>
    <n v="0"/>
    <x v="0"/>
    <x v="1"/>
    <n v="8798.59"/>
  </r>
  <r>
    <n v="51"/>
    <s v="female"/>
    <n v="35"/>
    <n v="2"/>
    <x v="1"/>
    <x v="2"/>
    <n v="44641.2"/>
  </r>
  <r>
    <n v="51"/>
    <s v="male"/>
    <n v="32.299999999999997"/>
    <n v="1"/>
    <x v="0"/>
    <x v="2"/>
    <n v="9964.06"/>
  </r>
  <r>
    <n v="51"/>
    <s v="female"/>
    <n v="36.4"/>
    <n v="3"/>
    <x v="0"/>
    <x v="0"/>
    <n v="11436.74"/>
  </r>
  <r>
    <n v="51"/>
    <s v="male"/>
    <n v="30"/>
    <n v="1"/>
    <x v="0"/>
    <x v="3"/>
    <n v="9377.9"/>
  </r>
  <r>
    <n v="50"/>
    <s v="female"/>
    <n v="27.8"/>
    <n v="3"/>
    <x v="0"/>
    <x v="3"/>
    <n v="19749.38"/>
  </r>
  <r>
    <n v="50"/>
    <s v="male"/>
    <n v="31.8"/>
    <n v="0"/>
    <x v="1"/>
    <x v="2"/>
    <n v="41097.160000000003"/>
  </r>
  <r>
    <n v="50"/>
    <s v="male"/>
    <n v="34.200000000000003"/>
    <n v="2"/>
    <x v="1"/>
    <x v="1"/>
    <n v="42856.84"/>
  </r>
  <r>
    <n v="50"/>
    <s v="male"/>
    <n v="27.5"/>
    <n v="1"/>
    <x v="0"/>
    <x v="2"/>
    <n v="9617.66"/>
  </r>
  <r>
    <n v="50"/>
    <s v="male"/>
    <n v="26.6"/>
    <n v="0"/>
    <x v="0"/>
    <x v="1"/>
    <n v="8444.4699999999993"/>
  </r>
  <r>
    <n v="50"/>
    <s v="male"/>
    <n v="32.200000000000003"/>
    <n v="0"/>
    <x v="0"/>
    <x v="0"/>
    <n v="8835.26"/>
  </r>
  <r>
    <n v="50"/>
    <s v="male"/>
    <n v="32.299999999999997"/>
    <n v="1"/>
    <x v="1"/>
    <x v="2"/>
    <n v="41919.1"/>
  </r>
  <r>
    <n v="50"/>
    <s v="female"/>
    <n v="25.6"/>
    <n v="0"/>
    <x v="0"/>
    <x v="1"/>
    <n v="8932.08"/>
  </r>
  <r>
    <n v="50"/>
    <s v="male"/>
    <n v="25.4"/>
    <n v="2"/>
    <x v="0"/>
    <x v="0"/>
    <n v="30284.639999999999"/>
  </r>
  <r>
    <n v="50"/>
    <s v="female"/>
    <n v="27.4"/>
    <n v="0"/>
    <x v="0"/>
    <x v="2"/>
    <n v="25656.58"/>
  </r>
  <r>
    <n v="50"/>
    <s v="male"/>
    <n v="44.8"/>
    <n v="1"/>
    <x v="0"/>
    <x v="3"/>
    <n v="9058.73"/>
  </r>
  <r>
    <n v="50"/>
    <s v="female"/>
    <n v="44.7"/>
    <n v="0"/>
    <x v="0"/>
    <x v="2"/>
    <n v="9541.7000000000007"/>
  </r>
  <r>
    <n v="50"/>
    <s v="female"/>
    <n v="23.5"/>
    <n v="2"/>
    <x v="0"/>
    <x v="3"/>
    <n v="10107.219999999999"/>
  </r>
  <r>
    <n v="50"/>
    <s v="female"/>
    <n v="27.1"/>
    <n v="1"/>
    <x v="0"/>
    <x v="2"/>
    <n v="10106.129999999999"/>
  </r>
  <r>
    <n v="50"/>
    <s v="male"/>
    <n v="26.4"/>
    <n v="0"/>
    <x v="0"/>
    <x v="0"/>
    <n v="8827.2099999999991"/>
  </r>
  <r>
    <n v="50"/>
    <s v="female"/>
    <n v="30.1"/>
    <n v="1"/>
    <x v="0"/>
    <x v="0"/>
    <n v="9910.36"/>
  </r>
  <r>
    <n v="50"/>
    <s v="female"/>
    <n v="27.6"/>
    <n v="1"/>
    <x v="1"/>
    <x v="1"/>
    <n v="24520.26"/>
  </r>
  <r>
    <n v="50"/>
    <s v="male"/>
    <n v="36.200000000000003"/>
    <n v="0"/>
    <x v="0"/>
    <x v="1"/>
    <n v="8457.82"/>
  </r>
  <r>
    <n v="50"/>
    <s v="male"/>
    <n v="32.1"/>
    <n v="2"/>
    <x v="0"/>
    <x v="2"/>
    <n v="25333.33"/>
  </r>
  <r>
    <n v="50"/>
    <s v="female"/>
    <n v="46.1"/>
    <n v="1"/>
    <x v="0"/>
    <x v="3"/>
    <n v="9549.57"/>
  </r>
  <r>
    <n v="50"/>
    <s v="female"/>
    <n v="28.2"/>
    <n v="3"/>
    <x v="0"/>
    <x v="3"/>
    <n v="10702.64"/>
  </r>
  <r>
    <n v="50"/>
    <s v="female"/>
    <n v="31.6"/>
    <n v="2"/>
    <x v="0"/>
    <x v="1"/>
    <n v="10118.42"/>
  </r>
  <r>
    <n v="50"/>
    <s v="female"/>
    <n v="33.700000000000003"/>
    <n v="4"/>
    <x v="0"/>
    <x v="1"/>
    <n v="11299.34"/>
  </r>
  <r>
    <n v="50"/>
    <s v="female"/>
    <n v="26.2"/>
    <n v="2"/>
    <x v="0"/>
    <x v="0"/>
    <n v="10493.95"/>
  </r>
  <r>
    <n v="50"/>
    <s v="female"/>
    <n v="28.1"/>
    <n v="3"/>
    <x v="0"/>
    <x v="0"/>
    <n v="11085.59"/>
  </r>
  <r>
    <n v="50"/>
    <s v="male"/>
    <n v="37.1"/>
    <n v="1"/>
    <x v="0"/>
    <x v="3"/>
    <n v="9048.0300000000007"/>
  </r>
  <r>
    <n v="50"/>
    <s v="male"/>
    <n v="32.299999999999997"/>
    <n v="2"/>
    <x v="0"/>
    <x v="1"/>
    <n v="9630.4"/>
  </r>
  <r>
    <n v="50"/>
    <s v="male"/>
    <n v="25.3"/>
    <n v="0"/>
    <x v="0"/>
    <x v="3"/>
    <n v="8442.67"/>
  </r>
  <r>
    <n v="50"/>
    <s v="male"/>
    <n v="31"/>
    <n v="3"/>
    <x v="0"/>
    <x v="0"/>
    <n v="10600.55"/>
  </r>
  <r>
    <n v="49"/>
    <s v="female"/>
    <n v="27.2"/>
    <n v="0"/>
    <x v="0"/>
    <x v="3"/>
    <n v="8601.33"/>
  </r>
  <r>
    <n v="49"/>
    <s v="male"/>
    <n v="30.3"/>
    <n v="0"/>
    <x v="0"/>
    <x v="1"/>
    <n v="8116.68"/>
  </r>
  <r>
    <n v="49"/>
    <s v="male"/>
    <n v="25.8"/>
    <n v="1"/>
    <x v="0"/>
    <x v="2"/>
    <n v="9282.48"/>
  </r>
  <r>
    <n v="49"/>
    <s v="male"/>
    <n v="35.9"/>
    <n v="0"/>
    <x v="0"/>
    <x v="3"/>
    <n v="8124.41"/>
  </r>
  <r>
    <n v="49"/>
    <s v="female"/>
    <n v="41.5"/>
    <n v="4"/>
    <x v="0"/>
    <x v="3"/>
    <n v="10977.21"/>
  </r>
  <r>
    <n v="49"/>
    <s v="female"/>
    <n v="30.8"/>
    <n v="1"/>
    <x v="0"/>
    <x v="2"/>
    <n v="9778.35"/>
  </r>
  <r>
    <n v="49"/>
    <s v="male"/>
    <n v="31.4"/>
    <n v="1"/>
    <x v="0"/>
    <x v="2"/>
    <n v="9290.14"/>
  </r>
  <r>
    <n v="49"/>
    <s v="male"/>
    <n v="32.299999999999997"/>
    <n v="3"/>
    <x v="0"/>
    <x v="0"/>
    <n v="10269.459999999999"/>
  </r>
  <r>
    <n v="49"/>
    <s v="female"/>
    <n v="36.6"/>
    <n v="3"/>
    <x v="0"/>
    <x v="3"/>
    <n v="10381.48"/>
  </r>
  <r>
    <n v="49"/>
    <s v="male"/>
    <n v="37.5"/>
    <n v="2"/>
    <x v="0"/>
    <x v="3"/>
    <n v="9304.7000000000007"/>
  </r>
  <r>
    <n v="49"/>
    <s v="male"/>
    <n v="25.8"/>
    <n v="2"/>
    <x v="1"/>
    <x v="0"/>
    <n v="23807.24"/>
  </r>
  <r>
    <n v="49"/>
    <s v="female"/>
    <n v="31.9"/>
    <n v="5"/>
    <x v="0"/>
    <x v="1"/>
    <n v="11552.9"/>
  </r>
  <r>
    <n v="49"/>
    <s v="male"/>
    <n v="25.6"/>
    <n v="2"/>
    <x v="1"/>
    <x v="1"/>
    <n v="23306.55"/>
  </r>
  <r>
    <n v="49"/>
    <s v="female"/>
    <n v="21.3"/>
    <n v="1"/>
    <x v="0"/>
    <x v="1"/>
    <n v="9182.17"/>
  </r>
  <r>
    <n v="49"/>
    <s v="female"/>
    <n v="42.7"/>
    <n v="2"/>
    <x v="0"/>
    <x v="3"/>
    <n v="9800.89"/>
  </r>
  <r>
    <n v="49"/>
    <s v="male"/>
    <n v="28.7"/>
    <n v="1"/>
    <x v="0"/>
    <x v="1"/>
    <n v="8703.4599999999991"/>
  </r>
  <r>
    <n v="49"/>
    <s v="female"/>
    <n v="23.2"/>
    <n v="2"/>
    <x v="0"/>
    <x v="0"/>
    <n v="10156.780000000001"/>
  </r>
  <r>
    <n v="49"/>
    <s v="male"/>
    <n v="28.7"/>
    <n v="3"/>
    <x v="0"/>
    <x v="0"/>
    <n v="10264.44"/>
  </r>
  <r>
    <n v="49"/>
    <s v="female"/>
    <n v="22.6"/>
    <n v="1"/>
    <x v="0"/>
    <x v="0"/>
    <n v="9566.99"/>
  </r>
  <r>
    <n v="49"/>
    <s v="female"/>
    <n v="34.799999999999997"/>
    <n v="1"/>
    <x v="0"/>
    <x v="0"/>
    <n v="9583.89"/>
  </r>
  <r>
    <n v="49"/>
    <s v="female"/>
    <n v="23.8"/>
    <n v="3"/>
    <x v="1"/>
    <x v="2"/>
    <n v="24106.91"/>
  </r>
  <r>
    <n v="49"/>
    <s v="female"/>
    <n v="27.1"/>
    <n v="1"/>
    <x v="0"/>
    <x v="1"/>
    <n v="26140.36"/>
  </r>
  <r>
    <n v="49"/>
    <s v="male"/>
    <n v="22.5"/>
    <n v="0"/>
    <x v="0"/>
    <x v="2"/>
    <n v="8688.86"/>
  </r>
  <r>
    <n v="49"/>
    <s v="male"/>
    <n v="36.9"/>
    <n v="0"/>
    <x v="0"/>
    <x v="3"/>
    <n v="8125.78"/>
  </r>
  <r>
    <n v="49"/>
    <s v="male"/>
    <n v="30.9"/>
    <n v="0"/>
    <x v="1"/>
    <x v="1"/>
    <n v="39727.61"/>
  </r>
  <r>
    <n v="49"/>
    <s v="male"/>
    <n v="29.8"/>
    <n v="1"/>
    <x v="0"/>
    <x v="2"/>
    <n v="9288.0300000000007"/>
  </r>
  <r>
    <n v="49"/>
    <s v="female"/>
    <n v="29.9"/>
    <n v="0"/>
    <x v="0"/>
    <x v="0"/>
    <n v="8988.16"/>
  </r>
  <r>
    <n v="49"/>
    <s v="female"/>
    <n v="33.299999999999997"/>
    <n v="2"/>
    <x v="0"/>
    <x v="2"/>
    <n v="10370.91"/>
  </r>
  <r>
    <n v="48"/>
    <s v="male"/>
    <n v="28"/>
    <n v="1"/>
    <x v="1"/>
    <x v="1"/>
    <n v="23568.27"/>
  </r>
  <r>
    <n v="48"/>
    <s v="female"/>
    <n v="41.2"/>
    <n v="4"/>
    <x v="0"/>
    <x v="0"/>
    <n v="11033.66"/>
  </r>
  <r>
    <n v="48"/>
    <s v="male"/>
    <n v="29.7"/>
    <n v="0"/>
    <x v="0"/>
    <x v="3"/>
    <n v="7789.64"/>
  </r>
  <r>
    <n v="48"/>
    <s v="male"/>
    <n v="24.4"/>
    <n v="0"/>
    <x v="1"/>
    <x v="3"/>
    <n v="21223.68"/>
  </r>
  <r>
    <n v="48"/>
    <s v="female"/>
    <n v="32.200000000000003"/>
    <n v="1"/>
    <x v="0"/>
    <x v="3"/>
    <n v="8871.15"/>
  </r>
  <r>
    <n v="48"/>
    <s v="female"/>
    <n v="28.9"/>
    <n v="1"/>
    <x v="0"/>
    <x v="0"/>
    <n v="9249.5"/>
  </r>
  <r>
    <n v="48"/>
    <s v="female"/>
    <n v="32.299999999999997"/>
    <n v="2"/>
    <x v="0"/>
    <x v="2"/>
    <n v="10043.25"/>
  </r>
  <r>
    <n v="48"/>
    <s v="male"/>
    <n v="35.6"/>
    <n v="4"/>
    <x v="0"/>
    <x v="2"/>
    <n v="10736.87"/>
  </r>
  <r>
    <n v="48"/>
    <s v="male"/>
    <n v="31.4"/>
    <n v="1"/>
    <x v="0"/>
    <x v="2"/>
    <n v="8964.06"/>
  </r>
  <r>
    <n v="48"/>
    <s v="male"/>
    <n v="30.2"/>
    <n v="2"/>
    <x v="0"/>
    <x v="1"/>
    <n v="8968.33"/>
  </r>
  <r>
    <n v="48"/>
    <s v="male"/>
    <n v="34.299999999999997"/>
    <n v="3"/>
    <x v="0"/>
    <x v="1"/>
    <n v="9563.0300000000007"/>
  </r>
  <r>
    <n v="48"/>
    <s v="male"/>
    <n v="40.6"/>
    <n v="2"/>
    <x v="1"/>
    <x v="0"/>
    <n v="45702.02"/>
  </r>
  <r>
    <n v="48"/>
    <s v="male"/>
    <n v="30.8"/>
    <n v="3"/>
    <x v="0"/>
    <x v="2"/>
    <n v="10141.14"/>
  </r>
  <r>
    <n v="48"/>
    <s v="female"/>
    <n v="31.1"/>
    <n v="0"/>
    <x v="0"/>
    <x v="3"/>
    <n v="8280.6200000000008"/>
  </r>
  <r>
    <n v="48"/>
    <s v="female"/>
    <n v="35.9"/>
    <n v="1"/>
    <x v="0"/>
    <x v="2"/>
    <n v="26392.26"/>
  </r>
  <r>
    <n v="48"/>
    <s v="female"/>
    <n v="27.3"/>
    <n v="1"/>
    <x v="0"/>
    <x v="2"/>
    <n v="9447.25"/>
  </r>
  <r>
    <n v="48"/>
    <s v="female"/>
    <n v="33.1"/>
    <n v="0"/>
    <x v="1"/>
    <x v="3"/>
    <n v="40974.160000000003"/>
  </r>
  <r>
    <n v="48"/>
    <s v="male"/>
    <n v="36.700000000000003"/>
    <n v="1"/>
    <x v="0"/>
    <x v="0"/>
    <n v="28468.92"/>
  </r>
  <r>
    <n v="48"/>
    <s v="male"/>
    <n v="40.200000000000003"/>
    <n v="0"/>
    <x v="0"/>
    <x v="3"/>
    <n v="7804.16"/>
  </r>
  <r>
    <n v="48"/>
    <s v="male"/>
    <n v="29.6"/>
    <n v="0"/>
    <x v="0"/>
    <x v="1"/>
    <n v="21232.18"/>
  </r>
  <r>
    <n v="48"/>
    <s v="female"/>
    <n v="22.8"/>
    <n v="0"/>
    <x v="0"/>
    <x v="1"/>
    <n v="8269.0400000000009"/>
  </r>
  <r>
    <n v="48"/>
    <s v="male"/>
    <n v="32.299999999999997"/>
    <n v="1"/>
    <x v="0"/>
    <x v="0"/>
    <n v="8765.25"/>
  </r>
  <r>
    <n v="48"/>
    <s v="female"/>
    <n v="28.9"/>
    <n v="0"/>
    <x v="0"/>
    <x v="1"/>
    <n v="8277.52"/>
  </r>
  <r>
    <n v="48"/>
    <s v="male"/>
    <n v="37.299999999999997"/>
    <n v="2"/>
    <x v="0"/>
    <x v="3"/>
    <n v="8978.19"/>
  </r>
  <r>
    <n v="48"/>
    <s v="female"/>
    <n v="25.9"/>
    <n v="3"/>
    <x v="1"/>
    <x v="3"/>
    <n v="24180.93"/>
  </r>
  <r>
    <n v="48"/>
    <s v="female"/>
    <n v="27.9"/>
    <n v="4"/>
    <x v="0"/>
    <x v="0"/>
    <n v="11015.17"/>
  </r>
  <r>
    <n v="48"/>
    <s v="female"/>
    <n v="27.4"/>
    <n v="1"/>
    <x v="0"/>
    <x v="2"/>
    <n v="9447.3799999999992"/>
  </r>
  <r>
    <n v="48"/>
    <s v="female"/>
    <n v="36.6"/>
    <n v="0"/>
    <x v="0"/>
    <x v="0"/>
    <n v="8671.19"/>
  </r>
  <r>
    <n v="48"/>
    <s v="female"/>
    <n v="33.299999999999997"/>
    <n v="0"/>
    <x v="0"/>
    <x v="3"/>
    <n v="8283.68"/>
  </r>
  <r>
    <n v="47"/>
    <s v="female"/>
    <n v="33.9"/>
    <n v="3"/>
    <x v="0"/>
    <x v="0"/>
    <n v="10115.01"/>
  </r>
  <r>
    <n v="47"/>
    <s v="male"/>
    <n v="28.2"/>
    <n v="4"/>
    <x v="0"/>
    <x v="2"/>
    <n v="10407.09"/>
  </r>
  <r>
    <n v="47"/>
    <s v="male"/>
    <n v="25.5"/>
    <n v="2"/>
    <x v="0"/>
    <x v="2"/>
    <n v="9225.26"/>
  </r>
  <r>
    <n v="47"/>
    <s v="female"/>
    <n v="26.6"/>
    <n v="2"/>
    <x v="0"/>
    <x v="2"/>
    <n v="9715.84"/>
  </r>
  <r>
    <n v="47"/>
    <s v="male"/>
    <n v="25.4"/>
    <n v="1"/>
    <x v="1"/>
    <x v="3"/>
    <n v="21978.68"/>
  </r>
  <r>
    <n v="47"/>
    <s v="male"/>
    <n v="29.8"/>
    <n v="3"/>
    <x v="0"/>
    <x v="0"/>
    <n v="9620.33"/>
  </r>
  <r>
    <n v="47"/>
    <s v="male"/>
    <n v="47.5"/>
    <n v="1"/>
    <x v="0"/>
    <x v="3"/>
    <n v="8083.92"/>
  </r>
  <r>
    <n v="47"/>
    <s v="female"/>
    <n v="23.6"/>
    <n v="1"/>
    <x v="0"/>
    <x v="1"/>
    <n v="8539.67"/>
  </r>
  <r>
    <n v="47"/>
    <s v="female"/>
    <n v="33.299999999999997"/>
    <n v="0"/>
    <x v="0"/>
    <x v="2"/>
    <n v="20878.78"/>
  </r>
  <r>
    <n v="47"/>
    <s v="male"/>
    <n v="19.600000000000001"/>
    <n v="1"/>
    <x v="0"/>
    <x v="0"/>
    <n v="8428.07"/>
  </r>
  <r>
    <n v="47"/>
    <s v="female"/>
    <n v="29.4"/>
    <n v="1"/>
    <x v="0"/>
    <x v="3"/>
    <n v="8547.69"/>
  </r>
  <r>
    <n v="47"/>
    <s v="female"/>
    <n v="36.6"/>
    <n v="1"/>
    <x v="1"/>
    <x v="3"/>
    <n v="42969.85"/>
  </r>
  <r>
    <n v="47"/>
    <s v="female"/>
    <n v="24.1"/>
    <n v="1"/>
    <x v="0"/>
    <x v="1"/>
    <n v="26236.58"/>
  </r>
  <r>
    <n v="47"/>
    <s v="male"/>
    <n v="36.200000000000003"/>
    <n v="1"/>
    <x v="0"/>
    <x v="1"/>
    <n v="8068.19"/>
  </r>
  <r>
    <n v="47"/>
    <s v="female"/>
    <n v="29.5"/>
    <n v="1"/>
    <x v="0"/>
    <x v="0"/>
    <n v="8930.93"/>
  </r>
  <r>
    <n v="47"/>
    <s v="female"/>
    <n v="36"/>
    <n v="1"/>
    <x v="0"/>
    <x v="1"/>
    <n v="8556.91"/>
  </r>
  <r>
    <n v="47"/>
    <s v="female"/>
    <n v="27.8"/>
    <n v="0"/>
    <x v="1"/>
    <x v="3"/>
    <n v="23065.42"/>
  </r>
  <r>
    <n v="47"/>
    <s v="male"/>
    <n v="32.299999999999997"/>
    <n v="1"/>
    <x v="0"/>
    <x v="1"/>
    <n v="8062.76"/>
  </r>
  <r>
    <n v="47"/>
    <s v="female"/>
    <n v="26.1"/>
    <n v="1"/>
    <x v="1"/>
    <x v="2"/>
    <n v="23401.31"/>
  </r>
  <r>
    <n v="47"/>
    <s v="male"/>
    <n v="38.9"/>
    <n v="2"/>
    <x v="1"/>
    <x v="3"/>
    <n v="44202.65"/>
  </r>
  <r>
    <n v="47"/>
    <s v="male"/>
    <n v="19.2"/>
    <n v="1"/>
    <x v="0"/>
    <x v="2"/>
    <n v="8627.5400000000009"/>
  </r>
  <r>
    <n v="47"/>
    <s v="male"/>
    <n v="28.2"/>
    <n v="3"/>
    <x v="1"/>
    <x v="0"/>
    <n v="24915.22"/>
  </r>
  <r>
    <n v="47"/>
    <s v="male"/>
    <n v="36.1"/>
    <n v="1"/>
    <x v="1"/>
    <x v="3"/>
    <n v="42211.14"/>
  </r>
  <r>
    <n v="47"/>
    <s v="female"/>
    <n v="45.3"/>
    <n v="1"/>
    <x v="0"/>
    <x v="3"/>
    <n v="8569.86"/>
  </r>
  <r>
    <n v="47"/>
    <s v="male"/>
    <n v="29.8"/>
    <n v="3"/>
    <x v="1"/>
    <x v="1"/>
    <n v="25309.49"/>
  </r>
  <r>
    <n v="47"/>
    <s v="female"/>
    <n v="32"/>
    <n v="1"/>
    <x v="0"/>
    <x v="1"/>
    <n v="8551.35"/>
  </r>
  <r>
    <n v="47"/>
    <s v="male"/>
    <n v="36.200000000000003"/>
    <n v="0"/>
    <x v="1"/>
    <x v="3"/>
    <n v="41676.080000000002"/>
  </r>
  <r>
    <n v="47"/>
    <s v="female"/>
    <n v="27.6"/>
    <n v="2"/>
    <x v="1"/>
    <x v="0"/>
    <n v="24535.7"/>
  </r>
  <r>
    <n v="47"/>
    <s v="female"/>
    <n v="24.3"/>
    <n v="0"/>
    <x v="0"/>
    <x v="2"/>
    <n v="8534.67"/>
  </r>
  <r>
    <n v="46"/>
    <s v="female"/>
    <n v="33.4"/>
    <n v="1"/>
    <x v="0"/>
    <x v="3"/>
    <n v="8240.59"/>
  </r>
  <r>
    <n v="46"/>
    <s v="female"/>
    <n v="27.7"/>
    <n v="0"/>
    <x v="0"/>
    <x v="0"/>
    <n v="8026.67"/>
  </r>
  <r>
    <n v="46"/>
    <s v="male"/>
    <n v="30.5"/>
    <n v="3"/>
    <x v="1"/>
    <x v="0"/>
    <n v="40720.550000000003"/>
  </r>
  <r>
    <n v="46"/>
    <s v="female"/>
    <n v="28.9"/>
    <n v="2"/>
    <x v="0"/>
    <x v="1"/>
    <n v="8823.2800000000007"/>
  </r>
  <r>
    <n v="46"/>
    <s v="male"/>
    <n v="22.3"/>
    <n v="0"/>
    <x v="0"/>
    <x v="1"/>
    <n v="7147.11"/>
  </r>
  <r>
    <n v="46"/>
    <s v="male"/>
    <n v="42.4"/>
    <n v="3"/>
    <x v="1"/>
    <x v="3"/>
    <n v="46151.12"/>
  </r>
  <r>
    <n v="46"/>
    <s v="male"/>
    <n v="26.6"/>
    <n v="1"/>
    <x v="0"/>
    <x v="3"/>
    <n v="7742.11"/>
  </r>
  <r>
    <n v="46"/>
    <s v="female"/>
    <n v="48.1"/>
    <n v="2"/>
    <x v="0"/>
    <x v="2"/>
    <n v="9432.93"/>
  </r>
  <r>
    <n v="46"/>
    <s v="female"/>
    <n v="27.7"/>
    <n v="1"/>
    <x v="0"/>
    <x v="3"/>
    <n v="8232.64"/>
  </r>
  <r>
    <n v="46"/>
    <s v="male"/>
    <n v="33.299999999999997"/>
    <n v="1"/>
    <x v="0"/>
    <x v="2"/>
    <n v="8334.4599999999991"/>
  </r>
  <r>
    <n v="46"/>
    <s v="male"/>
    <n v="27.6"/>
    <n v="0"/>
    <x v="0"/>
    <x v="1"/>
    <n v="24603.05"/>
  </r>
  <r>
    <n v="46"/>
    <s v="male"/>
    <n v="43.9"/>
    <n v="3"/>
    <x v="0"/>
    <x v="3"/>
    <n v="8944.1200000000008"/>
  </r>
  <r>
    <n v="46"/>
    <s v="female"/>
    <n v="32.299999999999997"/>
    <n v="2"/>
    <x v="0"/>
    <x v="2"/>
    <n v="9411.01"/>
  </r>
  <r>
    <n v="46"/>
    <s v="male"/>
    <n v="19.899999999999999"/>
    <n v="0"/>
    <x v="0"/>
    <x v="0"/>
    <n v="7526.71"/>
  </r>
  <r>
    <n v="46"/>
    <s v="male"/>
    <n v="39.4"/>
    <n v="1"/>
    <x v="0"/>
    <x v="2"/>
    <n v="8342.91"/>
  </r>
  <r>
    <n v="46"/>
    <s v="female"/>
    <n v="30.2"/>
    <n v="2"/>
    <x v="0"/>
    <x v="1"/>
    <n v="8825.09"/>
  </r>
  <r>
    <n v="46"/>
    <s v="female"/>
    <n v="28.1"/>
    <n v="1"/>
    <x v="0"/>
    <x v="3"/>
    <n v="8233.1"/>
  </r>
  <r>
    <n v="46"/>
    <s v="male"/>
    <n v="33.4"/>
    <n v="1"/>
    <x v="0"/>
    <x v="2"/>
    <n v="8334.59"/>
  </r>
  <r>
    <n v="46"/>
    <s v="female"/>
    <n v="20"/>
    <n v="2"/>
    <x v="0"/>
    <x v="0"/>
    <n v="9193.84"/>
  </r>
  <r>
    <n v="46"/>
    <s v="female"/>
    <n v="33.700000000000003"/>
    <n v="1"/>
    <x v="0"/>
    <x v="2"/>
    <n v="8823.99"/>
  </r>
  <r>
    <n v="46"/>
    <s v="female"/>
    <n v="30.8"/>
    <n v="3"/>
    <x v="0"/>
    <x v="1"/>
    <n v="9414.92"/>
  </r>
  <r>
    <n v="46"/>
    <s v="female"/>
    <n v="35.5"/>
    <n v="0"/>
    <x v="1"/>
    <x v="2"/>
    <n v="42111.66"/>
  </r>
  <r>
    <n v="46"/>
    <s v="male"/>
    <n v="25.8"/>
    <n v="5"/>
    <x v="0"/>
    <x v="1"/>
    <n v="10096.969999999999"/>
  </r>
  <r>
    <n v="46"/>
    <s v="male"/>
    <n v="24.8"/>
    <n v="3"/>
    <x v="0"/>
    <x v="2"/>
    <n v="9500.57"/>
  </r>
  <r>
    <n v="46"/>
    <s v="female"/>
    <n v="23.7"/>
    <n v="1"/>
    <x v="1"/>
    <x v="0"/>
    <n v="21677.279999999999"/>
  </r>
  <r>
    <n v="46"/>
    <s v="male"/>
    <n v="38.200000000000003"/>
    <n v="2"/>
    <x v="0"/>
    <x v="3"/>
    <n v="8347.16"/>
  </r>
  <r>
    <n v="46"/>
    <s v="male"/>
    <n v="40.4"/>
    <n v="2"/>
    <x v="0"/>
    <x v="0"/>
    <n v="8733.23"/>
  </r>
  <r>
    <n v="46"/>
    <s v="female"/>
    <n v="34.6"/>
    <n v="1"/>
    <x v="1"/>
    <x v="1"/>
    <n v="41661.599999999999"/>
  </r>
  <r>
    <n v="46"/>
    <s v="male"/>
    <n v="25.7"/>
    <n v="3"/>
    <x v="0"/>
    <x v="0"/>
    <n v="9301.89"/>
  </r>
  <r>
    <n v="45"/>
    <s v="female"/>
    <n v="38.299999999999997"/>
    <n v="0"/>
    <x v="0"/>
    <x v="2"/>
    <n v="7935.29"/>
  </r>
  <r>
    <n v="45"/>
    <s v="male"/>
    <n v="22.9"/>
    <n v="2"/>
    <x v="1"/>
    <x v="0"/>
    <n v="21098.55"/>
  </r>
  <r>
    <n v="45"/>
    <s v="female"/>
    <n v="28.6"/>
    <n v="2"/>
    <x v="0"/>
    <x v="3"/>
    <n v="8516.83"/>
  </r>
  <r>
    <n v="45"/>
    <s v="female"/>
    <n v="30.9"/>
    <n v="2"/>
    <x v="0"/>
    <x v="1"/>
    <n v="8520.0300000000007"/>
  </r>
  <r>
    <n v="45"/>
    <s v="male"/>
    <n v="30.2"/>
    <n v="1"/>
    <x v="0"/>
    <x v="1"/>
    <n v="7441.05"/>
  </r>
  <r>
    <n v="45"/>
    <s v="male"/>
    <n v="36.5"/>
    <n v="2"/>
    <x v="1"/>
    <x v="0"/>
    <n v="42760.5"/>
  </r>
  <r>
    <n v="45"/>
    <s v="male"/>
    <n v="24.3"/>
    <n v="5"/>
    <x v="0"/>
    <x v="3"/>
    <n v="9788.8700000000008"/>
  </r>
  <r>
    <n v="45"/>
    <s v="female"/>
    <n v="33.1"/>
    <n v="0"/>
    <x v="0"/>
    <x v="1"/>
    <n v="7345.08"/>
  </r>
  <r>
    <n v="45"/>
    <s v="male"/>
    <n v="28.7"/>
    <n v="2"/>
    <x v="0"/>
    <x v="1"/>
    <n v="8027.97"/>
  </r>
  <r>
    <n v="45"/>
    <s v="male"/>
    <n v="30.5"/>
    <n v="2"/>
    <x v="0"/>
    <x v="0"/>
    <n v="8413.4599999999991"/>
  </r>
  <r>
    <n v="45"/>
    <s v="female"/>
    <n v="36.299999999999997"/>
    <n v="2"/>
    <x v="0"/>
    <x v="3"/>
    <n v="8527.5300000000007"/>
  </r>
  <r>
    <n v="45"/>
    <s v="male"/>
    <n v="21.4"/>
    <n v="0"/>
    <x v="0"/>
    <x v="0"/>
    <n v="7222.79"/>
  </r>
  <r>
    <n v="45"/>
    <s v="male"/>
    <n v="24"/>
    <n v="2"/>
    <x v="0"/>
    <x v="2"/>
    <n v="8604.48"/>
  </r>
  <r>
    <n v="45"/>
    <s v="female"/>
    <n v="25.2"/>
    <n v="2"/>
    <x v="0"/>
    <x v="2"/>
    <n v="9095.07"/>
  </r>
  <r>
    <n v="45"/>
    <s v="male"/>
    <n v="39.799999999999997"/>
    <n v="0"/>
    <x v="0"/>
    <x v="2"/>
    <n v="7448.4"/>
  </r>
  <r>
    <n v="45"/>
    <s v="female"/>
    <n v="35.799999999999997"/>
    <n v="0"/>
    <x v="0"/>
    <x v="0"/>
    <n v="7731.86"/>
  </r>
  <r>
    <n v="45"/>
    <s v="male"/>
    <n v="33.700000000000003"/>
    <n v="1"/>
    <x v="0"/>
    <x v="1"/>
    <n v="7445.92"/>
  </r>
  <r>
    <n v="45"/>
    <s v="male"/>
    <n v="22.9"/>
    <n v="0"/>
    <x v="1"/>
    <x v="2"/>
    <n v="35069.370000000003"/>
  </r>
  <r>
    <n v="45"/>
    <s v="female"/>
    <n v="35.299999999999997"/>
    <n v="0"/>
    <x v="0"/>
    <x v="1"/>
    <n v="7348.14"/>
  </r>
  <r>
    <n v="45"/>
    <s v="female"/>
    <n v="40"/>
    <n v="3"/>
    <x v="0"/>
    <x v="2"/>
    <n v="9704.67"/>
  </r>
  <r>
    <n v="45"/>
    <s v="female"/>
    <n v="27.6"/>
    <n v="1"/>
    <x v="0"/>
    <x v="0"/>
    <n v="28340.19"/>
  </r>
  <r>
    <n v="45"/>
    <s v="female"/>
    <n v="30.5"/>
    <n v="1"/>
    <x v="1"/>
    <x v="0"/>
    <n v="39725.519999999997"/>
  </r>
  <r>
    <n v="45"/>
    <s v="female"/>
    <n v="31.8"/>
    <n v="0"/>
    <x v="0"/>
    <x v="3"/>
    <n v="17929.3"/>
  </r>
  <r>
    <n v="45"/>
    <s v="male"/>
    <n v="20.399999999999999"/>
    <n v="3"/>
    <x v="0"/>
    <x v="3"/>
    <n v="8605.36"/>
  </r>
  <r>
    <n v="45"/>
    <s v="male"/>
    <n v="23.6"/>
    <n v="2"/>
    <x v="0"/>
    <x v="2"/>
    <n v="8603.82"/>
  </r>
  <r>
    <n v="45"/>
    <s v="female"/>
    <n v="27.8"/>
    <n v="2"/>
    <x v="0"/>
    <x v="3"/>
    <n v="8515.76"/>
  </r>
  <r>
    <n v="45"/>
    <s v="female"/>
    <n v="25.7"/>
    <n v="3"/>
    <x v="0"/>
    <x v="1"/>
    <n v="9101.7999999999993"/>
  </r>
  <r>
    <n v="45"/>
    <s v="male"/>
    <n v="27.5"/>
    <n v="3"/>
    <x v="0"/>
    <x v="1"/>
    <n v="8615.2999999999993"/>
  </r>
  <r>
    <n v="45"/>
    <s v="male"/>
    <n v="30.4"/>
    <n v="0"/>
    <x v="1"/>
    <x v="3"/>
    <n v="62592.87"/>
  </r>
  <r>
    <n v="44"/>
    <s v="male"/>
    <n v="27.4"/>
    <n v="2"/>
    <x v="0"/>
    <x v="1"/>
    <n v="7726.85"/>
  </r>
  <r>
    <n v="44"/>
    <s v="male"/>
    <n v="37.1"/>
    <n v="2"/>
    <x v="0"/>
    <x v="1"/>
    <n v="7740.34"/>
  </r>
  <r>
    <n v="44"/>
    <s v="male"/>
    <n v="31.4"/>
    <n v="1"/>
    <x v="1"/>
    <x v="2"/>
    <n v="39556.49"/>
  </r>
  <r>
    <n v="44"/>
    <s v="male"/>
    <n v="39.5"/>
    <n v="0"/>
    <x v="0"/>
    <x v="0"/>
    <n v="6948.7"/>
  </r>
  <r>
    <n v="44"/>
    <s v="female"/>
    <n v="26.4"/>
    <n v="0"/>
    <x v="0"/>
    <x v="0"/>
    <n v="7419.48"/>
  </r>
  <r>
    <n v="44"/>
    <s v="male"/>
    <n v="30.7"/>
    <n v="2"/>
    <x v="0"/>
    <x v="3"/>
    <n v="7731.43"/>
  </r>
  <r>
    <n v="44"/>
    <s v="male"/>
    <n v="38.1"/>
    <n v="1"/>
    <x v="0"/>
    <x v="3"/>
    <n v="7152.67"/>
  </r>
  <r>
    <n v="44"/>
    <s v="female"/>
    <n v="27.6"/>
    <n v="0"/>
    <x v="0"/>
    <x v="0"/>
    <n v="7421.19"/>
  </r>
  <r>
    <n v="44"/>
    <s v="male"/>
    <n v="32"/>
    <n v="2"/>
    <x v="0"/>
    <x v="0"/>
    <n v="8116.27"/>
  </r>
  <r>
    <n v="44"/>
    <s v="male"/>
    <n v="22.1"/>
    <n v="2"/>
    <x v="0"/>
    <x v="2"/>
    <n v="8302.5400000000009"/>
  </r>
  <r>
    <n v="44"/>
    <s v="female"/>
    <n v="20.2"/>
    <n v="1"/>
    <x v="1"/>
    <x v="2"/>
    <n v="19594.810000000001"/>
  </r>
  <r>
    <n v="44"/>
    <s v="female"/>
    <n v="38.1"/>
    <n v="0"/>
    <x v="1"/>
    <x v="3"/>
    <n v="48885.14"/>
  </r>
  <r>
    <n v="44"/>
    <s v="female"/>
    <n v="24"/>
    <n v="2"/>
    <x v="0"/>
    <x v="3"/>
    <n v="8211.1"/>
  </r>
  <r>
    <n v="44"/>
    <s v="female"/>
    <n v="39"/>
    <n v="0"/>
    <x v="1"/>
    <x v="0"/>
    <n v="42983.46"/>
  </r>
  <r>
    <n v="44"/>
    <s v="female"/>
    <n v="43.9"/>
    <n v="2"/>
    <x v="1"/>
    <x v="3"/>
    <n v="46200.99"/>
  </r>
  <r>
    <n v="44"/>
    <s v="female"/>
    <n v="36.5"/>
    <n v="0"/>
    <x v="0"/>
    <x v="2"/>
    <n v="12797.21"/>
  </r>
  <r>
    <n v="44"/>
    <s v="female"/>
    <n v="29.8"/>
    <n v="2"/>
    <x v="0"/>
    <x v="3"/>
    <n v="8219.2000000000007"/>
  </r>
  <r>
    <n v="44"/>
    <s v="male"/>
    <n v="21.9"/>
    <n v="3"/>
    <x v="0"/>
    <x v="2"/>
    <n v="8891.14"/>
  </r>
  <r>
    <n v="44"/>
    <s v="female"/>
    <n v="32.299999999999997"/>
    <n v="1"/>
    <x v="0"/>
    <x v="3"/>
    <n v="7633.72"/>
  </r>
  <r>
    <n v="44"/>
    <s v="female"/>
    <n v="27.5"/>
    <n v="1"/>
    <x v="0"/>
    <x v="1"/>
    <n v="7626.99"/>
  </r>
  <r>
    <n v="44"/>
    <s v="male"/>
    <n v="29.7"/>
    <n v="2"/>
    <x v="0"/>
    <x v="2"/>
    <n v="32108.66"/>
  </r>
  <r>
    <n v="44"/>
    <s v="male"/>
    <n v="30.2"/>
    <n v="2"/>
    <x v="1"/>
    <x v="1"/>
    <n v="38998.550000000003"/>
  </r>
  <r>
    <n v="44"/>
    <s v="male"/>
    <n v="25.4"/>
    <n v="1"/>
    <x v="0"/>
    <x v="0"/>
    <n v="7518.03"/>
  </r>
  <r>
    <n v="44"/>
    <s v="female"/>
    <n v="25.8"/>
    <n v="1"/>
    <x v="0"/>
    <x v="1"/>
    <n v="7624.63"/>
  </r>
  <r>
    <n v="44"/>
    <s v="female"/>
    <n v="37"/>
    <n v="1"/>
    <x v="0"/>
    <x v="0"/>
    <n v="8023.14"/>
  </r>
  <r>
    <n v="44"/>
    <s v="female"/>
    <n v="25"/>
    <n v="1"/>
    <x v="0"/>
    <x v="1"/>
    <n v="7623.52"/>
  </r>
  <r>
    <n v="44"/>
    <s v="male"/>
    <n v="34.299999999999997"/>
    <n v="1"/>
    <x v="0"/>
    <x v="3"/>
    <n v="7147.47"/>
  </r>
  <r>
    <n v="43"/>
    <s v="male"/>
    <n v="27.4"/>
    <n v="3"/>
    <x v="0"/>
    <x v="2"/>
    <n v="8606.2199999999993"/>
  </r>
  <r>
    <n v="43"/>
    <s v="male"/>
    <n v="36"/>
    <n v="3"/>
    <x v="1"/>
    <x v="3"/>
    <n v="42124.52"/>
  </r>
  <r>
    <n v="43"/>
    <s v="female"/>
    <n v="35.700000000000003"/>
    <n v="2"/>
    <x v="0"/>
    <x v="2"/>
    <n v="19144.580000000002"/>
  </r>
  <r>
    <n v="43"/>
    <s v="female"/>
    <n v="34.4"/>
    <n v="3"/>
    <x v="0"/>
    <x v="1"/>
    <n v="8522"/>
  </r>
  <r>
    <n v="43"/>
    <s v="female"/>
    <n v="35.6"/>
    <n v="1"/>
    <x v="0"/>
    <x v="3"/>
    <n v="7345.73"/>
  </r>
  <r>
    <n v="43"/>
    <s v="male"/>
    <n v="26"/>
    <n v="0"/>
    <x v="0"/>
    <x v="2"/>
    <n v="6837.37"/>
  </r>
  <r>
    <n v="43"/>
    <s v="female"/>
    <n v="46.2"/>
    <n v="0"/>
    <x v="1"/>
    <x v="3"/>
    <n v="45863.21"/>
  </r>
  <r>
    <n v="43"/>
    <s v="male"/>
    <n v="32.6"/>
    <n v="2"/>
    <x v="0"/>
    <x v="1"/>
    <n v="7441.5"/>
  </r>
  <r>
    <n v="43"/>
    <s v="male"/>
    <n v="35.299999999999997"/>
    <n v="2"/>
    <x v="0"/>
    <x v="3"/>
    <n v="18806.150000000001"/>
  </r>
  <r>
    <n v="43"/>
    <s v="male"/>
    <n v="38.1"/>
    <n v="2"/>
    <x v="1"/>
    <x v="3"/>
    <n v="42560.43"/>
  </r>
  <r>
    <n v="43"/>
    <s v="female"/>
    <n v="30.7"/>
    <n v="2"/>
    <x v="0"/>
    <x v="0"/>
    <n v="8310.84"/>
  </r>
  <r>
    <n v="43"/>
    <s v="male"/>
    <n v="30.1"/>
    <n v="1"/>
    <x v="0"/>
    <x v="1"/>
    <n v="6849.03"/>
  </r>
  <r>
    <n v="43"/>
    <s v="female"/>
    <n v="20"/>
    <n v="2"/>
    <x v="1"/>
    <x v="2"/>
    <n v="19798.05"/>
  </r>
  <r>
    <n v="43"/>
    <s v="female"/>
    <n v="26.9"/>
    <n v="0"/>
    <x v="1"/>
    <x v="0"/>
    <n v="21774.32"/>
  </r>
  <r>
    <n v="43"/>
    <s v="male"/>
    <n v="23.2"/>
    <n v="0"/>
    <x v="0"/>
    <x v="1"/>
    <n v="6250.44"/>
  </r>
  <r>
    <n v="43"/>
    <s v="male"/>
    <n v="35"/>
    <n v="1"/>
    <x v="1"/>
    <x v="2"/>
    <n v="41034.22"/>
  </r>
  <r>
    <n v="43"/>
    <s v="male"/>
    <n v="30.1"/>
    <n v="3"/>
    <x v="0"/>
    <x v="0"/>
    <n v="8410.0499999999993"/>
  </r>
  <r>
    <n v="43"/>
    <s v="male"/>
    <n v="20.100000000000001"/>
    <n v="2"/>
    <x v="1"/>
    <x v="3"/>
    <n v="18767.740000000002"/>
  </r>
  <r>
    <n v="43"/>
    <s v="female"/>
    <n v="24.7"/>
    <n v="2"/>
    <x v="1"/>
    <x v="0"/>
    <n v="21880.82"/>
  </r>
  <r>
    <n v="43"/>
    <s v="female"/>
    <n v="25.1"/>
    <n v="0"/>
    <x v="0"/>
    <x v="2"/>
    <n v="7325.05"/>
  </r>
  <r>
    <n v="43"/>
    <s v="female"/>
    <n v="32.6"/>
    <n v="3"/>
    <x v="1"/>
    <x v="3"/>
    <n v="40941.29"/>
  </r>
  <r>
    <n v="43"/>
    <s v="female"/>
    <n v="34.6"/>
    <n v="1"/>
    <x v="0"/>
    <x v="0"/>
    <n v="7727.25"/>
  </r>
  <r>
    <n v="43"/>
    <s v="female"/>
    <n v="26.7"/>
    <n v="2"/>
    <x v="1"/>
    <x v="1"/>
    <n v="22478.6"/>
  </r>
  <r>
    <n v="43"/>
    <s v="female"/>
    <n v="25.3"/>
    <n v="1"/>
    <x v="1"/>
    <x v="2"/>
    <n v="21771.34"/>
  </r>
  <r>
    <n v="43"/>
    <s v="female"/>
    <n v="29.9"/>
    <n v="1"/>
    <x v="0"/>
    <x v="1"/>
    <n v="7337.75"/>
  </r>
  <r>
    <n v="43"/>
    <s v="male"/>
    <n v="25.5"/>
    <n v="5"/>
    <x v="0"/>
    <x v="3"/>
    <n v="14478.33"/>
  </r>
  <r>
    <n v="43"/>
    <s v="male"/>
    <n v="27.8"/>
    <n v="0"/>
    <x v="1"/>
    <x v="1"/>
    <n v="37829.72"/>
  </r>
  <r>
    <n v="42"/>
    <s v="female"/>
    <n v="23.4"/>
    <n v="0"/>
    <x v="1"/>
    <x v="2"/>
    <n v="19964.75"/>
  </r>
  <r>
    <n v="42"/>
    <s v="female"/>
    <n v="26.6"/>
    <n v="0"/>
    <x v="1"/>
    <x v="0"/>
    <n v="21348.71"/>
  </r>
  <r>
    <n v="42"/>
    <s v="male"/>
    <n v="24.6"/>
    <n v="0"/>
    <x v="1"/>
    <x v="3"/>
    <n v="19515.54"/>
  </r>
  <r>
    <n v="42"/>
    <s v="female"/>
    <n v="36.200000000000003"/>
    <n v="1"/>
    <x v="0"/>
    <x v="0"/>
    <n v="7443.64"/>
  </r>
  <r>
    <n v="42"/>
    <s v="female"/>
    <n v="25"/>
    <n v="2"/>
    <x v="0"/>
    <x v="0"/>
    <n v="8017.06"/>
  </r>
  <r>
    <n v="42"/>
    <s v="female"/>
    <n v="33.200000000000003"/>
    <n v="1"/>
    <x v="0"/>
    <x v="2"/>
    <n v="7639.42"/>
  </r>
  <r>
    <n v="42"/>
    <s v="male"/>
    <n v="26.9"/>
    <n v="0"/>
    <x v="0"/>
    <x v="1"/>
    <n v="5969.72"/>
  </r>
  <r>
    <n v="42"/>
    <s v="male"/>
    <n v="30"/>
    <n v="0"/>
    <x v="1"/>
    <x v="1"/>
    <n v="22144.03"/>
  </r>
  <r>
    <n v="42"/>
    <s v="male"/>
    <n v="26.1"/>
    <n v="1"/>
    <x v="1"/>
    <x v="3"/>
    <n v="38245.589999999997"/>
  </r>
  <r>
    <n v="42"/>
    <s v="female"/>
    <n v="29.5"/>
    <n v="2"/>
    <x v="0"/>
    <x v="3"/>
    <n v="7640.31"/>
  </r>
  <r>
    <n v="42"/>
    <s v="male"/>
    <n v="28.3"/>
    <n v="3"/>
    <x v="1"/>
    <x v="0"/>
    <n v="32787.46"/>
  </r>
  <r>
    <n v="42"/>
    <s v="male"/>
    <n v="26.1"/>
    <n v="2"/>
    <x v="0"/>
    <x v="2"/>
    <n v="7729.65"/>
  </r>
  <r>
    <n v="42"/>
    <s v="female"/>
    <n v="29"/>
    <n v="1"/>
    <x v="0"/>
    <x v="1"/>
    <n v="7050.64"/>
  </r>
  <r>
    <n v="42"/>
    <s v="female"/>
    <n v="26.2"/>
    <n v="1"/>
    <x v="0"/>
    <x v="3"/>
    <n v="7046.72"/>
  </r>
  <r>
    <n v="42"/>
    <s v="male"/>
    <n v="36"/>
    <n v="2"/>
    <x v="0"/>
    <x v="3"/>
    <n v="7160.33"/>
  </r>
  <r>
    <n v="42"/>
    <s v="male"/>
    <n v="24.9"/>
    <n v="0"/>
    <x v="0"/>
    <x v="3"/>
    <n v="5966.89"/>
  </r>
  <r>
    <n v="42"/>
    <s v="male"/>
    <n v="35.799999999999997"/>
    <n v="2"/>
    <x v="0"/>
    <x v="1"/>
    <n v="7160.09"/>
  </r>
  <r>
    <n v="42"/>
    <s v="male"/>
    <n v="31.3"/>
    <n v="0"/>
    <x v="0"/>
    <x v="0"/>
    <n v="6358.78"/>
  </r>
  <r>
    <n v="42"/>
    <s v="female"/>
    <n v="25.3"/>
    <n v="1"/>
    <x v="0"/>
    <x v="1"/>
    <n v="7045.5"/>
  </r>
  <r>
    <n v="42"/>
    <s v="male"/>
    <n v="34.1"/>
    <n v="0"/>
    <x v="0"/>
    <x v="1"/>
    <n v="5979.73"/>
  </r>
  <r>
    <n v="42"/>
    <s v="female"/>
    <n v="41.3"/>
    <n v="1"/>
    <x v="0"/>
    <x v="2"/>
    <n v="7650.77"/>
  </r>
  <r>
    <n v="42"/>
    <s v="male"/>
    <n v="37.200000000000003"/>
    <n v="2"/>
    <x v="0"/>
    <x v="3"/>
    <n v="7162.01"/>
  </r>
  <r>
    <n v="42"/>
    <s v="female"/>
    <n v="37.9"/>
    <n v="0"/>
    <x v="0"/>
    <x v="1"/>
    <n v="6474.01"/>
  </r>
  <r>
    <n v="42"/>
    <s v="male"/>
    <n v="24.6"/>
    <n v="2"/>
    <x v="1"/>
    <x v="2"/>
    <n v="21259.38"/>
  </r>
  <r>
    <n v="42"/>
    <s v="male"/>
    <n v="26.3"/>
    <n v="1"/>
    <x v="0"/>
    <x v="0"/>
    <n v="6940.91"/>
  </r>
  <r>
    <n v="42"/>
    <s v="female"/>
    <n v="40.4"/>
    <n v="2"/>
    <x v="1"/>
    <x v="3"/>
    <n v="43896.38"/>
  </r>
  <r>
    <n v="42"/>
    <s v="female"/>
    <n v="32.9"/>
    <n v="0"/>
    <x v="0"/>
    <x v="2"/>
    <n v="7050.02"/>
  </r>
  <r>
    <n v="41"/>
    <s v="male"/>
    <n v="21.8"/>
    <n v="1"/>
    <x v="0"/>
    <x v="3"/>
    <n v="6272.48"/>
  </r>
  <r>
    <n v="41"/>
    <s v="female"/>
    <n v="33"/>
    <n v="0"/>
    <x v="0"/>
    <x v="0"/>
    <n v="6571.02"/>
  </r>
  <r>
    <n v="41"/>
    <s v="female"/>
    <n v="31.6"/>
    <n v="0"/>
    <x v="0"/>
    <x v="1"/>
    <n v="6186.13"/>
  </r>
  <r>
    <n v="41"/>
    <s v="female"/>
    <n v="33.200000000000003"/>
    <n v="3"/>
    <x v="0"/>
    <x v="2"/>
    <n v="8538.2900000000009"/>
  </r>
  <r>
    <n v="41"/>
    <s v="female"/>
    <n v="32.200000000000003"/>
    <n v="1"/>
    <x v="0"/>
    <x v="1"/>
    <n v="6775.96"/>
  </r>
  <r>
    <n v="41"/>
    <s v="female"/>
    <n v="37.1"/>
    <n v="2"/>
    <x v="0"/>
    <x v="1"/>
    <n v="7371.77"/>
  </r>
  <r>
    <n v="41"/>
    <s v="female"/>
    <n v="31.6"/>
    <n v="1"/>
    <x v="0"/>
    <x v="2"/>
    <n v="7358.18"/>
  </r>
  <r>
    <n v="41"/>
    <s v="male"/>
    <n v="37.1"/>
    <n v="2"/>
    <x v="0"/>
    <x v="0"/>
    <n v="7265.7"/>
  </r>
  <r>
    <n v="41"/>
    <s v="female"/>
    <n v="33.1"/>
    <n v="2"/>
    <x v="0"/>
    <x v="0"/>
    <n v="7749.16"/>
  </r>
  <r>
    <n v="41"/>
    <s v="male"/>
    <n v="30.6"/>
    <n v="2"/>
    <x v="0"/>
    <x v="0"/>
    <n v="7256.72"/>
  </r>
  <r>
    <n v="41"/>
    <s v="male"/>
    <n v="40.299999999999997"/>
    <n v="0"/>
    <x v="0"/>
    <x v="3"/>
    <n v="5709.16"/>
  </r>
  <r>
    <n v="41"/>
    <s v="female"/>
    <n v="31"/>
    <n v="0"/>
    <x v="0"/>
    <x v="3"/>
    <n v="6185.32"/>
  </r>
  <r>
    <n v="41"/>
    <s v="male"/>
    <n v="35.799999999999997"/>
    <n v="1"/>
    <x v="1"/>
    <x v="3"/>
    <n v="40273.65"/>
  </r>
  <r>
    <n v="41"/>
    <s v="male"/>
    <n v="28.4"/>
    <n v="1"/>
    <x v="0"/>
    <x v="0"/>
    <n v="6664.69"/>
  </r>
  <r>
    <n v="41"/>
    <s v="female"/>
    <n v="36.1"/>
    <n v="1"/>
    <x v="0"/>
    <x v="3"/>
    <n v="6781.35"/>
  </r>
  <r>
    <n v="41"/>
    <s v="male"/>
    <n v="34.200000000000003"/>
    <n v="2"/>
    <x v="0"/>
    <x v="0"/>
    <n v="7261.74"/>
  </r>
  <r>
    <n v="41"/>
    <s v="male"/>
    <n v="30.8"/>
    <n v="3"/>
    <x v="1"/>
    <x v="2"/>
    <n v="39597.410000000003"/>
  </r>
  <r>
    <n v="41"/>
    <s v="male"/>
    <n v="28.8"/>
    <n v="1"/>
    <x v="0"/>
    <x v="1"/>
    <n v="6282.24"/>
  </r>
  <r>
    <n v="41"/>
    <s v="male"/>
    <n v="34.200000000000003"/>
    <n v="1"/>
    <x v="0"/>
    <x v="3"/>
    <n v="6289.75"/>
  </r>
  <r>
    <n v="41"/>
    <s v="male"/>
    <n v="29.6"/>
    <n v="5"/>
    <x v="0"/>
    <x v="2"/>
    <n v="9222.4"/>
  </r>
  <r>
    <n v="41"/>
    <s v="female"/>
    <n v="32.6"/>
    <n v="3"/>
    <x v="0"/>
    <x v="1"/>
    <n v="7954.52"/>
  </r>
  <r>
    <n v="41"/>
    <s v="female"/>
    <n v="28.3"/>
    <n v="1"/>
    <x v="0"/>
    <x v="0"/>
    <n v="7153.55"/>
  </r>
  <r>
    <n v="41"/>
    <s v="female"/>
    <n v="21.8"/>
    <n v="1"/>
    <x v="0"/>
    <x v="2"/>
    <n v="13725.47"/>
  </r>
  <r>
    <n v="41"/>
    <s v="male"/>
    <n v="33.6"/>
    <n v="0"/>
    <x v="0"/>
    <x v="3"/>
    <n v="5699.84"/>
  </r>
  <r>
    <n v="41"/>
    <s v="male"/>
    <n v="23.9"/>
    <n v="1"/>
    <x v="0"/>
    <x v="2"/>
    <n v="6858.48"/>
  </r>
  <r>
    <n v="41"/>
    <s v="female"/>
    <n v="28.1"/>
    <n v="1"/>
    <x v="0"/>
    <x v="3"/>
    <n v="6770.19"/>
  </r>
  <r>
    <n v="41"/>
    <s v="male"/>
    <n v="32.200000000000003"/>
    <n v="2"/>
    <x v="0"/>
    <x v="1"/>
    <n v="6875.96"/>
  </r>
  <r>
    <n v="40"/>
    <s v="female"/>
    <n v="28.7"/>
    <n v="3"/>
    <x v="0"/>
    <x v="0"/>
    <n v="8059.68"/>
  </r>
  <r>
    <n v="40"/>
    <s v="male"/>
    <n v="26.3"/>
    <n v="1"/>
    <x v="0"/>
    <x v="0"/>
    <n v="6389.38"/>
  </r>
  <r>
    <n v="40"/>
    <s v="female"/>
    <n v="36.200000000000003"/>
    <n v="0"/>
    <x v="0"/>
    <x v="3"/>
    <n v="5920.1"/>
  </r>
  <r>
    <n v="40"/>
    <s v="female"/>
    <n v="25.5"/>
    <n v="1"/>
    <x v="0"/>
    <x v="2"/>
    <n v="7077.19"/>
  </r>
  <r>
    <n v="40"/>
    <s v="male"/>
    <n v="41.2"/>
    <n v="1"/>
    <x v="0"/>
    <x v="2"/>
    <n v="6610.11"/>
  </r>
  <r>
    <n v="40"/>
    <s v="male"/>
    <n v="30.9"/>
    <n v="4"/>
    <x v="0"/>
    <x v="0"/>
    <n v="8162.72"/>
  </r>
  <r>
    <n v="40"/>
    <s v="female"/>
    <n v="22.2"/>
    <n v="2"/>
    <x v="1"/>
    <x v="3"/>
    <n v="19444.27"/>
  </r>
  <r>
    <n v="40"/>
    <s v="male"/>
    <n v="35.299999999999997"/>
    <n v="3"/>
    <x v="0"/>
    <x v="1"/>
    <n v="7196.87"/>
  </r>
  <r>
    <n v="40"/>
    <s v="male"/>
    <n v="19.8"/>
    <n v="1"/>
    <x v="1"/>
    <x v="3"/>
    <n v="17179.52"/>
  </r>
  <r>
    <n v="40"/>
    <s v="female"/>
    <n v="28.1"/>
    <n v="1"/>
    <x v="1"/>
    <x v="2"/>
    <n v="22331.57"/>
  </r>
  <r>
    <n v="40"/>
    <s v="male"/>
    <n v="34.1"/>
    <n v="1"/>
    <x v="0"/>
    <x v="2"/>
    <n v="6600.21"/>
  </r>
  <r>
    <n v="40"/>
    <s v="male"/>
    <n v="32.799999999999997"/>
    <n v="1"/>
    <x v="1"/>
    <x v="2"/>
    <n v="39125.33"/>
  </r>
  <r>
    <n v="40"/>
    <s v="female"/>
    <n v="29.6"/>
    <n v="0"/>
    <x v="0"/>
    <x v="1"/>
    <n v="5910.94"/>
  </r>
  <r>
    <n v="40"/>
    <s v="female"/>
    <n v="33"/>
    <n v="3"/>
    <x v="0"/>
    <x v="3"/>
    <n v="7682.67"/>
  </r>
  <r>
    <n v="40"/>
    <s v="male"/>
    <n v="22.7"/>
    <n v="2"/>
    <x v="0"/>
    <x v="2"/>
    <n v="7173.36"/>
  </r>
  <r>
    <n v="40"/>
    <s v="female"/>
    <n v="23.4"/>
    <n v="3"/>
    <x v="0"/>
    <x v="2"/>
    <n v="8252.2800000000007"/>
  </r>
  <r>
    <n v="40"/>
    <s v="female"/>
    <n v="32.799999999999997"/>
    <n v="2"/>
    <x v="1"/>
    <x v="0"/>
    <n v="40003.33"/>
  </r>
  <r>
    <n v="40"/>
    <s v="female"/>
    <n v="29.8"/>
    <n v="1"/>
    <x v="0"/>
    <x v="3"/>
    <n v="6500.24"/>
  </r>
  <r>
    <n v="40"/>
    <s v="male"/>
    <n v="41.7"/>
    <n v="0"/>
    <x v="0"/>
    <x v="3"/>
    <n v="5438.75"/>
  </r>
  <r>
    <n v="40"/>
    <s v="male"/>
    <n v="32.299999999999997"/>
    <n v="2"/>
    <x v="0"/>
    <x v="0"/>
    <n v="6986.7"/>
  </r>
  <r>
    <n v="40"/>
    <s v="female"/>
    <n v="41.4"/>
    <n v="1"/>
    <x v="0"/>
    <x v="0"/>
    <n v="28476.73"/>
  </r>
  <r>
    <n v="40"/>
    <s v="male"/>
    <n v="29.9"/>
    <n v="2"/>
    <x v="0"/>
    <x v="1"/>
    <n v="6600.36"/>
  </r>
  <r>
    <n v="40"/>
    <s v="female"/>
    <n v="27.4"/>
    <n v="1"/>
    <x v="0"/>
    <x v="1"/>
    <n v="6496.89"/>
  </r>
  <r>
    <n v="40"/>
    <s v="male"/>
    <n v="29.4"/>
    <n v="1"/>
    <x v="0"/>
    <x v="0"/>
    <n v="6393.6"/>
  </r>
  <r>
    <n v="40"/>
    <s v="male"/>
    <n v="25.1"/>
    <n v="0"/>
    <x v="0"/>
    <x v="3"/>
    <n v="5415.66"/>
  </r>
  <r>
    <n v="40"/>
    <s v="male"/>
    <n v="25"/>
    <n v="2"/>
    <x v="0"/>
    <x v="3"/>
    <n v="6593.51"/>
  </r>
  <r>
    <n v="40"/>
    <s v="female"/>
    <n v="29.3"/>
    <n v="4"/>
    <x v="0"/>
    <x v="1"/>
    <n v="15828.82"/>
  </r>
  <r>
    <n v="39"/>
    <s v="female"/>
    <n v="32.799999999999997"/>
    <n v="0"/>
    <x v="0"/>
    <x v="1"/>
    <n v="5649.72"/>
  </r>
  <r>
    <n v="39"/>
    <s v="male"/>
    <n v="24.5"/>
    <n v="2"/>
    <x v="0"/>
    <x v="0"/>
    <n v="6710.19"/>
  </r>
  <r>
    <n v="39"/>
    <s v="female"/>
    <n v="24.9"/>
    <n v="3"/>
    <x v="1"/>
    <x v="2"/>
    <n v="21659.93"/>
  </r>
  <r>
    <n v="39"/>
    <s v="male"/>
    <n v="29.6"/>
    <n v="4"/>
    <x v="0"/>
    <x v="1"/>
    <n v="7512.27"/>
  </r>
  <r>
    <n v="39"/>
    <s v="male"/>
    <n v="28.3"/>
    <n v="1"/>
    <x v="1"/>
    <x v="1"/>
    <n v="21082.16"/>
  </r>
  <r>
    <n v="39"/>
    <s v="male"/>
    <n v="45.4"/>
    <n v="2"/>
    <x v="0"/>
    <x v="3"/>
    <n v="6356.27"/>
  </r>
  <r>
    <n v="39"/>
    <s v="male"/>
    <n v="26.4"/>
    <n v="0"/>
    <x v="1"/>
    <x v="2"/>
    <n v="20149.32"/>
  </r>
  <r>
    <n v="39"/>
    <s v="male"/>
    <n v="26.2"/>
    <n v="1"/>
    <x v="0"/>
    <x v="0"/>
    <n v="6123.57"/>
  </r>
  <r>
    <n v="39"/>
    <s v="male"/>
    <n v="35.299999999999997"/>
    <n v="2"/>
    <x v="1"/>
    <x v="1"/>
    <n v="40103.89"/>
  </r>
  <r>
    <n v="39"/>
    <s v="female"/>
    <n v="22.8"/>
    <n v="3"/>
    <x v="0"/>
    <x v="2"/>
    <n v="7985.82"/>
  </r>
  <r>
    <n v="39"/>
    <s v="female"/>
    <n v="41.8"/>
    <n v="0"/>
    <x v="0"/>
    <x v="3"/>
    <n v="5662.23"/>
  </r>
  <r>
    <n v="39"/>
    <s v="female"/>
    <n v="31.9"/>
    <n v="2"/>
    <x v="0"/>
    <x v="0"/>
    <n v="7209.49"/>
  </r>
  <r>
    <n v="39"/>
    <s v="male"/>
    <n v="21.9"/>
    <n v="1"/>
    <x v="0"/>
    <x v="0"/>
    <n v="6117.49"/>
  </r>
  <r>
    <n v="39"/>
    <s v="female"/>
    <n v="32.5"/>
    <n v="1"/>
    <x v="0"/>
    <x v="1"/>
    <n v="6238.3"/>
  </r>
  <r>
    <n v="39"/>
    <s v="female"/>
    <n v="24.2"/>
    <n v="5"/>
    <x v="0"/>
    <x v="0"/>
    <n v="8965.7999999999993"/>
  </r>
  <r>
    <n v="39"/>
    <s v="female"/>
    <n v="34.299999999999997"/>
    <n v="5"/>
    <x v="0"/>
    <x v="3"/>
    <n v="8596.83"/>
  </r>
  <r>
    <n v="39"/>
    <s v="female"/>
    <n v="23.3"/>
    <n v="3"/>
    <x v="0"/>
    <x v="2"/>
    <n v="7986.48"/>
  </r>
  <r>
    <n v="39"/>
    <s v="female"/>
    <n v="34.1"/>
    <n v="3"/>
    <x v="0"/>
    <x v="1"/>
    <n v="7418.52"/>
  </r>
  <r>
    <n v="39"/>
    <s v="male"/>
    <n v="42.7"/>
    <n v="0"/>
    <x v="0"/>
    <x v="2"/>
    <n v="5757.41"/>
  </r>
  <r>
    <n v="39"/>
    <s v="female"/>
    <n v="18.3"/>
    <n v="5"/>
    <x v="1"/>
    <x v="1"/>
    <n v="19023.259999999998"/>
  </r>
  <r>
    <n v="39"/>
    <s v="female"/>
    <n v="23.9"/>
    <n v="5"/>
    <x v="0"/>
    <x v="3"/>
    <n v="8582.2999999999993"/>
  </r>
  <r>
    <n v="39"/>
    <s v="male"/>
    <n v="32.299999999999997"/>
    <n v="2"/>
    <x v="0"/>
    <x v="3"/>
    <n v="6338.08"/>
  </r>
  <r>
    <n v="39"/>
    <s v="male"/>
    <n v="34.1"/>
    <n v="2"/>
    <x v="0"/>
    <x v="3"/>
    <n v="23563.02"/>
  </r>
  <r>
    <n v="39"/>
    <s v="male"/>
    <n v="29.9"/>
    <n v="1"/>
    <x v="1"/>
    <x v="2"/>
    <n v="22462.04"/>
  </r>
  <r>
    <n v="39"/>
    <s v="female"/>
    <n v="26.3"/>
    <n v="2"/>
    <x v="0"/>
    <x v="0"/>
    <n v="7201.7"/>
  </r>
  <r>
    <n v="38"/>
    <s v="male"/>
    <n v="37.1"/>
    <n v="1"/>
    <x v="0"/>
    <x v="2"/>
    <n v="6079.67"/>
  </r>
  <r>
    <n v="38"/>
    <s v="male"/>
    <n v="19.3"/>
    <n v="0"/>
    <x v="1"/>
    <x v="1"/>
    <n v="15820.7"/>
  </r>
  <r>
    <n v="38"/>
    <s v="male"/>
    <n v="34.700000000000003"/>
    <n v="2"/>
    <x v="0"/>
    <x v="1"/>
    <n v="6082.41"/>
  </r>
  <r>
    <n v="38"/>
    <s v="male"/>
    <n v="27.8"/>
    <n v="2"/>
    <x v="0"/>
    <x v="0"/>
    <n v="6455.86"/>
  </r>
  <r>
    <n v="38"/>
    <s v="female"/>
    <n v="40.200000000000003"/>
    <n v="0"/>
    <x v="0"/>
    <x v="3"/>
    <n v="5400.98"/>
  </r>
  <r>
    <n v="38"/>
    <s v="male"/>
    <n v="21.1"/>
    <n v="3"/>
    <x v="0"/>
    <x v="3"/>
    <n v="6652.53"/>
  </r>
  <r>
    <n v="38"/>
    <s v="female"/>
    <n v="27.3"/>
    <n v="1"/>
    <x v="0"/>
    <x v="2"/>
    <n v="6555.07"/>
  </r>
  <r>
    <n v="38"/>
    <s v="female"/>
    <n v="28.9"/>
    <n v="1"/>
    <x v="0"/>
    <x v="3"/>
    <n v="5974.38"/>
  </r>
  <r>
    <n v="38"/>
    <s v="female"/>
    <n v="37.700000000000003"/>
    <n v="0"/>
    <x v="0"/>
    <x v="3"/>
    <n v="5397.62"/>
  </r>
  <r>
    <n v="38"/>
    <s v="male"/>
    <n v="28"/>
    <n v="1"/>
    <x v="0"/>
    <x v="2"/>
    <n v="6067.13"/>
  </r>
  <r>
    <n v="38"/>
    <s v="female"/>
    <n v="40.6"/>
    <n v="1"/>
    <x v="0"/>
    <x v="0"/>
    <n v="6373.56"/>
  </r>
  <r>
    <n v="38"/>
    <s v="female"/>
    <n v="30.7"/>
    <n v="1"/>
    <x v="0"/>
    <x v="3"/>
    <n v="5976.83"/>
  </r>
  <r>
    <n v="38"/>
    <s v="female"/>
    <n v="34.799999999999997"/>
    <n v="2"/>
    <x v="0"/>
    <x v="1"/>
    <n v="6571.54"/>
  </r>
  <r>
    <n v="38"/>
    <s v="female"/>
    <n v="19.5"/>
    <n v="2"/>
    <x v="0"/>
    <x v="0"/>
    <n v="6933.24"/>
  </r>
  <r>
    <n v="38"/>
    <s v="female"/>
    <n v="28"/>
    <n v="3"/>
    <x v="0"/>
    <x v="1"/>
    <n v="7151.09"/>
  </r>
  <r>
    <n v="38"/>
    <s v="male"/>
    <n v="31"/>
    <n v="1"/>
    <x v="0"/>
    <x v="1"/>
    <n v="5488.26"/>
  </r>
  <r>
    <n v="38"/>
    <s v="female"/>
    <n v="27.8"/>
    <n v="2"/>
    <x v="0"/>
    <x v="2"/>
    <n v="7144.86"/>
  </r>
  <r>
    <n v="38"/>
    <s v="male"/>
    <n v="28.3"/>
    <n v="1"/>
    <x v="0"/>
    <x v="3"/>
    <n v="5484.47"/>
  </r>
  <r>
    <n v="38"/>
    <s v="female"/>
    <n v="27.6"/>
    <n v="0"/>
    <x v="0"/>
    <x v="1"/>
    <n v="5383.54"/>
  </r>
  <r>
    <n v="38"/>
    <s v="male"/>
    <n v="20"/>
    <n v="1"/>
    <x v="0"/>
    <x v="0"/>
    <n v="5855.9"/>
  </r>
  <r>
    <n v="38"/>
    <s v="male"/>
    <n v="38.4"/>
    <n v="3"/>
    <x v="1"/>
    <x v="3"/>
    <n v="41949.24"/>
  </r>
  <r>
    <n v="38"/>
    <s v="male"/>
    <n v="29.3"/>
    <n v="2"/>
    <x v="0"/>
    <x v="0"/>
    <n v="6457.84"/>
  </r>
  <r>
    <n v="38"/>
    <s v="female"/>
    <n v="30.2"/>
    <n v="3"/>
    <x v="0"/>
    <x v="0"/>
    <n v="7537.16"/>
  </r>
  <r>
    <n v="38"/>
    <s v="male"/>
    <n v="16.8"/>
    <n v="2"/>
    <x v="0"/>
    <x v="2"/>
    <n v="6640.54"/>
  </r>
  <r>
    <n v="38"/>
    <s v="female"/>
    <n v="20"/>
    <n v="2"/>
    <x v="0"/>
    <x v="2"/>
    <n v="7133.9"/>
  </r>
  <r>
    <n v="37"/>
    <s v="female"/>
    <n v="27.7"/>
    <n v="3"/>
    <x v="0"/>
    <x v="0"/>
    <n v="7281.51"/>
  </r>
  <r>
    <n v="37"/>
    <s v="male"/>
    <n v="29.8"/>
    <n v="2"/>
    <x v="0"/>
    <x v="2"/>
    <n v="6406.41"/>
  </r>
  <r>
    <n v="37"/>
    <s v="male"/>
    <n v="28"/>
    <n v="2"/>
    <x v="0"/>
    <x v="0"/>
    <n v="6203.9"/>
  </r>
  <r>
    <n v="37"/>
    <s v="female"/>
    <n v="30.8"/>
    <n v="2"/>
    <x v="0"/>
    <x v="3"/>
    <n v="6313.76"/>
  </r>
  <r>
    <n v="37"/>
    <s v="female"/>
    <n v="34.799999999999997"/>
    <n v="2"/>
    <x v="1"/>
    <x v="1"/>
    <n v="39836.519999999997"/>
  </r>
  <r>
    <n v="37"/>
    <s v="male"/>
    <n v="30.8"/>
    <n v="0"/>
    <x v="0"/>
    <x v="1"/>
    <n v="4646.76"/>
  </r>
  <r>
    <n v="37"/>
    <s v="female"/>
    <n v="23.4"/>
    <n v="2"/>
    <x v="0"/>
    <x v="0"/>
    <n v="6686.43"/>
  </r>
  <r>
    <n v="37"/>
    <s v="male"/>
    <n v="29.6"/>
    <n v="0"/>
    <x v="0"/>
    <x v="0"/>
    <n v="5028.1499999999996"/>
  </r>
  <r>
    <n v="37"/>
    <s v="male"/>
    <n v="30.9"/>
    <n v="3"/>
    <x v="0"/>
    <x v="0"/>
    <n v="6796.86"/>
  </r>
  <r>
    <n v="37"/>
    <s v="male"/>
    <n v="36.200000000000003"/>
    <n v="0"/>
    <x v="0"/>
    <x v="3"/>
    <n v="19214.71"/>
  </r>
  <r>
    <n v="37"/>
    <s v="male"/>
    <n v="34.1"/>
    <n v="4"/>
    <x v="1"/>
    <x v="1"/>
    <n v="40182.25"/>
  </r>
  <r>
    <n v="37"/>
    <s v="male"/>
    <n v="46.5"/>
    <n v="3"/>
    <x v="0"/>
    <x v="3"/>
    <n v="6435.62"/>
  </r>
  <r>
    <n v="37"/>
    <s v="female"/>
    <n v="38.4"/>
    <n v="0"/>
    <x v="1"/>
    <x v="3"/>
    <n v="40419.019999999997"/>
  </r>
  <r>
    <n v="37"/>
    <s v="female"/>
    <n v="26.4"/>
    <n v="0"/>
    <x v="1"/>
    <x v="3"/>
    <n v="19539.240000000002"/>
  </r>
  <r>
    <n v="37"/>
    <s v="female"/>
    <n v="30.8"/>
    <n v="0"/>
    <x v="1"/>
    <x v="2"/>
    <n v="37270.15"/>
  </r>
  <r>
    <n v="37"/>
    <s v="female"/>
    <n v="47.6"/>
    <n v="2"/>
    <x v="1"/>
    <x v="1"/>
    <n v="46113.51"/>
  </r>
  <r>
    <n v="37"/>
    <s v="female"/>
    <n v="29.5"/>
    <n v="2"/>
    <x v="0"/>
    <x v="1"/>
    <n v="6311.95"/>
  </r>
  <r>
    <n v="37"/>
    <s v="male"/>
    <n v="34.200000000000003"/>
    <n v="1"/>
    <x v="1"/>
    <x v="2"/>
    <n v="39047.29"/>
  </r>
  <r>
    <n v="37"/>
    <s v="female"/>
    <n v="17.3"/>
    <n v="2"/>
    <x v="0"/>
    <x v="2"/>
    <n v="6877.98"/>
  </r>
  <r>
    <n v="37"/>
    <s v="male"/>
    <n v="37.1"/>
    <n v="1"/>
    <x v="1"/>
    <x v="3"/>
    <n v="39871.699999999997"/>
  </r>
  <r>
    <n v="37"/>
    <s v="male"/>
    <n v="29.8"/>
    <n v="0"/>
    <x v="0"/>
    <x v="1"/>
    <n v="20420.599999999999"/>
  </r>
  <r>
    <n v="37"/>
    <s v="female"/>
    <n v="34.1"/>
    <n v="1"/>
    <x v="0"/>
    <x v="0"/>
    <n v="6112.35"/>
  </r>
  <r>
    <n v="37"/>
    <s v="male"/>
    <n v="24.3"/>
    <n v="2"/>
    <x v="0"/>
    <x v="0"/>
    <n v="6198.75"/>
  </r>
  <r>
    <n v="37"/>
    <s v="female"/>
    <n v="25.6"/>
    <n v="1"/>
    <x v="1"/>
    <x v="2"/>
    <n v="20296.86"/>
  </r>
  <r>
    <n v="37"/>
    <s v="male"/>
    <n v="22.7"/>
    <n v="3"/>
    <x v="0"/>
    <x v="2"/>
    <n v="6985.51"/>
  </r>
  <r>
    <n v="36"/>
    <s v="male"/>
    <n v="35.200000000000003"/>
    <n v="1"/>
    <x v="1"/>
    <x v="3"/>
    <n v="38709.18"/>
  </r>
  <r>
    <n v="36"/>
    <s v="male"/>
    <n v="34.4"/>
    <n v="0"/>
    <x v="1"/>
    <x v="3"/>
    <n v="37742.58"/>
  </r>
  <r>
    <n v="36"/>
    <s v="male"/>
    <n v="41.9"/>
    <n v="3"/>
    <x v="1"/>
    <x v="2"/>
    <n v="43753.34"/>
  </r>
  <r>
    <n v="36"/>
    <s v="female"/>
    <n v="26.2"/>
    <n v="0"/>
    <x v="0"/>
    <x v="1"/>
    <n v="4883.87"/>
  </r>
  <r>
    <n v="36"/>
    <s v="male"/>
    <n v="27.6"/>
    <n v="3"/>
    <x v="0"/>
    <x v="2"/>
    <n v="6746.74"/>
  </r>
  <r>
    <n v="36"/>
    <s v="female"/>
    <n v="29.9"/>
    <n v="1"/>
    <x v="0"/>
    <x v="3"/>
    <n v="5478.04"/>
  </r>
  <r>
    <n v="36"/>
    <s v="female"/>
    <n v="22.6"/>
    <n v="2"/>
    <x v="1"/>
    <x v="1"/>
    <n v="18608.259999999998"/>
  </r>
  <r>
    <n v="36"/>
    <s v="male"/>
    <n v="28.9"/>
    <n v="3"/>
    <x v="0"/>
    <x v="2"/>
    <n v="6748.59"/>
  </r>
  <r>
    <n v="36"/>
    <s v="male"/>
    <n v="29.7"/>
    <n v="0"/>
    <x v="0"/>
    <x v="3"/>
    <n v="4399.7299999999996"/>
  </r>
  <r>
    <n v="36"/>
    <s v="female"/>
    <n v="27.7"/>
    <n v="0"/>
    <x v="0"/>
    <x v="2"/>
    <n v="5469.01"/>
  </r>
  <r>
    <n v="36"/>
    <s v="male"/>
    <n v="34.4"/>
    <n v="2"/>
    <x v="0"/>
    <x v="3"/>
    <n v="5584.31"/>
  </r>
  <r>
    <n v="36"/>
    <s v="male"/>
    <n v="28"/>
    <n v="1"/>
    <x v="1"/>
    <x v="2"/>
    <n v="20773.63"/>
  </r>
  <r>
    <n v="36"/>
    <s v="female"/>
    <n v="25.8"/>
    <n v="0"/>
    <x v="0"/>
    <x v="0"/>
    <n v="5266.37"/>
  </r>
  <r>
    <n v="36"/>
    <s v="male"/>
    <n v="33.799999999999997"/>
    <n v="1"/>
    <x v="0"/>
    <x v="0"/>
    <n v="5377.46"/>
  </r>
  <r>
    <n v="36"/>
    <s v="male"/>
    <n v="31.5"/>
    <n v="0"/>
    <x v="0"/>
    <x v="1"/>
    <n v="4402.2299999999996"/>
  </r>
  <r>
    <n v="36"/>
    <s v="female"/>
    <n v="19.899999999999999"/>
    <n v="0"/>
    <x v="0"/>
    <x v="2"/>
    <n v="5458.05"/>
  </r>
  <r>
    <n v="36"/>
    <s v="female"/>
    <n v="30"/>
    <n v="0"/>
    <x v="0"/>
    <x v="0"/>
    <n v="5272.18"/>
  </r>
  <r>
    <n v="36"/>
    <s v="female"/>
    <n v="29"/>
    <n v="4"/>
    <x v="0"/>
    <x v="3"/>
    <n v="7243.81"/>
  </r>
  <r>
    <n v="36"/>
    <s v="female"/>
    <n v="29.9"/>
    <n v="0"/>
    <x v="0"/>
    <x v="3"/>
    <n v="4889.04"/>
  </r>
  <r>
    <n v="36"/>
    <s v="female"/>
    <n v="26.9"/>
    <n v="0"/>
    <x v="0"/>
    <x v="0"/>
    <n v="5267.82"/>
  </r>
  <r>
    <n v="36"/>
    <s v="male"/>
    <n v="28.6"/>
    <n v="3"/>
    <x v="0"/>
    <x v="0"/>
    <n v="6548.2"/>
  </r>
  <r>
    <n v="36"/>
    <s v="female"/>
    <n v="22.1"/>
    <n v="3"/>
    <x v="0"/>
    <x v="2"/>
    <n v="7228.22"/>
  </r>
  <r>
    <n v="36"/>
    <s v="male"/>
    <n v="33.4"/>
    <n v="2"/>
    <x v="1"/>
    <x v="1"/>
    <n v="38415.47"/>
  </r>
  <r>
    <n v="36"/>
    <s v="male"/>
    <n v="30.9"/>
    <n v="1"/>
    <x v="0"/>
    <x v="0"/>
    <n v="5373.36"/>
  </r>
  <r>
    <n v="36"/>
    <s v="female"/>
    <n v="25.9"/>
    <n v="1"/>
    <x v="0"/>
    <x v="1"/>
    <n v="5472.45"/>
  </r>
  <r>
    <n v="35"/>
    <s v="male"/>
    <n v="36.700000000000003"/>
    <n v="1"/>
    <x v="1"/>
    <x v="2"/>
    <n v="39774.28"/>
  </r>
  <r>
    <n v="35"/>
    <s v="male"/>
    <n v="34.799999999999997"/>
    <n v="2"/>
    <x v="0"/>
    <x v="0"/>
    <n v="5729.01"/>
  </r>
  <r>
    <n v="35"/>
    <s v="male"/>
    <n v="24.1"/>
    <n v="1"/>
    <x v="0"/>
    <x v="0"/>
    <n v="5125.22"/>
  </r>
  <r>
    <n v="35"/>
    <s v="female"/>
    <n v="34.799999999999997"/>
    <n v="1"/>
    <x v="0"/>
    <x v="1"/>
    <n v="5246.05"/>
  </r>
  <r>
    <n v="35"/>
    <s v="male"/>
    <n v="27.7"/>
    <n v="2"/>
    <x v="1"/>
    <x v="2"/>
    <n v="20984.09"/>
  </r>
  <r>
    <n v="35"/>
    <s v="male"/>
    <n v="30.5"/>
    <n v="1"/>
    <x v="0"/>
    <x v="1"/>
    <n v="4751.07"/>
  </r>
  <r>
    <n v="35"/>
    <s v="female"/>
    <n v="43.3"/>
    <n v="2"/>
    <x v="0"/>
    <x v="3"/>
    <n v="5846.92"/>
  </r>
  <r>
    <n v="35"/>
    <s v="male"/>
    <n v="28.9"/>
    <n v="3"/>
    <x v="0"/>
    <x v="1"/>
    <n v="5926.85"/>
  </r>
  <r>
    <n v="35"/>
    <s v="male"/>
    <n v="38.6"/>
    <n v="1"/>
    <x v="0"/>
    <x v="1"/>
    <n v="4762.33"/>
  </r>
  <r>
    <n v="35"/>
    <s v="female"/>
    <n v="31"/>
    <n v="1"/>
    <x v="0"/>
    <x v="1"/>
    <n v="5240.7700000000004"/>
  </r>
  <r>
    <n v="35"/>
    <s v="female"/>
    <n v="34.1"/>
    <n v="3"/>
    <x v="1"/>
    <x v="0"/>
    <n v="39983.43"/>
  </r>
  <r>
    <n v="35"/>
    <s v="female"/>
    <n v="38.1"/>
    <n v="2"/>
    <x v="0"/>
    <x v="2"/>
    <n v="24915.05"/>
  </r>
  <r>
    <n v="35"/>
    <s v="male"/>
    <n v="24.4"/>
    <n v="3"/>
    <x v="1"/>
    <x v="3"/>
    <n v="19362"/>
  </r>
  <r>
    <n v="35"/>
    <s v="male"/>
    <n v="34.299999999999997"/>
    <n v="3"/>
    <x v="0"/>
    <x v="3"/>
    <n v="5934.38"/>
  </r>
  <r>
    <n v="35"/>
    <s v="female"/>
    <n v="27.7"/>
    <n v="3"/>
    <x v="0"/>
    <x v="1"/>
    <n v="6414.18"/>
  </r>
  <r>
    <n v="35"/>
    <s v="female"/>
    <n v="23.5"/>
    <n v="2"/>
    <x v="0"/>
    <x v="2"/>
    <n v="6402.29"/>
  </r>
  <r>
    <n v="35"/>
    <s v="female"/>
    <n v="34.200000000000003"/>
    <n v="1"/>
    <x v="0"/>
    <x v="3"/>
    <n v="5245.23"/>
  </r>
  <r>
    <n v="35"/>
    <s v="male"/>
    <n v="27.1"/>
    <n v="1"/>
    <x v="0"/>
    <x v="1"/>
    <n v="4746.34"/>
  </r>
  <r>
    <n v="35"/>
    <s v="female"/>
    <n v="28"/>
    <n v="0"/>
    <x v="1"/>
    <x v="0"/>
    <n v="20234.849999999999"/>
  </r>
  <r>
    <n v="35"/>
    <s v="female"/>
    <n v="35.9"/>
    <n v="2"/>
    <x v="0"/>
    <x v="3"/>
    <n v="5836.52"/>
  </r>
  <r>
    <n v="35"/>
    <s v="female"/>
    <n v="35.799999999999997"/>
    <n v="1"/>
    <x v="0"/>
    <x v="0"/>
    <n v="5630.46"/>
  </r>
  <r>
    <n v="35"/>
    <s v="female"/>
    <n v="26.1"/>
    <n v="0"/>
    <x v="0"/>
    <x v="2"/>
    <n v="5227.99"/>
  </r>
  <r>
    <n v="35"/>
    <s v="male"/>
    <n v="17.899999999999999"/>
    <n v="1"/>
    <x v="0"/>
    <x v="0"/>
    <n v="5116.5"/>
  </r>
  <r>
    <n v="35"/>
    <s v="male"/>
    <n v="27.6"/>
    <n v="1"/>
    <x v="0"/>
    <x v="3"/>
    <n v="4747.05"/>
  </r>
  <r>
    <n v="35"/>
    <s v="male"/>
    <n v="39.700000000000003"/>
    <n v="4"/>
    <x v="0"/>
    <x v="2"/>
    <n v="19496.72"/>
  </r>
  <r>
    <n v="34"/>
    <s v="female"/>
    <n v="31.9"/>
    <n v="1"/>
    <x v="1"/>
    <x v="2"/>
    <n v="37701.879999999997"/>
  </r>
  <r>
    <n v="34"/>
    <s v="female"/>
    <n v="37.299999999999997"/>
    <n v="2"/>
    <x v="0"/>
    <x v="0"/>
    <n v="5989.52"/>
  </r>
  <r>
    <n v="34"/>
    <s v="female"/>
    <n v="27.5"/>
    <n v="1"/>
    <x v="0"/>
    <x v="1"/>
    <n v="5003.8500000000004"/>
  </r>
  <r>
    <n v="34"/>
    <s v="male"/>
    <n v="22.4"/>
    <n v="2"/>
    <x v="0"/>
    <x v="2"/>
    <n v="27375.9"/>
  </r>
  <r>
    <n v="34"/>
    <s v="male"/>
    <n v="25.3"/>
    <n v="2"/>
    <x v="1"/>
    <x v="3"/>
    <n v="18972.5"/>
  </r>
  <r>
    <n v="34"/>
    <s v="female"/>
    <n v="26.7"/>
    <n v="1"/>
    <x v="0"/>
    <x v="3"/>
    <n v="5002.78"/>
  </r>
  <r>
    <n v="34"/>
    <s v="female"/>
    <n v="33.700000000000003"/>
    <n v="1"/>
    <x v="0"/>
    <x v="1"/>
    <n v="5012.47"/>
  </r>
  <r>
    <n v="34"/>
    <s v="male"/>
    <n v="25.3"/>
    <n v="1"/>
    <x v="0"/>
    <x v="0"/>
    <n v="4894.75"/>
  </r>
  <r>
    <n v="34"/>
    <s v="male"/>
    <n v="30.8"/>
    <n v="0"/>
    <x v="1"/>
    <x v="1"/>
    <n v="35491.64"/>
  </r>
  <r>
    <n v="34"/>
    <s v="female"/>
    <n v="29.3"/>
    <n v="3"/>
    <x v="0"/>
    <x v="3"/>
    <n v="6184.3"/>
  </r>
  <r>
    <n v="34"/>
    <s v="female"/>
    <n v="38"/>
    <n v="3"/>
    <x v="0"/>
    <x v="1"/>
    <n v="6196.45"/>
  </r>
  <r>
    <n v="34"/>
    <s v="male"/>
    <n v="34.200000000000003"/>
    <n v="0"/>
    <x v="0"/>
    <x v="3"/>
    <n v="3935.18"/>
  </r>
  <r>
    <n v="34"/>
    <s v="female"/>
    <n v="30.2"/>
    <n v="1"/>
    <x v="1"/>
    <x v="0"/>
    <n v="43943.88"/>
  </r>
  <r>
    <n v="34"/>
    <s v="female"/>
    <n v="33.299999999999997"/>
    <n v="1"/>
    <x v="0"/>
    <x v="2"/>
    <n v="5594.85"/>
  </r>
  <r>
    <n v="34"/>
    <s v="female"/>
    <n v="19"/>
    <n v="3"/>
    <x v="0"/>
    <x v="2"/>
    <n v="6753.04"/>
  </r>
  <r>
    <n v="34"/>
    <s v="female"/>
    <n v="26.4"/>
    <n v="1"/>
    <x v="0"/>
    <x v="0"/>
    <n v="5385.34"/>
  </r>
  <r>
    <n v="34"/>
    <s v="male"/>
    <n v="27"/>
    <n v="2"/>
    <x v="0"/>
    <x v="1"/>
    <n v="11737.85"/>
  </r>
  <r>
    <n v="34"/>
    <s v="male"/>
    <n v="35.799999999999997"/>
    <n v="0"/>
    <x v="0"/>
    <x v="0"/>
    <n v="4320.41"/>
  </r>
  <r>
    <n v="34"/>
    <s v="male"/>
    <n v="27.8"/>
    <n v="1"/>
    <x v="1"/>
    <x v="0"/>
    <n v="20009.63"/>
  </r>
  <r>
    <n v="34"/>
    <s v="female"/>
    <n v="23.6"/>
    <n v="0"/>
    <x v="0"/>
    <x v="2"/>
    <n v="4992.38"/>
  </r>
  <r>
    <n v="34"/>
    <s v="male"/>
    <n v="21.4"/>
    <n v="0"/>
    <x v="0"/>
    <x v="2"/>
    <n v="4500.34"/>
  </r>
  <r>
    <n v="34"/>
    <s v="male"/>
    <n v="34.700000000000003"/>
    <n v="0"/>
    <x v="0"/>
    <x v="2"/>
    <n v="4518.83"/>
  </r>
  <r>
    <n v="34"/>
    <s v="male"/>
    <n v="32.799999999999997"/>
    <n v="1"/>
    <x v="0"/>
    <x v="1"/>
    <n v="14358.36"/>
  </r>
  <r>
    <n v="34"/>
    <s v="male"/>
    <n v="42.1"/>
    <n v="2"/>
    <x v="0"/>
    <x v="3"/>
    <n v="5124.1899999999996"/>
  </r>
  <r>
    <n v="34"/>
    <s v="female"/>
    <n v="27.7"/>
    <n v="0"/>
    <x v="0"/>
    <x v="3"/>
    <n v="4415.16"/>
  </r>
  <r>
    <n v="34"/>
    <s v="male"/>
    <n v="42.9"/>
    <n v="1"/>
    <x v="0"/>
    <x v="1"/>
    <n v="4536.26"/>
  </r>
  <r>
    <n v="33"/>
    <s v="male"/>
    <n v="22.7"/>
    <n v="0"/>
    <x v="0"/>
    <x v="0"/>
    <n v="21984.47"/>
  </r>
  <r>
    <n v="33"/>
    <s v="female"/>
    <n v="22.1"/>
    <n v="1"/>
    <x v="0"/>
    <x v="2"/>
    <n v="5354.07"/>
  </r>
  <r>
    <n v="33"/>
    <s v="male"/>
    <n v="35.799999999999997"/>
    <n v="2"/>
    <x v="0"/>
    <x v="3"/>
    <n v="4890"/>
  </r>
  <r>
    <n v="33"/>
    <s v="male"/>
    <n v="35.200000000000003"/>
    <n v="0"/>
    <x v="0"/>
    <x v="2"/>
    <n v="12404.88"/>
  </r>
  <r>
    <n v="33"/>
    <s v="female"/>
    <n v="24.3"/>
    <n v="0"/>
    <x v="0"/>
    <x v="3"/>
    <n v="4185.1000000000004"/>
  </r>
  <r>
    <n v="33"/>
    <s v="female"/>
    <n v="33.5"/>
    <n v="0"/>
    <x v="1"/>
    <x v="1"/>
    <n v="37079.370000000003"/>
  </r>
  <r>
    <n v="33"/>
    <s v="female"/>
    <n v="38.9"/>
    <n v="3"/>
    <x v="0"/>
    <x v="1"/>
    <n v="5972.38"/>
  </r>
  <r>
    <n v="33"/>
    <s v="female"/>
    <n v="28.3"/>
    <n v="1"/>
    <x v="0"/>
    <x v="3"/>
    <n v="4779.6000000000004"/>
  </r>
  <r>
    <n v="33"/>
    <s v="male"/>
    <n v="42.5"/>
    <n v="1"/>
    <x v="0"/>
    <x v="3"/>
    <n v="11326.71"/>
  </r>
  <r>
    <n v="33"/>
    <s v="male"/>
    <n v="42.4"/>
    <n v="5"/>
    <x v="0"/>
    <x v="1"/>
    <n v="6666.24"/>
  </r>
  <r>
    <n v="33"/>
    <s v="female"/>
    <n v="18.5"/>
    <n v="1"/>
    <x v="0"/>
    <x v="1"/>
    <n v="4766.0200000000004"/>
  </r>
  <r>
    <n v="33"/>
    <s v="female"/>
    <n v="32.9"/>
    <n v="2"/>
    <x v="0"/>
    <x v="1"/>
    <n v="5375.04"/>
  </r>
  <r>
    <n v="33"/>
    <s v="male"/>
    <n v="27.1"/>
    <n v="1"/>
    <x v="1"/>
    <x v="1"/>
    <n v="19040.88"/>
  </r>
  <r>
    <n v="33"/>
    <s v="male"/>
    <n v="24.8"/>
    <n v="0"/>
    <x v="1"/>
    <x v="2"/>
    <n v="17904.53"/>
  </r>
  <r>
    <n v="33"/>
    <s v="female"/>
    <n v="42.9"/>
    <n v="3"/>
    <x v="0"/>
    <x v="0"/>
    <n v="6360.99"/>
  </r>
  <r>
    <n v="33"/>
    <s v="female"/>
    <n v="35.5"/>
    <n v="0"/>
    <x v="1"/>
    <x v="0"/>
    <n v="55135.4"/>
  </r>
  <r>
    <n v="33"/>
    <s v="male"/>
    <n v="33.4"/>
    <n v="5"/>
    <x v="0"/>
    <x v="3"/>
    <n v="6653.79"/>
  </r>
  <r>
    <n v="33"/>
    <s v="male"/>
    <n v="24.6"/>
    <n v="2"/>
    <x v="0"/>
    <x v="0"/>
    <n v="5257.51"/>
  </r>
  <r>
    <n v="33"/>
    <s v="female"/>
    <n v="36.299999999999997"/>
    <n v="3"/>
    <x v="0"/>
    <x v="2"/>
    <n v="6551.75"/>
  </r>
  <r>
    <n v="33"/>
    <s v="female"/>
    <n v="19.100000000000001"/>
    <n v="2"/>
    <x v="1"/>
    <x v="2"/>
    <n v="16776.3"/>
  </r>
  <r>
    <n v="33"/>
    <s v="male"/>
    <n v="35.799999999999997"/>
    <n v="1"/>
    <x v="1"/>
    <x v="3"/>
    <n v="38282.75"/>
  </r>
  <r>
    <n v="33"/>
    <s v="male"/>
    <n v="30.3"/>
    <n v="0"/>
    <x v="0"/>
    <x v="3"/>
    <n v="3704.35"/>
  </r>
  <r>
    <n v="33"/>
    <s v="female"/>
    <n v="39.799999999999997"/>
    <n v="1"/>
    <x v="0"/>
    <x v="3"/>
    <n v="4795.66"/>
  </r>
  <r>
    <n v="33"/>
    <s v="male"/>
    <n v="29.4"/>
    <n v="4"/>
    <x v="0"/>
    <x v="1"/>
    <n v="6059.17"/>
  </r>
  <r>
    <n v="33"/>
    <s v="male"/>
    <n v="27.5"/>
    <n v="2"/>
    <x v="0"/>
    <x v="0"/>
    <n v="5261.47"/>
  </r>
  <r>
    <n v="33"/>
    <s v="female"/>
    <n v="26.7"/>
    <n v="0"/>
    <x v="0"/>
    <x v="0"/>
    <n v="4571.41"/>
  </r>
  <r>
    <n v="32"/>
    <s v="male"/>
    <n v="28.9"/>
    <n v="0"/>
    <x v="0"/>
    <x v="0"/>
    <n v="3866.86"/>
  </r>
  <r>
    <n v="32"/>
    <s v="female"/>
    <n v="17.8"/>
    <n v="2"/>
    <x v="1"/>
    <x v="0"/>
    <n v="32734.19"/>
  </r>
  <r>
    <n v="32"/>
    <s v="female"/>
    <n v="37.1"/>
    <n v="3"/>
    <x v="0"/>
    <x v="2"/>
    <n v="6334.34"/>
  </r>
  <r>
    <n v="32"/>
    <s v="female"/>
    <n v="29.8"/>
    <n v="2"/>
    <x v="0"/>
    <x v="1"/>
    <n v="5152.13"/>
  </r>
  <r>
    <n v="32"/>
    <s v="female"/>
    <n v="33.200000000000003"/>
    <n v="3"/>
    <x v="0"/>
    <x v="0"/>
    <n v="6128.8"/>
  </r>
  <r>
    <n v="32"/>
    <s v="male"/>
    <n v="30.8"/>
    <n v="3"/>
    <x v="0"/>
    <x v="1"/>
    <n v="5253.52"/>
  </r>
  <r>
    <n v="32"/>
    <s v="male"/>
    <n v="37.299999999999997"/>
    <n v="1"/>
    <x v="0"/>
    <x v="2"/>
    <n v="4667.6099999999997"/>
  </r>
  <r>
    <n v="32"/>
    <s v="male"/>
    <n v="30"/>
    <n v="1"/>
    <x v="0"/>
    <x v="3"/>
    <n v="4074.45"/>
  </r>
  <r>
    <n v="32"/>
    <s v="male"/>
    <n v="46.5"/>
    <n v="2"/>
    <x v="0"/>
    <x v="3"/>
    <n v="4686.3900000000003"/>
  </r>
  <r>
    <n v="32"/>
    <s v="female"/>
    <n v="44.2"/>
    <n v="0"/>
    <x v="0"/>
    <x v="3"/>
    <n v="3994.18"/>
  </r>
  <r>
    <n v="32"/>
    <s v="female"/>
    <n v="28.9"/>
    <n v="0"/>
    <x v="0"/>
    <x v="3"/>
    <n v="3972.92"/>
  </r>
  <r>
    <n v="32"/>
    <s v="female"/>
    <n v="23.7"/>
    <n v="1"/>
    <x v="0"/>
    <x v="3"/>
    <n v="17626.240000000002"/>
  </r>
  <r>
    <n v="32"/>
    <s v="female"/>
    <n v="31.5"/>
    <n v="1"/>
    <x v="0"/>
    <x v="2"/>
    <n v="5148.55"/>
  </r>
  <r>
    <n v="32"/>
    <s v="male"/>
    <n v="28.9"/>
    <n v="1"/>
    <x v="1"/>
    <x v="3"/>
    <n v="19719.689999999999"/>
  </r>
  <r>
    <n v="32"/>
    <s v="female"/>
    <n v="24.6"/>
    <n v="0"/>
    <x v="1"/>
    <x v="1"/>
    <n v="17496.310000000001"/>
  </r>
  <r>
    <n v="32"/>
    <s v="male"/>
    <n v="37.200000000000003"/>
    <n v="2"/>
    <x v="0"/>
    <x v="3"/>
    <n v="4673.3900000000003"/>
  </r>
  <r>
    <n v="32"/>
    <s v="male"/>
    <n v="33.799999999999997"/>
    <n v="1"/>
    <x v="0"/>
    <x v="0"/>
    <n v="4462.72"/>
  </r>
  <r>
    <n v="32"/>
    <s v="female"/>
    <n v="29.6"/>
    <n v="1"/>
    <x v="0"/>
    <x v="3"/>
    <n v="4562.84"/>
  </r>
  <r>
    <n v="32"/>
    <s v="male"/>
    <n v="27.8"/>
    <n v="1"/>
    <x v="0"/>
    <x v="0"/>
    <n v="4454.3999999999996"/>
  </r>
  <r>
    <n v="32"/>
    <s v="male"/>
    <n v="31.5"/>
    <n v="1"/>
    <x v="0"/>
    <x v="1"/>
    <n v="4076.5"/>
  </r>
  <r>
    <n v="32"/>
    <s v="female"/>
    <n v="41.1"/>
    <n v="0"/>
    <x v="0"/>
    <x v="1"/>
    <n v="3989.84"/>
  </r>
  <r>
    <n v="32"/>
    <s v="male"/>
    <n v="35.200000000000003"/>
    <n v="2"/>
    <x v="0"/>
    <x v="1"/>
    <n v="4670.6400000000003"/>
  </r>
  <r>
    <n v="32"/>
    <s v="male"/>
    <n v="33.6"/>
    <n v="1"/>
    <x v="1"/>
    <x v="2"/>
    <n v="37607.53"/>
  </r>
  <r>
    <n v="32"/>
    <s v="female"/>
    <n v="20.5"/>
    <n v="0"/>
    <x v="0"/>
    <x v="2"/>
    <n v="4544.2299999999996"/>
  </r>
  <r>
    <n v="32"/>
    <s v="female"/>
    <n v="29.7"/>
    <n v="0"/>
    <x v="0"/>
    <x v="0"/>
    <n v="4357.04"/>
  </r>
  <r>
    <n v="32"/>
    <s v="male"/>
    <n v="28.1"/>
    <n v="4"/>
    <x v="1"/>
    <x v="0"/>
    <n v="21472.48"/>
  </r>
  <r>
    <n v="31"/>
    <s v="female"/>
    <n v="25.7"/>
    <n v="0"/>
    <x v="0"/>
    <x v="3"/>
    <n v="3756.62"/>
  </r>
  <r>
    <n v="31"/>
    <s v="male"/>
    <n v="36.299999999999997"/>
    <n v="2"/>
    <x v="1"/>
    <x v="1"/>
    <n v="38711"/>
  </r>
  <r>
    <n v="31"/>
    <s v="female"/>
    <n v="36.6"/>
    <n v="2"/>
    <x v="0"/>
    <x v="3"/>
    <n v="4949.76"/>
  </r>
  <r>
    <n v="31"/>
    <s v="male"/>
    <n v="28.5"/>
    <n v="5"/>
    <x v="0"/>
    <x v="2"/>
    <n v="6799.46"/>
  </r>
  <r>
    <n v="31"/>
    <s v="male"/>
    <n v="26.9"/>
    <n v="1"/>
    <x v="0"/>
    <x v="2"/>
    <n v="4441.21"/>
  </r>
  <r>
    <n v="31"/>
    <s v="male"/>
    <n v="38.4"/>
    <n v="2"/>
    <x v="0"/>
    <x v="3"/>
    <n v="4463.21"/>
  </r>
  <r>
    <n v="31"/>
    <s v="male"/>
    <n v="34.4"/>
    <n v="3"/>
    <x v="1"/>
    <x v="0"/>
    <n v="38746.36"/>
  </r>
  <r>
    <n v="31"/>
    <s v="male"/>
    <n v="20.399999999999999"/>
    <n v="0"/>
    <x v="0"/>
    <x v="1"/>
    <n v="3260.2"/>
  </r>
  <r>
    <n v="31"/>
    <s v="male"/>
    <n v="28.6"/>
    <n v="1"/>
    <x v="0"/>
    <x v="0"/>
    <n v="4243.59"/>
  </r>
  <r>
    <n v="31"/>
    <s v="female"/>
    <n v="32.700000000000003"/>
    <n v="1"/>
    <x v="0"/>
    <x v="0"/>
    <n v="4738.2700000000004"/>
  </r>
  <r>
    <n v="31"/>
    <s v="female"/>
    <n v="31.1"/>
    <n v="0"/>
    <x v="0"/>
    <x v="2"/>
    <n v="4347.0200000000004"/>
  </r>
  <r>
    <n v="31"/>
    <s v="female"/>
    <n v="23.6"/>
    <n v="2"/>
    <x v="0"/>
    <x v="1"/>
    <n v="4931.6499999999996"/>
  </r>
  <r>
    <n v="31"/>
    <s v="male"/>
    <n v="30.9"/>
    <n v="0"/>
    <x v="0"/>
    <x v="2"/>
    <n v="3857.76"/>
  </r>
  <r>
    <n v="31"/>
    <s v="female"/>
    <n v="29.1"/>
    <n v="0"/>
    <x v="0"/>
    <x v="1"/>
    <n v="3761.29"/>
  </r>
  <r>
    <n v="31"/>
    <s v="female"/>
    <n v="38.1"/>
    <n v="1"/>
    <x v="1"/>
    <x v="2"/>
    <n v="58571.07"/>
  </r>
  <r>
    <n v="31"/>
    <s v="female"/>
    <n v="30.5"/>
    <n v="3"/>
    <x v="0"/>
    <x v="2"/>
    <n v="6113.23"/>
  </r>
  <r>
    <n v="31"/>
    <s v="female"/>
    <n v="26.6"/>
    <n v="0"/>
    <x v="0"/>
    <x v="3"/>
    <n v="3757.84"/>
  </r>
  <r>
    <n v="31"/>
    <s v="male"/>
    <n v="27.6"/>
    <n v="2"/>
    <x v="0"/>
    <x v="2"/>
    <n v="5031.2700000000004"/>
  </r>
  <r>
    <n v="31"/>
    <s v="female"/>
    <n v="29.3"/>
    <n v="1"/>
    <x v="0"/>
    <x v="3"/>
    <n v="4350.51"/>
  </r>
  <r>
    <n v="31"/>
    <s v="male"/>
    <n v="39.5"/>
    <n v="1"/>
    <x v="0"/>
    <x v="3"/>
    <n v="3875.73"/>
  </r>
  <r>
    <n v="31"/>
    <s v="male"/>
    <n v="25.9"/>
    <n v="3"/>
    <x v="1"/>
    <x v="1"/>
    <n v="19199.939999999999"/>
  </r>
  <r>
    <n v="31"/>
    <s v="male"/>
    <n v="29.8"/>
    <n v="0"/>
    <x v="1"/>
    <x v="3"/>
    <n v="19350.37"/>
  </r>
  <r>
    <n v="31"/>
    <s v="female"/>
    <n v="32.799999999999997"/>
    <n v="2"/>
    <x v="0"/>
    <x v="0"/>
    <n v="5327.4"/>
  </r>
  <r>
    <n v="31"/>
    <s v="female"/>
    <n v="21.8"/>
    <n v="0"/>
    <x v="0"/>
    <x v="0"/>
    <n v="4134.08"/>
  </r>
  <r>
    <n v="31"/>
    <s v="female"/>
    <n v="25.8"/>
    <n v="2"/>
    <x v="0"/>
    <x v="1"/>
    <n v="4934.71"/>
  </r>
  <r>
    <n v="31"/>
    <s v="male"/>
    <n v="31.1"/>
    <n v="3"/>
    <x v="0"/>
    <x v="0"/>
    <n v="5425.02"/>
  </r>
  <r>
    <n v="31"/>
    <s v="male"/>
    <n v="25.9"/>
    <n v="1"/>
    <x v="0"/>
    <x v="0"/>
    <n v="4239.8900000000003"/>
  </r>
  <r>
    <n v="30"/>
    <s v="male"/>
    <n v="35.299999999999997"/>
    <n v="0"/>
    <x v="1"/>
    <x v="1"/>
    <n v="36837.47"/>
  </r>
  <r>
    <n v="30"/>
    <s v="female"/>
    <n v="32.4"/>
    <n v="1"/>
    <x v="0"/>
    <x v="1"/>
    <n v="4149.74"/>
  </r>
  <r>
    <n v="30"/>
    <s v="male"/>
    <n v="25.5"/>
    <n v="0"/>
    <x v="0"/>
    <x v="2"/>
    <n v="3645.09"/>
  </r>
  <r>
    <n v="30"/>
    <s v="male"/>
    <n v="28.7"/>
    <n v="3"/>
    <x v="1"/>
    <x v="0"/>
    <n v="20745.990000000002"/>
  </r>
  <r>
    <n v="30"/>
    <s v="male"/>
    <n v="35.5"/>
    <n v="0"/>
    <x v="1"/>
    <x v="3"/>
    <n v="36950.26"/>
  </r>
  <r>
    <n v="30"/>
    <s v="female"/>
    <n v="30.9"/>
    <n v="3"/>
    <x v="0"/>
    <x v="1"/>
    <n v="5325.65"/>
  </r>
  <r>
    <n v="30"/>
    <s v="male"/>
    <n v="27.6"/>
    <n v="1"/>
    <x v="0"/>
    <x v="2"/>
    <n v="4237.13"/>
  </r>
  <r>
    <n v="30"/>
    <s v="female"/>
    <n v="33.299999999999997"/>
    <n v="1"/>
    <x v="0"/>
    <x v="3"/>
    <n v="4151.03"/>
  </r>
  <r>
    <n v="30"/>
    <s v="female"/>
    <n v="27.7"/>
    <n v="0"/>
    <x v="0"/>
    <x v="1"/>
    <n v="3554.2"/>
  </r>
  <r>
    <n v="30"/>
    <s v="male"/>
    <n v="24.1"/>
    <n v="1"/>
    <x v="0"/>
    <x v="0"/>
    <n v="4032.24"/>
  </r>
  <r>
    <n v="30"/>
    <s v="female"/>
    <n v="28.4"/>
    <n v="1"/>
    <x v="1"/>
    <x v="3"/>
    <n v="19521.97"/>
  </r>
  <r>
    <n v="30"/>
    <s v="female"/>
    <n v="43.1"/>
    <n v="2"/>
    <x v="0"/>
    <x v="3"/>
    <n v="4753.6400000000003"/>
  </r>
  <r>
    <n v="30"/>
    <s v="male"/>
    <n v="37.799999999999997"/>
    <n v="2"/>
    <x v="1"/>
    <x v="1"/>
    <n v="39241.440000000002"/>
  </r>
  <r>
    <n v="30"/>
    <s v="male"/>
    <n v="31.4"/>
    <n v="1"/>
    <x v="0"/>
    <x v="1"/>
    <n v="3659.35"/>
  </r>
  <r>
    <n v="30"/>
    <s v="male"/>
    <n v="31.6"/>
    <n v="3"/>
    <x v="0"/>
    <x v="3"/>
    <n v="4837.58"/>
  </r>
  <r>
    <n v="30"/>
    <s v="female"/>
    <n v="39.1"/>
    <n v="3"/>
    <x v="1"/>
    <x v="3"/>
    <n v="40932.43"/>
  </r>
  <r>
    <n v="30"/>
    <s v="male"/>
    <n v="37.4"/>
    <n v="3"/>
    <x v="0"/>
    <x v="2"/>
    <n v="5428.73"/>
  </r>
  <r>
    <n v="30"/>
    <s v="male"/>
    <n v="24.4"/>
    <n v="3"/>
    <x v="1"/>
    <x v="1"/>
    <n v="18259.22"/>
  </r>
  <r>
    <n v="30"/>
    <s v="male"/>
    <n v="44.2"/>
    <n v="2"/>
    <x v="0"/>
    <x v="3"/>
    <n v="4266.17"/>
  </r>
  <r>
    <n v="30"/>
    <s v="female"/>
    <n v="22.9"/>
    <n v="1"/>
    <x v="0"/>
    <x v="2"/>
    <n v="4719.5200000000004"/>
  </r>
  <r>
    <n v="30"/>
    <s v="female"/>
    <n v="28.4"/>
    <n v="1"/>
    <x v="0"/>
    <x v="0"/>
    <n v="4527.18"/>
  </r>
  <r>
    <n v="30"/>
    <s v="male"/>
    <n v="23"/>
    <n v="2"/>
    <x v="1"/>
    <x v="0"/>
    <n v="17361.77"/>
  </r>
  <r>
    <n v="30"/>
    <s v="female"/>
    <n v="27.9"/>
    <n v="0"/>
    <x v="0"/>
    <x v="2"/>
    <n v="4137.5200000000004"/>
  </r>
  <r>
    <n v="30"/>
    <s v="female"/>
    <n v="20"/>
    <n v="3"/>
    <x v="0"/>
    <x v="0"/>
    <n v="5693.43"/>
  </r>
  <r>
    <n v="30"/>
    <s v="male"/>
    <n v="38.799999999999997"/>
    <n v="1"/>
    <x v="0"/>
    <x v="3"/>
    <n v="18963.169999999998"/>
  </r>
  <r>
    <n v="30"/>
    <s v="female"/>
    <n v="21.9"/>
    <n v="1"/>
    <x v="0"/>
    <x v="2"/>
    <n v="4718.2"/>
  </r>
  <r>
    <n v="30"/>
    <s v="female"/>
    <n v="23.7"/>
    <n v="3"/>
    <x v="1"/>
    <x v="0"/>
    <n v="18765.88"/>
  </r>
  <r>
    <n v="29"/>
    <s v="female"/>
    <n v="29.6"/>
    <n v="1"/>
    <x v="0"/>
    <x v="3"/>
    <n v="3947.41"/>
  </r>
  <r>
    <n v="29"/>
    <s v="male"/>
    <n v="27.9"/>
    <n v="0"/>
    <x v="0"/>
    <x v="3"/>
    <n v="2867.12"/>
  </r>
  <r>
    <n v="29"/>
    <s v="female"/>
    <n v="27.9"/>
    <n v="1"/>
    <x v="1"/>
    <x v="3"/>
    <n v="19107.78"/>
  </r>
  <r>
    <n v="29"/>
    <s v="male"/>
    <n v="29.7"/>
    <n v="2"/>
    <x v="0"/>
    <x v="0"/>
    <n v="18157.88"/>
  </r>
  <r>
    <n v="29"/>
    <s v="female"/>
    <n v="38.799999999999997"/>
    <n v="3"/>
    <x v="0"/>
    <x v="3"/>
    <n v="5138.26"/>
  </r>
  <r>
    <n v="29"/>
    <s v="female"/>
    <n v="32.1"/>
    <n v="2"/>
    <x v="0"/>
    <x v="0"/>
    <n v="4922.92"/>
  </r>
  <r>
    <n v="29"/>
    <s v="male"/>
    <n v="29"/>
    <n v="1"/>
    <x v="0"/>
    <x v="2"/>
    <n v="4040.56"/>
  </r>
  <r>
    <n v="29"/>
    <s v="male"/>
    <n v="29.6"/>
    <n v="1"/>
    <x v="0"/>
    <x v="2"/>
    <n v="20277.810000000001"/>
  </r>
  <r>
    <n v="29"/>
    <s v="male"/>
    <n v="33.299999999999997"/>
    <n v="2"/>
    <x v="0"/>
    <x v="0"/>
    <n v="19442.349999999999"/>
  </r>
  <r>
    <n v="29"/>
    <s v="male"/>
    <n v="27.2"/>
    <n v="0"/>
    <x v="0"/>
    <x v="1"/>
    <n v="2866.09"/>
  </r>
  <r>
    <n v="29"/>
    <s v="female"/>
    <n v="20.2"/>
    <n v="2"/>
    <x v="0"/>
    <x v="0"/>
    <n v="4906.41"/>
  </r>
  <r>
    <n v="29"/>
    <s v="male"/>
    <n v="34.4"/>
    <n v="0"/>
    <x v="1"/>
    <x v="1"/>
    <n v="36197.699999999997"/>
  </r>
  <r>
    <n v="29"/>
    <s v="female"/>
    <n v="26"/>
    <n v="0"/>
    <x v="0"/>
    <x v="0"/>
    <n v="3736.46"/>
  </r>
  <r>
    <n v="29"/>
    <s v="female"/>
    <n v="35.5"/>
    <n v="0"/>
    <x v="0"/>
    <x v="3"/>
    <n v="3366.67"/>
  </r>
  <r>
    <n v="29"/>
    <s v="female"/>
    <n v="31.2"/>
    <n v="0"/>
    <x v="0"/>
    <x v="2"/>
    <n v="3943.6"/>
  </r>
  <r>
    <n v="29"/>
    <s v="female"/>
    <n v="21.8"/>
    <n v="1"/>
    <x v="1"/>
    <x v="2"/>
    <n v="16657.72"/>
  </r>
  <r>
    <n v="29"/>
    <s v="male"/>
    <n v="35.5"/>
    <n v="2"/>
    <x v="1"/>
    <x v="1"/>
    <n v="44585.46"/>
  </r>
  <r>
    <n v="29"/>
    <s v="male"/>
    <n v="22.5"/>
    <n v="3"/>
    <x v="0"/>
    <x v="2"/>
    <n v="5209.58"/>
  </r>
  <r>
    <n v="29"/>
    <s v="female"/>
    <n v="25.9"/>
    <n v="0"/>
    <x v="0"/>
    <x v="1"/>
    <n v="3353.28"/>
  </r>
  <r>
    <n v="29"/>
    <s v="male"/>
    <n v="22.9"/>
    <n v="0"/>
    <x v="1"/>
    <x v="2"/>
    <n v="16138.76"/>
  </r>
  <r>
    <n v="29"/>
    <s v="male"/>
    <n v="31.7"/>
    <n v="2"/>
    <x v="0"/>
    <x v="0"/>
    <n v="4433.3900000000003"/>
  </r>
  <r>
    <n v="29"/>
    <s v="female"/>
    <n v="25.6"/>
    <n v="4"/>
    <x v="0"/>
    <x v="1"/>
    <n v="5708.87"/>
  </r>
  <r>
    <n v="29"/>
    <s v="male"/>
    <n v="38.9"/>
    <n v="1"/>
    <x v="0"/>
    <x v="3"/>
    <n v="3471.41"/>
  </r>
  <r>
    <n v="29"/>
    <s v="female"/>
    <n v="24.6"/>
    <n v="2"/>
    <x v="0"/>
    <x v="1"/>
    <n v="4529.4799999999996"/>
  </r>
  <r>
    <n v="29"/>
    <s v="male"/>
    <n v="32.1"/>
    <n v="2"/>
    <x v="0"/>
    <x v="0"/>
    <n v="4433.92"/>
  </r>
  <r>
    <n v="29"/>
    <s v="male"/>
    <n v="37.299999999999997"/>
    <n v="2"/>
    <x v="0"/>
    <x v="3"/>
    <n v="4058.12"/>
  </r>
  <r>
    <n v="29"/>
    <s v="female"/>
    <n v="21.9"/>
    <n v="0"/>
    <x v="1"/>
    <x v="2"/>
    <n v="16115.3"/>
  </r>
  <r>
    <n v="28"/>
    <s v="male"/>
    <n v="33"/>
    <n v="3"/>
    <x v="0"/>
    <x v="3"/>
    <n v="4449.46"/>
  </r>
  <r>
    <n v="28"/>
    <s v="male"/>
    <n v="36.4"/>
    <n v="1"/>
    <x v="1"/>
    <x v="1"/>
    <n v="51194.559999999998"/>
  </r>
  <r>
    <n v="28"/>
    <s v="female"/>
    <n v="34.799999999999997"/>
    <n v="0"/>
    <x v="0"/>
    <x v="0"/>
    <n v="3556.92"/>
  </r>
  <r>
    <n v="28"/>
    <s v="female"/>
    <n v="25.9"/>
    <n v="1"/>
    <x v="0"/>
    <x v="0"/>
    <n v="4133.6400000000003"/>
  </r>
  <r>
    <n v="28"/>
    <s v="male"/>
    <n v="24"/>
    <n v="3"/>
    <x v="1"/>
    <x v="3"/>
    <n v="17663.14"/>
  </r>
  <r>
    <n v="28"/>
    <s v="female"/>
    <n v="37.6"/>
    <n v="1"/>
    <x v="0"/>
    <x v="3"/>
    <n v="3766.88"/>
  </r>
  <r>
    <n v="28"/>
    <s v="female"/>
    <n v="28.9"/>
    <n v="1"/>
    <x v="0"/>
    <x v="2"/>
    <n v="4337.74"/>
  </r>
  <r>
    <n v="28"/>
    <s v="male"/>
    <n v="38.1"/>
    <n v="0"/>
    <x v="0"/>
    <x v="3"/>
    <n v="2689.5"/>
  </r>
  <r>
    <n v="28"/>
    <s v="female"/>
    <n v="33.4"/>
    <n v="0"/>
    <x v="0"/>
    <x v="1"/>
    <n v="3172.02"/>
  </r>
  <r>
    <n v="28"/>
    <s v="female"/>
    <n v="33"/>
    <n v="2"/>
    <x v="0"/>
    <x v="3"/>
    <n v="4349.46"/>
  </r>
  <r>
    <n v="28"/>
    <s v="female"/>
    <n v="27.5"/>
    <n v="2"/>
    <x v="0"/>
    <x v="1"/>
    <n v="20177.669999999998"/>
  </r>
  <r>
    <n v="28"/>
    <s v="female"/>
    <n v="24.3"/>
    <n v="1"/>
    <x v="0"/>
    <x v="2"/>
    <n v="23288.93"/>
  </r>
  <r>
    <n v="28"/>
    <s v="male"/>
    <n v="35.4"/>
    <n v="0"/>
    <x v="0"/>
    <x v="2"/>
    <n v="3268.85"/>
  </r>
  <r>
    <n v="28"/>
    <s v="male"/>
    <n v="23.8"/>
    <n v="2"/>
    <x v="0"/>
    <x v="1"/>
    <n v="3847.67"/>
  </r>
  <r>
    <n v="28"/>
    <s v="male"/>
    <n v="27"/>
    <n v="2"/>
    <x v="0"/>
    <x v="2"/>
    <n v="4435.09"/>
  </r>
  <r>
    <n v="28"/>
    <s v="male"/>
    <n v="30.9"/>
    <n v="0"/>
    <x v="0"/>
    <x v="0"/>
    <n v="3062.51"/>
  </r>
  <r>
    <n v="28"/>
    <s v="male"/>
    <n v="22.5"/>
    <n v="2"/>
    <x v="0"/>
    <x v="2"/>
    <n v="4428.8900000000003"/>
  </r>
  <r>
    <n v="28"/>
    <s v="female"/>
    <n v="23.8"/>
    <n v="2"/>
    <x v="0"/>
    <x v="0"/>
    <n v="4719.74"/>
  </r>
  <r>
    <n v="28"/>
    <s v="male"/>
    <n v="29.3"/>
    <n v="2"/>
    <x v="0"/>
    <x v="2"/>
    <n v="4438.26"/>
  </r>
  <r>
    <n v="28"/>
    <s v="female"/>
    <n v="25.8"/>
    <n v="0"/>
    <x v="0"/>
    <x v="1"/>
    <n v="3161.45"/>
  </r>
  <r>
    <n v="28"/>
    <s v="male"/>
    <n v="31.7"/>
    <n v="0"/>
    <x v="1"/>
    <x v="3"/>
    <n v="34672.15"/>
  </r>
  <r>
    <n v="28"/>
    <s v="female"/>
    <n v="26.3"/>
    <n v="3"/>
    <x v="0"/>
    <x v="0"/>
    <n v="5312.17"/>
  </r>
  <r>
    <n v="28"/>
    <s v="male"/>
    <n v="33.799999999999997"/>
    <n v="0"/>
    <x v="0"/>
    <x v="0"/>
    <n v="19673.34"/>
  </r>
  <r>
    <n v="28"/>
    <s v="female"/>
    <n v="33.1"/>
    <n v="0"/>
    <x v="0"/>
    <x v="3"/>
    <n v="3171.61"/>
  </r>
  <r>
    <n v="28"/>
    <s v="male"/>
    <n v="24.3"/>
    <n v="5"/>
    <x v="0"/>
    <x v="1"/>
    <n v="5615.37"/>
  </r>
  <r>
    <n v="28"/>
    <s v="male"/>
    <n v="37.1"/>
    <n v="1"/>
    <x v="0"/>
    <x v="1"/>
    <n v="3277.16"/>
  </r>
  <r>
    <n v="28"/>
    <s v="female"/>
    <n v="17.3"/>
    <n v="0"/>
    <x v="0"/>
    <x v="2"/>
    <n v="3732.63"/>
  </r>
  <r>
    <n v="28"/>
    <s v="female"/>
    <n v="26.5"/>
    <n v="2"/>
    <x v="0"/>
    <x v="3"/>
    <n v="4340.4399999999996"/>
  </r>
  <r>
    <n v="27"/>
    <s v="male"/>
    <n v="42.1"/>
    <n v="0"/>
    <x v="1"/>
    <x v="3"/>
    <n v="39611.760000000002"/>
  </r>
  <r>
    <n v="27"/>
    <s v="female"/>
    <n v="24.8"/>
    <n v="0"/>
    <x v="1"/>
    <x v="3"/>
    <n v="16577.78"/>
  </r>
  <r>
    <n v="27"/>
    <s v="male"/>
    <n v="18.899999999999999"/>
    <n v="3"/>
    <x v="0"/>
    <x v="2"/>
    <n v="4827.8999999999996"/>
  </r>
  <r>
    <n v="27"/>
    <s v="female"/>
    <n v="36.1"/>
    <n v="0"/>
    <x v="1"/>
    <x v="3"/>
    <n v="37133.9"/>
  </r>
  <r>
    <n v="27"/>
    <s v="male"/>
    <n v="23.1"/>
    <n v="0"/>
    <x v="0"/>
    <x v="3"/>
    <n v="2483.7399999999998"/>
  </r>
  <r>
    <n v="27"/>
    <s v="male"/>
    <n v="30.3"/>
    <n v="3"/>
    <x v="0"/>
    <x v="1"/>
    <n v="4260.74"/>
  </r>
  <r>
    <n v="27"/>
    <s v="female"/>
    <n v="31.4"/>
    <n v="0"/>
    <x v="1"/>
    <x v="1"/>
    <n v="34838.870000000003"/>
  </r>
  <r>
    <n v="27"/>
    <s v="female"/>
    <n v="23.2"/>
    <n v="1"/>
    <x v="0"/>
    <x v="3"/>
    <n v="3561.89"/>
  </r>
  <r>
    <n v="27"/>
    <s v="female"/>
    <n v="18"/>
    <n v="2"/>
    <x v="1"/>
    <x v="2"/>
    <n v="15006.58"/>
  </r>
  <r>
    <n v="27"/>
    <s v="female"/>
    <n v="30.4"/>
    <n v="3"/>
    <x v="0"/>
    <x v="0"/>
    <n v="18804.75"/>
  </r>
  <r>
    <n v="27"/>
    <s v="male"/>
    <n v="32.700000000000003"/>
    <n v="0"/>
    <x v="0"/>
    <x v="3"/>
    <n v="2497.04"/>
  </r>
  <r>
    <n v="27"/>
    <s v="male"/>
    <n v="33.700000000000003"/>
    <n v="0"/>
    <x v="0"/>
    <x v="3"/>
    <n v="2498.41"/>
  </r>
  <r>
    <n v="27"/>
    <s v="male"/>
    <n v="30.5"/>
    <n v="0"/>
    <x v="0"/>
    <x v="1"/>
    <n v="2494.02"/>
  </r>
  <r>
    <n v="27"/>
    <s v="female"/>
    <n v="25.2"/>
    <n v="0"/>
    <x v="0"/>
    <x v="2"/>
    <n v="3558.62"/>
  </r>
  <r>
    <n v="27"/>
    <s v="male"/>
    <n v="33.200000000000003"/>
    <n v="2"/>
    <x v="0"/>
    <x v="0"/>
    <n v="4058.71"/>
  </r>
  <r>
    <n v="27"/>
    <s v="male"/>
    <n v="31.1"/>
    <n v="1"/>
    <x v="1"/>
    <x v="3"/>
    <n v="34806.47"/>
  </r>
  <r>
    <n v="27"/>
    <s v="female"/>
    <n v="34.799999999999997"/>
    <n v="1"/>
    <x v="0"/>
    <x v="1"/>
    <n v="3578"/>
  </r>
  <r>
    <n v="27"/>
    <s v="male"/>
    <n v="29.2"/>
    <n v="0"/>
    <x v="1"/>
    <x v="3"/>
    <n v="18246.5"/>
  </r>
  <r>
    <n v="27"/>
    <s v="male"/>
    <n v="26"/>
    <n v="0"/>
    <x v="0"/>
    <x v="2"/>
    <n v="3070.81"/>
  </r>
  <r>
    <n v="27"/>
    <s v="male"/>
    <n v="28.5"/>
    <n v="0"/>
    <x v="1"/>
    <x v="0"/>
    <n v="18310.740000000002"/>
  </r>
  <r>
    <n v="27"/>
    <s v="female"/>
    <n v="24.1"/>
    <n v="0"/>
    <x v="0"/>
    <x v="1"/>
    <n v="2974.13"/>
  </r>
  <r>
    <n v="27"/>
    <s v="male"/>
    <n v="32.6"/>
    <n v="3"/>
    <x v="0"/>
    <x v="2"/>
    <n v="4846.92"/>
  </r>
  <r>
    <n v="27"/>
    <s v="female"/>
    <n v="30.6"/>
    <n v="1"/>
    <x v="0"/>
    <x v="2"/>
    <n v="16796.41"/>
  </r>
  <r>
    <n v="27"/>
    <s v="female"/>
    <n v="20"/>
    <n v="3"/>
    <x v="1"/>
    <x v="0"/>
    <n v="16420.490000000002"/>
  </r>
  <r>
    <n v="27"/>
    <s v="female"/>
    <n v="21.5"/>
    <n v="0"/>
    <x v="0"/>
    <x v="0"/>
    <n v="3353.47"/>
  </r>
  <r>
    <n v="27"/>
    <s v="female"/>
    <n v="32.4"/>
    <n v="1"/>
    <x v="0"/>
    <x v="2"/>
    <n v="18903.490000000002"/>
  </r>
  <r>
    <n v="27"/>
    <s v="male"/>
    <n v="45.9"/>
    <n v="2"/>
    <x v="0"/>
    <x v="1"/>
    <n v="3693.43"/>
  </r>
  <r>
    <n v="27"/>
    <s v="female"/>
    <n v="31.3"/>
    <n v="1"/>
    <x v="0"/>
    <x v="0"/>
    <n v="3956.07"/>
  </r>
  <r>
    <n v="26"/>
    <s v="male"/>
    <n v="20.8"/>
    <n v="0"/>
    <x v="0"/>
    <x v="1"/>
    <n v="2302.3000000000002"/>
  </r>
  <r>
    <n v="26"/>
    <s v="male"/>
    <n v="30.9"/>
    <n v="2"/>
    <x v="0"/>
    <x v="0"/>
    <n v="3877.3"/>
  </r>
  <r>
    <n v="26"/>
    <s v="female"/>
    <n v="28.8"/>
    <n v="0"/>
    <x v="0"/>
    <x v="2"/>
    <n v="3385.4"/>
  </r>
  <r>
    <n v="26"/>
    <s v="male"/>
    <n v="32.5"/>
    <n v="1"/>
    <x v="0"/>
    <x v="2"/>
    <n v="3490.55"/>
  </r>
  <r>
    <n v="26"/>
    <s v="female"/>
    <n v="29.9"/>
    <n v="2"/>
    <x v="0"/>
    <x v="3"/>
    <n v="3981.98"/>
  </r>
  <r>
    <n v="26"/>
    <s v="female"/>
    <n v="29.9"/>
    <n v="1"/>
    <x v="0"/>
    <x v="3"/>
    <n v="3392.98"/>
  </r>
  <r>
    <n v="26"/>
    <s v="female"/>
    <n v="29.6"/>
    <n v="4"/>
    <x v="0"/>
    <x v="2"/>
    <n v="24671.66"/>
  </r>
  <r>
    <n v="26"/>
    <s v="male"/>
    <n v="32.9"/>
    <n v="2"/>
    <x v="1"/>
    <x v="1"/>
    <n v="36085.22"/>
  </r>
  <r>
    <n v="26"/>
    <s v="female"/>
    <n v="22.6"/>
    <n v="0"/>
    <x v="0"/>
    <x v="0"/>
    <n v="3176.82"/>
  </r>
  <r>
    <n v="26"/>
    <s v="female"/>
    <n v="17.2"/>
    <n v="2"/>
    <x v="1"/>
    <x v="2"/>
    <n v="14455.64"/>
  </r>
  <r>
    <n v="26"/>
    <s v="male"/>
    <n v="29.5"/>
    <n v="0"/>
    <x v="0"/>
    <x v="2"/>
    <n v="2897.32"/>
  </r>
  <r>
    <n v="26"/>
    <s v="female"/>
    <n v="42.4"/>
    <n v="1"/>
    <x v="0"/>
    <x v="1"/>
    <n v="3410.32"/>
  </r>
  <r>
    <n v="26"/>
    <s v="female"/>
    <n v="40.200000000000003"/>
    <n v="0"/>
    <x v="0"/>
    <x v="0"/>
    <n v="3201.25"/>
  </r>
  <r>
    <n v="26"/>
    <s v="male"/>
    <n v="23.7"/>
    <n v="2"/>
    <x v="0"/>
    <x v="1"/>
    <n v="3484.33"/>
  </r>
  <r>
    <n v="26"/>
    <s v="male"/>
    <n v="17.7"/>
    <n v="0"/>
    <x v="0"/>
    <x v="0"/>
    <n v="2680.95"/>
  </r>
  <r>
    <n v="26"/>
    <s v="female"/>
    <n v="29.5"/>
    <n v="1"/>
    <x v="0"/>
    <x v="3"/>
    <n v="3392.37"/>
  </r>
  <r>
    <n v="26"/>
    <s v="male"/>
    <n v="27.3"/>
    <n v="3"/>
    <x v="0"/>
    <x v="2"/>
    <n v="4661.29"/>
  </r>
  <r>
    <n v="26"/>
    <s v="female"/>
    <n v="29.4"/>
    <n v="2"/>
    <x v="0"/>
    <x v="2"/>
    <n v="4564.1899999999996"/>
  </r>
  <r>
    <n v="26"/>
    <s v="male"/>
    <n v="46.5"/>
    <n v="1"/>
    <x v="0"/>
    <x v="3"/>
    <n v="2927.06"/>
  </r>
  <r>
    <n v="26"/>
    <s v="male"/>
    <n v="35.4"/>
    <n v="0"/>
    <x v="0"/>
    <x v="3"/>
    <n v="2322.62"/>
  </r>
  <r>
    <n v="26"/>
    <s v="male"/>
    <n v="29.2"/>
    <n v="1"/>
    <x v="0"/>
    <x v="3"/>
    <n v="2902.91"/>
  </r>
  <r>
    <n v="26"/>
    <s v="female"/>
    <n v="19.8"/>
    <n v="1"/>
    <x v="0"/>
    <x v="1"/>
    <n v="3378.91"/>
  </r>
  <r>
    <n v="26"/>
    <s v="female"/>
    <n v="34.200000000000003"/>
    <n v="2"/>
    <x v="0"/>
    <x v="1"/>
    <n v="3987.93"/>
  </r>
  <r>
    <n v="26"/>
    <s v="male"/>
    <n v="30"/>
    <n v="1"/>
    <x v="0"/>
    <x v="1"/>
    <n v="2904.09"/>
  </r>
  <r>
    <n v="26"/>
    <s v="female"/>
    <n v="22.2"/>
    <n v="0"/>
    <x v="0"/>
    <x v="0"/>
    <n v="3176.29"/>
  </r>
  <r>
    <n v="26"/>
    <s v="male"/>
    <n v="31.1"/>
    <n v="0"/>
    <x v="0"/>
    <x v="0"/>
    <n v="2699.57"/>
  </r>
  <r>
    <n v="26"/>
    <s v="male"/>
    <n v="33.9"/>
    <n v="1"/>
    <x v="0"/>
    <x v="0"/>
    <n v="3292.53"/>
  </r>
  <r>
    <n v="26"/>
    <s v="male"/>
    <n v="27.1"/>
    <n v="0"/>
    <x v="1"/>
    <x v="3"/>
    <n v="17043.34"/>
  </r>
  <r>
    <n v="25"/>
    <s v="male"/>
    <n v="26.2"/>
    <n v="0"/>
    <x v="0"/>
    <x v="2"/>
    <n v="2721.32"/>
  </r>
  <r>
    <n v="25"/>
    <s v="male"/>
    <n v="33.700000000000003"/>
    <n v="4"/>
    <x v="0"/>
    <x v="3"/>
    <n v="4504.66"/>
  </r>
  <r>
    <n v="25"/>
    <s v="male"/>
    <n v="25.7"/>
    <n v="0"/>
    <x v="0"/>
    <x v="3"/>
    <n v="2137.65"/>
  </r>
  <r>
    <n v="25"/>
    <s v="male"/>
    <n v="27.6"/>
    <n v="0"/>
    <x v="0"/>
    <x v="0"/>
    <n v="2523.17"/>
  </r>
  <r>
    <n v="25"/>
    <s v="male"/>
    <n v="45.5"/>
    <n v="2"/>
    <x v="1"/>
    <x v="3"/>
    <n v="42112.24"/>
  </r>
  <r>
    <n v="25"/>
    <s v="male"/>
    <n v="26.8"/>
    <n v="3"/>
    <x v="0"/>
    <x v="1"/>
    <n v="3906.13"/>
  </r>
  <r>
    <n v="25"/>
    <s v="male"/>
    <n v="23.9"/>
    <n v="5"/>
    <x v="0"/>
    <x v="1"/>
    <n v="5080.1000000000004"/>
  </r>
  <r>
    <n v="25"/>
    <s v="male"/>
    <n v="30.6"/>
    <n v="0"/>
    <x v="0"/>
    <x v="2"/>
    <n v="2727.4"/>
  </r>
  <r>
    <n v="25"/>
    <s v="male"/>
    <n v="35.6"/>
    <n v="0"/>
    <x v="0"/>
    <x v="0"/>
    <n v="2534.39"/>
  </r>
  <r>
    <n v="25"/>
    <s v="female"/>
    <n v="28.6"/>
    <n v="0"/>
    <x v="0"/>
    <x v="2"/>
    <n v="3213.62"/>
  </r>
  <r>
    <n v="25"/>
    <s v="female"/>
    <n v="41.3"/>
    <n v="0"/>
    <x v="0"/>
    <x v="2"/>
    <n v="17878.900000000001"/>
  </r>
  <r>
    <n v="25"/>
    <s v="female"/>
    <n v="23.5"/>
    <n v="0"/>
    <x v="0"/>
    <x v="2"/>
    <n v="3206.49"/>
  </r>
  <r>
    <n v="25"/>
    <s v="male"/>
    <n v="25.8"/>
    <n v="1"/>
    <x v="0"/>
    <x v="2"/>
    <n v="3309.79"/>
  </r>
  <r>
    <n v="25"/>
    <s v="male"/>
    <n v="24.1"/>
    <n v="0"/>
    <x v="1"/>
    <x v="0"/>
    <n v="15817.99"/>
  </r>
  <r>
    <n v="25"/>
    <s v="female"/>
    <n v="32.200000000000003"/>
    <n v="1"/>
    <x v="0"/>
    <x v="3"/>
    <n v="18218.16"/>
  </r>
  <r>
    <n v="25"/>
    <s v="female"/>
    <n v="24.3"/>
    <n v="3"/>
    <x v="0"/>
    <x v="1"/>
    <n v="4391.6499999999996"/>
  </r>
  <r>
    <n v="25"/>
    <s v="male"/>
    <n v="26.7"/>
    <n v="4"/>
    <x v="0"/>
    <x v="0"/>
    <n v="4877.9799999999996"/>
  </r>
  <r>
    <n v="25"/>
    <s v="male"/>
    <n v="29.7"/>
    <n v="3"/>
    <x v="1"/>
    <x v="1"/>
    <n v="19933.46"/>
  </r>
  <r>
    <n v="25"/>
    <s v="male"/>
    <n v="25"/>
    <n v="2"/>
    <x v="0"/>
    <x v="2"/>
    <n v="23241.47"/>
  </r>
  <r>
    <n v="25"/>
    <s v="female"/>
    <n v="22.5"/>
    <n v="1"/>
    <x v="0"/>
    <x v="0"/>
    <n v="3594.17"/>
  </r>
  <r>
    <n v="25"/>
    <s v="female"/>
    <n v="34"/>
    <n v="1"/>
    <x v="0"/>
    <x v="3"/>
    <n v="3227.12"/>
  </r>
  <r>
    <n v="25"/>
    <s v="male"/>
    <n v="33.299999999999997"/>
    <n v="2"/>
    <x v="1"/>
    <x v="3"/>
    <n v="36124.57"/>
  </r>
  <r>
    <n v="25"/>
    <s v="female"/>
    <n v="30.3"/>
    <n v="0"/>
    <x v="0"/>
    <x v="1"/>
    <n v="2632.99"/>
  </r>
  <r>
    <n v="25"/>
    <s v="female"/>
    <n v="42.1"/>
    <n v="1"/>
    <x v="0"/>
    <x v="3"/>
    <n v="3238.44"/>
  </r>
  <r>
    <n v="25"/>
    <s v="female"/>
    <n v="34.5"/>
    <n v="0"/>
    <x v="0"/>
    <x v="0"/>
    <n v="3021.81"/>
  </r>
  <r>
    <n v="25"/>
    <s v="female"/>
    <n v="26.8"/>
    <n v="2"/>
    <x v="0"/>
    <x v="0"/>
    <n v="4189.1099999999997"/>
  </r>
  <r>
    <n v="25"/>
    <s v="female"/>
    <n v="20.8"/>
    <n v="1"/>
    <x v="0"/>
    <x v="1"/>
    <n v="3208.79"/>
  </r>
  <r>
    <n v="25"/>
    <s v="female"/>
    <n v="30.2"/>
    <n v="0"/>
    <x v="1"/>
    <x v="1"/>
    <n v="33900.65"/>
  </r>
  <r>
    <n v="24"/>
    <s v="female"/>
    <n v="26.6"/>
    <n v="0"/>
    <x v="0"/>
    <x v="2"/>
    <n v="3046.06"/>
  </r>
  <r>
    <n v="24"/>
    <s v="female"/>
    <n v="33.299999999999997"/>
    <n v="0"/>
    <x v="0"/>
    <x v="0"/>
    <n v="2855.44"/>
  </r>
  <r>
    <n v="24"/>
    <s v="male"/>
    <n v="28.5"/>
    <n v="2"/>
    <x v="0"/>
    <x v="0"/>
    <n v="3537.7"/>
  </r>
  <r>
    <n v="24"/>
    <s v="female"/>
    <n v="23.2"/>
    <n v="0"/>
    <x v="0"/>
    <x v="3"/>
    <n v="25081.77"/>
  </r>
  <r>
    <n v="24"/>
    <s v="male"/>
    <n v="35.9"/>
    <n v="0"/>
    <x v="0"/>
    <x v="3"/>
    <n v="1986.93"/>
  </r>
  <r>
    <n v="24"/>
    <s v="female"/>
    <n v="27.6"/>
    <n v="0"/>
    <x v="0"/>
    <x v="1"/>
    <n v="18955.22"/>
  </r>
  <r>
    <n v="24"/>
    <s v="male"/>
    <n v="40.200000000000003"/>
    <n v="0"/>
    <x v="1"/>
    <x v="3"/>
    <n v="38126.25"/>
  </r>
  <r>
    <n v="24"/>
    <s v="female"/>
    <n v="30.2"/>
    <n v="3"/>
    <x v="0"/>
    <x v="0"/>
    <n v="4618.08"/>
  </r>
  <r>
    <n v="24"/>
    <s v="male"/>
    <n v="23.4"/>
    <n v="0"/>
    <x v="0"/>
    <x v="1"/>
    <n v="1969.61"/>
  </r>
  <r>
    <n v="24"/>
    <s v="male"/>
    <n v="28.5"/>
    <n v="0"/>
    <x v="1"/>
    <x v="2"/>
    <n v="35147.53"/>
  </r>
  <r>
    <n v="24"/>
    <s v="female"/>
    <n v="25.3"/>
    <n v="0"/>
    <x v="0"/>
    <x v="2"/>
    <n v="3044.21"/>
  </r>
  <r>
    <n v="24"/>
    <s v="male"/>
    <n v="29.3"/>
    <n v="0"/>
    <x v="0"/>
    <x v="1"/>
    <n v="1977.82"/>
  </r>
  <r>
    <n v="24"/>
    <s v="male"/>
    <n v="23.7"/>
    <n v="0"/>
    <x v="0"/>
    <x v="0"/>
    <n v="2352.9699999999998"/>
  </r>
  <r>
    <n v="24"/>
    <s v="female"/>
    <n v="22.6"/>
    <n v="0"/>
    <x v="0"/>
    <x v="1"/>
    <n v="2457.5"/>
  </r>
  <r>
    <n v="24"/>
    <s v="female"/>
    <n v="30.1"/>
    <n v="3"/>
    <x v="0"/>
    <x v="1"/>
    <n v="4234.93"/>
  </r>
  <r>
    <n v="24"/>
    <s v="male"/>
    <n v="33.6"/>
    <n v="4"/>
    <x v="0"/>
    <x v="2"/>
    <n v="17128.43"/>
  </r>
  <r>
    <n v="24"/>
    <s v="female"/>
    <n v="24.2"/>
    <n v="0"/>
    <x v="0"/>
    <x v="0"/>
    <n v="2842.76"/>
  </r>
  <r>
    <n v="24"/>
    <s v="female"/>
    <n v="34"/>
    <n v="0"/>
    <x v="0"/>
    <x v="3"/>
    <n v="2473.33"/>
  </r>
  <r>
    <n v="24"/>
    <s v="male"/>
    <n v="26.8"/>
    <n v="1"/>
    <x v="0"/>
    <x v="0"/>
    <n v="12609.89"/>
  </r>
  <r>
    <n v="24"/>
    <s v="female"/>
    <n v="20.5"/>
    <n v="0"/>
    <x v="1"/>
    <x v="2"/>
    <n v="14571.89"/>
  </r>
  <r>
    <n v="24"/>
    <s v="male"/>
    <n v="32.700000000000003"/>
    <n v="0"/>
    <x v="1"/>
    <x v="1"/>
    <n v="34472.839999999997"/>
  </r>
  <r>
    <n v="24"/>
    <s v="male"/>
    <n v="25.8"/>
    <n v="0"/>
    <x v="0"/>
    <x v="1"/>
    <n v="1972.95"/>
  </r>
  <r>
    <n v="24"/>
    <s v="female"/>
    <n v="39.5"/>
    <n v="0"/>
    <x v="0"/>
    <x v="3"/>
    <n v="2480.98"/>
  </r>
  <r>
    <n v="24"/>
    <s v="male"/>
    <n v="32"/>
    <n v="0"/>
    <x v="0"/>
    <x v="3"/>
    <n v="1981.58"/>
  </r>
  <r>
    <n v="24"/>
    <s v="female"/>
    <n v="29.9"/>
    <n v="0"/>
    <x v="0"/>
    <x v="0"/>
    <n v="2850.68"/>
  </r>
  <r>
    <n v="24"/>
    <s v="male"/>
    <n v="29.8"/>
    <n v="0"/>
    <x v="1"/>
    <x v="2"/>
    <n v="18648.419999999998"/>
  </r>
  <r>
    <n v="24"/>
    <s v="male"/>
    <n v="31.1"/>
    <n v="0"/>
    <x v="1"/>
    <x v="2"/>
    <n v="34254.050000000003"/>
  </r>
  <r>
    <n v="24"/>
    <s v="female"/>
    <n v="27.7"/>
    <n v="0"/>
    <x v="0"/>
    <x v="3"/>
    <n v="2464.62"/>
  </r>
  <r>
    <n v="23"/>
    <s v="male"/>
    <n v="34.4"/>
    <n v="0"/>
    <x v="0"/>
    <x v="1"/>
    <n v="1826.84"/>
  </r>
  <r>
    <n v="23"/>
    <s v="male"/>
    <n v="23.8"/>
    <n v="0"/>
    <x v="0"/>
    <x v="2"/>
    <n v="2395.17"/>
  </r>
  <r>
    <n v="23"/>
    <s v="male"/>
    <n v="17.399999999999999"/>
    <n v="1"/>
    <x v="0"/>
    <x v="0"/>
    <n v="2775.19"/>
  </r>
  <r>
    <n v="23"/>
    <s v="female"/>
    <n v="36.700000000000003"/>
    <n v="2"/>
    <x v="1"/>
    <x v="2"/>
    <n v="38511.629999999997"/>
  </r>
  <r>
    <n v="23"/>
    <s v="male"/>
    <n v="41.9"/>
    <n v="0"/>
    <x v="0"/>
    <x v="3"/>
    <n v="1837.28"/>
  </r>
  <r>
    <n v="23"/>
    <s v="female"/>
    <n v="28.3"/>
    <n v="0"/>
    <x v="1"/>
    <x v="0"/>
    <n v="18033.97"/>
  </r>
  <r>
    <n v="23"/>
    <s v="male"/>
    <n v="32.6"/>
    <n v="0"/>
    <x v="0"/>
    <x v="3"/>
    <n v="1824.29"/>
  </r>
  <r>
    <n v="23"/>
    <s v="female"/>
    <n v="35"/>
    <n v="3"/>
    <x v="0"/>
    <x v="0"/>
    <n v="4466.62"/>
  </r>
  <r>
    <n v="23"/>
    <s v="female"/>
    <n v="39.299999999999997"/>
    <n v="2"/>
    <x v="0"/>
    <x v="3"/>
    <n v="3500.61"/>
  </r>
  <r>
    <n v="23"/>
    <s v="male"/>
    <n v="31.7"/>
    <n v="3"/>
    <x v="1"/>
    <x v="2"/>
    <n v="36189.1"/>
  </r>
  <r>
    <n v="23"/>
    <s v="male"/>
    <n v="35.200000000000003"/>
    <n v="1"/>
    <x v="0"/>
    <x v="1"/>
    <n v="2416.96"/>
  </r>
  <r>
    <n v="23"/>
    <s v="male"/>
    <n v="26.5"/>
    <n v="0"/>
    <x v="0"/>
    <x v="3"/>
    <n v="1815.88"/>
  </r>
  <r>
    <n v="23"/>
    <s v="male"/>
    <n v="37.1"/>
    <n v="3"/>
    <x v="0"/>
    <x v="1"/>
    <n v="3597.6"/>
  </r>
  <r>
    <n v="23"/>
    <s v="female"/>
    <n v="32.799999999999997"/>
    <n v="2"/>
    <x v="1"/>
    <x v="3"/>
    <n v="36021.01"/>
  </r>
  <r>
    <n v="23"/>
    <s v="male"/>
    <n v="50.4"/>
    <n v="1"/>
    <x v="0"/>
    <x v="3"/>
    <n v="2438.06"/>
  </r>
  <r>
    <n v="23"/>
    <s v="female"/>
    <n v="28.1"/>
    <n v="0"/>
    <x v="0"/>
    <x v="0"/>
    <n v="2690.11"/>
  </r>
  <r>
    <n v="23"/>
    <s v="male"/>
    <n v="27.4"/>
    <n v="1"/>
    <x v="0"/>
    <x v="0"/>
    <n v="2789.06"/>
  </r>
  <r>
    <n v="23"/>
    <s v="male"/>
    <n v="18.7"/>
    <n v="0"/>
    <x v="0"/>
    <x v="0"/>
    <n v="21595.38"/>
  </r>
  <r>
    <n v="23"/>
    <s v="male"/>
    <n v="32.700000000000003"/>
    <n v="3"/>
    <x v="0"/>
    <x v="1"/>
    <n v="3591.48"/>
  </r>
  <r>
    <n v="23"/>
    <s v="male"/>
    <n v="24.5"/>
    <n v="0"/>
    <x v="0"/>
    <x v="2"/>
    <n v="2396.1"/>
  </r>
  <r>
    <n v="23"/>
    <s v="female"/>
    <n v="31.4"/>
    <n v="0"/>
    <x v="1"/>
    <x v="1"/>
    <n v="34166.269999999997"/>
  </r>
  <r>
    <n v="23"/>
    <s v="female"/>
    <n v="42.8"/>
    <n v="1"/>
    <x v="1"/>
    <x v="2"/>
    <n v="40904.199999999997"/>
  </r>
  <r>
    <n v="23"/>
    <s v="female"/>
    <n v="23.2"/>
    <n v="2"/>
    <x v="0"/>
    <x v="0"/>
    <n v="14426.07"/>
  </r>
  <r>
    <n v="23"/>
    <s v="female"/>
    <n v="34.9"/>
    <n v="0"/>
    <x v="0"/>
    <x v="2"/>
    <n v="2899.49"/>
  </r>
  <r>
    <n v="23"/>
    <s v="female"/>
    <n v="28.5"/>
    <n v="1"/>
    <x v="1"/>
    <x v="3"/>
    <n v="18328.240000000002"/>
  </r>
  <r>
    <n v="23"/>
    <s v="female"/>
    <n v="28"/>
    <n v="0"/>
    <x v="0"/>
    <x v="1"/>
    <n v="13126.68"/>
  </r>
  <r>
    <n v="23"/>
    <s v="female"/>
    <n v="24.2"/>
    <n v="2"/>
    <x v="0"/>
    <x v="2"/>
    <n v="22395.74"/>
  </r>
  <r>
    <n v="23"/>
    <s v="female"/>
    <n v="33.4"/>
    <n v="0"/>
    <x v="0"/>
    <x v="1"/>
    <n v="10795.94"/>
  </r>
  <r>
    <n v="22"/>
    <s v="male"/>
    <n v="35.6"/>
    <n v="0"/>
    <x v="1"/>
    <x v="1"/>
    <n v="35585.58"/>
  </r>
  <r>
    <n v="22"/>
    <s v="female"/>
    <n v="39.799999999999997"/>
    <n v="0"/>
    <x v="0"/>
    <x v="2"/>
    <n v="2755.02"/>
  </r>
  <r>
    <n v="22"/>
    <s v="male"/>
    <n v="37.6"/>
    <n v="1"/>
    <x v="1"/>
    <x v="3"/>
    <n v="37165.160000000003"/>
  </r>
  <r>
    <n v="22"/>
    <s v="female"/>
    <n v="28.1"/>
    <n v="0"/>
    <x v="0"/>
    <x v="3"/>
    <n v="2155.6799999999998"/>
  </r>
  <r>
    <n v="22"/>
    <s v="male"/>
    <n v="25.2"/>
    <n v="0"/>
    <x v="0"/>
    <x v="0"/>
    <n v="2045.69"/>
  </r>
  <r>
    <n v="22"/>
    <s v="female"/>
    <n v="36"/>
    <n v="0"/>
    <x v="0"/>
    <x v="1"/>
    <n v="2166.73"/>
  </r>
  <r>
    <n v="22"/>
    <s v="male"/>
    <n v="20"/>
    <n v="3"/>
    <x v="0"/>
    <x v="2"/>
    <n v="4005.42"/>
  </r>
  <r>
    <n v="22"/>
    <s v="female"/>
    <n v="24.3"/>
    <n v="0"/>
    <x v="0"/>
    <x v="1"/>
    <n v="2150.4699999999998"/>
  </r>
  <r>
    <n v="22"/>
    <s v="female"/>
    <n v="28.8"/>
    <n v="0"/>
    <x v="0"/>
    <x v="3"/>
    <n v="2156.75"/>
  </r>
  <r>
    <n v="22"/>
    <s v="male"/>
    <n v="31.7"/>
    <n v="0"/>
    <x v="0"/>
    <x v="2"/>
    <n v="2254.8000000000002"/>
  </r>
  <r>
    <n v="22"/>
    <s v="male"/>
    <n v="31.4"/>
    <n v="1"/>
    <x v="0"/>
    <x v="0"/>
    <n v="2643.27"/>
  </r>
  <r>
    <n v="22"/>
    <s v="male"/>
    <n v="26.8"/>
    <n v="0"/>
    <x v="0"/>
    <x v="3"/>
    <n v="1665"/>
  </r>
  <r>
    <n v="22"/>
    <s v="female"/>
    <n v="34.6"/>
    <n v="2"/>
    <x v="0"/>
    <x v="2"/>
    <n v="3925.76"/>
  </r>
  <r>
    <n v="22"/>
    <s v="female"/>
    <n v="23.2"/>
    <n v="0"/>
    <x v="0"/>
    <x v="2"/>
    <n v="2731.91"/>
  </r>
  <r>
    <n v="22"/>
    <s v="male"/>
    <n v="34.799999999999997"/>
    <n v="3"/>
    <x v="0"/>
    <x v="1"/>
    <n v="3443.06"/>
  </r>
  <r>
    <n v="22"/>
    <s v="male"/>
    <n v="39.5"/>
    <n v="0"/>
    <x v="0"/>
    <x v="1"/>
    <n v="1682.6"/>
  </r>
  <r>
    <n v="22"/>
    <s v="male"/>
    <n v="28.3"/>
    <n v="1"/>
    <x v="0"/>
    <x v="0"/>
    <n v="2639.04"/>
  </r>
  <r>
    <n v="22"/>
    <s v="female"/>
    <n v="20.2"/>
    <n v="0"/>
    <x v="0"/>
    <x v="0"/>
    <n v="2527.8200000000002"/>
  </r>
  <r>
    <n v="22"/>
    <s v="female"/>
    <n v="31"/>
    <n v="3"/>
    <x v="1"/>
    <x v="3"/>
    <n v="35595.589999999997"/>
  </r>
  <r>
    <n v="22"/>
    <s v="male"/>
    <n v="37.1"/>
    <n v="2"/>
    <x v="1"/>
    <x v="3"/>
    <n v="37484.449999999997"/>
  </r>
  <r>
    <n v="22"/>
    <s v="male"/>
    <n v="28.9"/>
    <n v="0"/>
    <x v="0"/>
    <x v="2"/>
    <n v="2250.84"/>
  </r>
  <r>
    <n v="22"/>
    <s v="male"/>
    <n v="52.6"/>
    <n v="1"/>
    <x v="1"/>
    <x v="3"/>
    <n v="44501.4"/>
  </r>
  <r>
    <n v="22"/>
    <s v="female"/>
    <n v="30.4"/>
    <n v="0"/>
    <x v="1"/>
    <x v="0"/>
    <n v="33907.550000000003"/>
  </r>
  <r>
    <n v="22"/>
    <s v="male"/>
    <n v="33.799999999999997"/>
    <n v="0"/>
    <x v="0"/>
    <x v="3"/>
    <n v="1674.63"/>
  </r>
  <r>
    <n v="22"/>
    <s v="female"/>
    <n v="27.1"/>
    <n v="0"/>
    <x v="0"/>
    <x v="1"/>
    <n v="2154.36"/>
  </r>
  <r>
    <n v="22"/>
    <s v="male"/>
    <n v="32.1"/>
    <n v="0"/>
    <x v="0"/>
    <x v="0"/>
    <n v="2055.3200000000002"/>
  </r>
  <r>
    <n v="22"/>
    <s v="female"/>
    <n v="21.3"/>
    <n v="3"/>
    <x v="0"/>
    <x v="0"/>
    <n v="4296.2700000000004"/>
  </r>
  <r>
    <n v="22"/>
    <s v="female"/>
    <n v="30.4"/>
    <n v="0"/>
    <x v="0"/>
    <x v="2"/>
    <n v="2741.95"/>
  </r>
  <r>
    <n v="21"/>
    <s v="female"/>
    <n v="33.6"/>
    <n v="2"/>
    <x v="0"/>
    <x v="0"/>
    <n v="3579.83"/>
  </r>
  <r>
    <n v="21"/>
    <s v="male"/>
    <n v="35.5"/>
    <n v="0"/>
    <x v="0"/>
    <x v="3"/>
    <n v="1532.47"/>
  </r>
  <r>
    <n v="21"/>
    <s v="female"/>
    <n v="39.5"/>
    <n v="0"/>
    <x v="0"/>
    <x v="3"/>
    <n v="2026.97"/>
  </r>
  <r>
    <n v="21"/>
    <s v="female"/>
    <n v="35.700000000000003"/>
    <n v="0"/>
    <x v="0"/>
    <x v="0"/>
    <n v="2404.73"/>
  </r>
  <r>
    <n v="21"/>
    <s v="female"/>
    <n v="26.4"/>
    <n v="1"/>
    <x v="0"/>
    <x v="1"/>
    <n v="2597.7800000000002"/>
  </r>
  <r>
    <n v="21"/>
    <s v="female"/>
    <n v="21.9"/>
    <n v="2"/>
    <x v="0"/>
    <x v="3"/>
    <n v="3180.51"/>
  </r>
  <r>
    <n v="21"/>
    <s v="male"/>
    <n v="31"/>
    <n v="0"/>
    <x v="0"/>
    <x v="3"/>
    <n v="16586.5"/>
  </r>
  <r>
    <n v="21"/>
    <s v="female"/>
    <n v="16.8"/>
    <n v="1"/>
    <x v="0"/>
    <x v="2"/>
    <n v="3167.46"/>
  </r>
  <r>
    <n v="21"/>
    <s v="male"/>
    <n v="36.9"/>
    <n v="0"/>
    <x v="0"/>
    <x v="3"/>
    <n v="1534.3"/>
  </r>
  <r>
    <n v="21"/>
    <s v="male"/>
    <n v="25.7"/>
    <n v="4"/>
    <x v="1"/>
    <x v="1"/>
    <n v="17942.11"/>
  </r>
  <r>
    <n v="21"/>
    <s v="male"/>
    <n v="23.8"/>
    <n v="2"/>
    <x v="0"/>
    <x v="0"/>
    <n v="3077.1"/>
  </r>
  <r>
    <n v="21"/>
    <s v="male"/>
    <n v="20.2"/>
    <n v="3"/>
    <x v="0"/>
    <x v="2"/>
    <n v="3861.21"/>
  </r>
  <r>
    <n v="21"/>
    <s v="female"/>
    <n v="21.9"/>
    <n v="1"/>
    <x v="1"/>
    <x v="2"/>
    <n v="15359.1"/>
  </r>
  <r>
    <n v="21"/>
    <s v="female"/>
    <n v="17.399999999999999"/>
    <n v="1"/>
    <x v="0"/>
    <x v="1"/>
    <n v="2585.27"/>
  </r>
  <r>
    <n v="21"/>
    <s v="male"/>
    <n v="27.4"/>
    <n v="0"/>
    <x v="0"/>
    <x v="2"/>
    <n v="2104.11"/>
  </r>
  <r>
    <n v="21"/>
    <s v="female"/>
    <n v="34.9"/>
    <n v="0"/>
    <x v="0"/>
    <x v="3"/>
    <n v="2020.55"/>
  </r>
  <r>
    <n v="21"/>
    <s v="male"/>
    <n v="29"/>
    <n v="0"/>
    <x v="0"/>
    <x v="0"/>
    <n v="1906.36"/>
  </r>
  <r>
    <n v="21"/>
    <s v="male"/>
    <n v="36.9"/>
    <n v="0"/>
    <x v="0"/>
    <x v="0"/>
    <n v="1917.32"/>
  </r>
  <r>
    <n v="21"/>
    <s v="male"/>
    <n v="22.3"/>
    <n v="1"/>
    <x v="0"/>
    <x v="1"/>
    <n v="2103.08"/>
  </r>
  <r>
    <n v="21"/>
    <s v="male"/>
    <n v="31.1"/>
    <n v="0"/>
    <x v="0"/>
    <x v="1"/>
    <n v="1526.31"/>
  </r>
  <r>
    <n v="21"/>
    <s v="female"/>
    <n v="22.1"/>
    <n v="0"/>
    <x v="0"/>
    <x v="2"/>
    <n v="2585.85"/>
  </r>
  <r>
    <n v="21"/>
    <s v="male"/>
    <n v="25.7"/>
    <n v="2"/>
    <x v="0"/>
    <x v="2"/>
    <n v="3279.87"/>
  </r>
  <r>
    <n v="21"/>
    <s v="female"/>
    <n v="32.700000000000003"/>
    <n v="2"/>
    <x v="0"/>
    <x v="0"/>
    <n v="26018.95"/>
  </r>
  <r>
    <n v="21"/>
    <s v="female"/>
    <n v="34.6"/>
    <n v="0"/>
    <x v="0"/>
    <x v="1"/>
    <n v="2020.18"/>
  </r>
  <r>
    <n v="21"/>
    <s v="male"/>
    <n v="31.3"/>
    <n v="0"/>
    <x v="0"/>
    <x v="0"/>
    <n v="1909.53"/>
  </r>
  <r>
    <n v="21"/>
    <s v="male"/>
    <n v="26"/>
    <n v="0"/>
    <x v="0"/>
    <x v="2"/>
    <n v="2102.2600000000002"/>
  </r>
  <r>
    <n v="21"/>
    <s v="male"/>
    <n v="23.2"/>
    <n v="0"/>
    <x v="0"/>
    <x v="3"/>
    <n v="1515.34"/>
  </r>
  <r>
    <n v="21"/>
    <s v="female"/>
    <n v="25.8"/>
    <n v="0"/>
    <x v="0"/>
    <x v="1"/>
    <n v="2007.95"/>
  </r>
  <r>
    <n v="20"/>
    <s v="female"/>
    <n v="22.4"/>
    <n v="0"/>
    <x v="1"/>
    <x v="0"/>
    <n v="14711.74"/>
  </r>
  <r>
    <n v="20"/>
    <s v="male"/>
    <n v="28"/>
    <n v="1"/>
    <x v="1"/>
    <x v="0"/>
    <n v="17560.38"/>
  </r>
  <r>
    <n v="20"/>
    <s v="female"/>
    <n v="29"/>
    <n v="0"/>
    <x v="0"/>
    <x v="0"/>
    <n v="2257.48"/>
  </r>
  <r>
    <n v="20"/>
    <s v="female"/>
    <n v="28.8"/>
    <n v="0"/>
    <x v="0"/>
    <x v="2"/>
    <n v="2457.21"/>
  </r>
  <r>
    <n v="20"/>
    <s v="female"/>
    <n v="37"/>
    <n v="5"/>
    <x v="0"/>
    <x v="1"/>
    <n v="4830.63"/>
  </r>
  <r>
    <n v="20"/>
    <s v="male"/>
    <n v="33"/>
    <n v="1"/>
    <x v="0"/>
    <x v="1"/>
    <n v="1980.07"/>
  </r>
  <r>
    <n v="20"/>
    <s v="female"/>
    <n v="26.8"/>
    <n v="1"/>
    <x v="1"/>
    <x v="3"/>
    <n v="17085.27"/>
  </r>
  <r>
    <n v="20"/>
    <s v="male"/>
    <n v="33.299999999999997"/>
    <n v="0"/>
    <x v="0"/>
    <x v="3"/>
    <n v="1391.53"/>
  </r>
  <r>
    <n v="20"/>
    <s v="male"/>
    <n v="29.7"/>
    <n v="0"/>
    <x v="0"/>
    <x v="0"/>
    <n v="1769.53"/>
  </r>
  <r>
    <n v="20"/>
    <s v="male"/>
    <n v="27.9"/>
    <n v="0"/>
    <x v="0"/>
    <x v="2"/>
    <n v="1967.02"/>
  </r>
  <r>
    <n v="20"/>
    <s v="male"/>
    <n v="35.299999999999997"/>
    <n v="1"/>
    <x v="0"/>
    <x v="3"/>
    <n v="27724.29"/>
  </r>
  <r>
    <n v="20"/>
    <s v="female"/>
    <n v="31.8"/>
    <n v="2"/>
    <x v="0"/>
    <x v="3"/>
    <n v="3056.39"/>
  </r>
  <r>
    <n v="20"/>
    <s v="male"/>
    <n v="31.1"/>
    <n v="2"/>
    <x v="0"/>
    <x v="3"/>
    <n v="2566.4699999999998"/>
  </r>
  <r>
    <n v="20"/>
    <s v="female"/>
    <n v="33"/>
    <n v="0"/>
    <x v="0"/>
    <x v="3"/>
    <n v="1880.07"/>
  </r>
  <r>
    <n v="20"/>
    <s v="male"/>
    <n v="32.4"/>
    <n v="1"/>
    <x v="0"/>
    <x v="0"/>
    <n v="2362.23"/>
  </r>
  <r>
    <n v="20"/>
    <s v="male"/>
    <n v="40.5"/>
    <n v="0"/>
    <x v="0"/>
    <x v="2"/>
    <n v="1984.45"/>
  </r>
  <r>
    <n v="20"/>
    <s v="female"/>
    <n v="31.5"/>
    <n v="0"/>
    <x v="0"/>
    <x v="3"/>
    <n v="1877.93"/>
  </r>
  <r>
    <n v="20"/>
    <s v="female"/>
    <n v="29.6"/>
    <n v="0"/>
    <x v="0"/>
    <x v="1"/>
    <n v="1875.34"/>
  </r>
  <r>
    <n v="20"/>
    <s v="male"/>
    <n v="30.1"/>
    <n v="5"/>
    <x v="0"/>
    <x v="2"/>
    <n v="4915.0600000000004"/>
  </r>
  <r>
    <n v="20"/>
    <s v="male"/>
    <n v="30.7"/>
    <n v="0"/>
    <x v="1"/>
    <x v="2"/>
    <n v="33475.82"/>
  </r>
  <r>
    <n v="20"/>
    <s v="female"/>
    <n v="31.9"/>
    <n v="0"/>
    <x v="0"/>
    <x v="0"/>
    <n v="2261.5700000000002"/>
  </r>
  <r>
    <n v="20"/>
    <s v="female"/>
    <n v="30.6"/>
    <n v="0"/>
    <x v="0"/>
    <x v="2"/>
    <n v="2459.7199999999998"/>
  </r>
  <r>
    <n v="20"/>
    <s v="male"/>
    <n v="35.6"/>
    <n v="3"/>
    <x v="1"/>
    <x v="0"/>
    <n v="37465.339999999997"/>
  </r>
  <r>
    <n v="20"/>
    <s v="female"/>
    <n v="24.4"/>
    <n v="0"/>
    <x v="1"/>
    <x v="3"/>
    <n v="26125.67"/>
  </r>
  <r>
    <n v="20"/>
    <s v="female"/>
    <n v="21.8"/>
    <n v="0"/>
    <x v="1"/>
    <x v="1"/>
    <n v="20167.34"/>
  </r>
  <r>
    <n v="20"/>
    <s v="male"/>
    <n v="27.3"/>
    <n v="0"/>
    <x v="1"/>
    <x v="1"/>
    <n v="16232.85"/>
  </r>
  <r>
    <n v="20"/>
    <s v="female"/>
    <n v="33.299999999999997"/>
    <n v="0"/>
    <x v="0"/>
    <x v="1"/>
    <n v="1880.49"/>
  </r>
  <r>
    <n v="20"/>
    <s v="male"/>
    <n v="39.4"/>
    <n v="2"/>
    <x v="1"/>
    <x v="1"/>
    <n v="38344.57"/>
  </r>
  <r>
    <n v="20"/>
    <s v="male"/>
    <n v="22"/>
    <n v="1"/>
    <x v="0"/>
    <x v="1"/>
    <n v="1964.78"/>
  </r>
  <r>
    <n v="19"/>
    <s v="female"/>
    <n v="27.9"/>
    <n v="0"/>
    <x v="1"/>
    <x v="1"/>
    <n v="16884.919999999998"/>
  </r>
  <r>
    <n v="19"/>
    <s v="male"/>
    <n v="24.6"/>
    <n v="1"/>
    <x v="0"/>
    <x v="1"/>
    <n v="1837.24"/>
  </r>
  <r>
    <n v="19"/>
    <s v="female"/>
    <n v="28.6"/>
    <n v="5"/>
    <x v="0"/>
    <x v="1"/>
    <n v="4687.8"/>
  </r>
  <r>
    <n v="19"/>
    <s v="male"/>
    <n v="20.399999999999999"/>
    <n v="0"/>
    <x v="0"/>
    <x v="0"/>
    <n v="1625.43"/>
  </r>
  <r>
    <n v="19"/>
    <s v="female"/>
    <n v="28.9"/>
    <n v="0"/>
    <x v="0"/>
    <x v="1"/>
    <n v="1743.21"/>
  </r>
  <r>
    <n v="19"/>
    <s v="female"/>
    <n v="28.4"/>
    <n v="1"/>
    <x v="0"/>
    <x v="1"/>
    <n v="2331.52"/>
  </r>
  <r>
    <n v="19"/>
    <s v="female"/>
    <n v="28.3"/>
    <n v="0"/>
    <x v="1"/>
    <x v="1"/>
    <n v="17081.080000000002"/>
  </r>
  <r>
    <n v="19"/>
    <s v="male"/>
    <n v="25.6"/>
    <n v="0"/>
    <x v="0"/>
    <x v="0"/>
    <n v="1632.56"/>
  </r>
  <r>
    <n v="19"/>
    <s v="male"/>
    <n v="34.1"/>
    <n v="0"/>
    <x v="0"/>
    <x v="1"/>
    <n v="1261.44"/>
  </r>
  <r>
    <n v="19"/>
    <s v="male"/>
    <n v="28.4"/>
    <n v="1"/>
    <x v="0"/>
    <x v="1"/>
    <n v="1842.52"/>
  </r>
  <r>
    <n v="19"/>
    <s v="female"/>
    <n v="31.8"/>
    <n v="1"/>
    <x v="0"/>
    <x v="0"/>
    <n v="2719.28"/>
  </r>
  <r>
    <n v="19"/>
    <s v="male"/>
    <n v="30.6"/>
    <n v="0"/>
    <x v="0"/>
    <x v="0"/>
    <n v="1639.56"/>
  </r>
  <r>
    <n v="19"/>
    <s v="female"/>
    <n v="32.1"/>
    <n v="0"/>
    <x v="0"/>
    <x v="0"/>
    <n v="2130.6799999999998"/>
  </r>
  <r>
    <n v="19"/>
    <s v="male"/>
    <n v="34.799999999999997"/>
    <n v="0"/>
    <x v="1"/>
    <x v="1"/>
    <n v="34779.620000000003"/>
  </r>
  <r>
    <n v="19"/>
    <s v="female"/>
    <n v="17.8"/>
    <n v="0"/>
    <x v="0"/>
    <x v="1"/>
    <n v="1727.79"/>
  </r>
  <r>
    <n v="19"/>
    <s v="male"/>
    <n v="29.1"/>
    <n v="0"/>
    <x v="1"/>
    <x v="0"/>
    <n v="17352.68"/>
  </r>
  <r>
    <n v="19"/>
    <s v="male"/>
    <n v="20.9"/>
    <n v="1"/>
    <x v="0"/>
    <x v="1"/>
    <n v="1832.09"/>
  </r>
  <r>
    <n v="19"/>
    <s v="male"/>
    <n v="31.9"/>
    <n v="0"/>
    <x v="1"/>
    <x v="0"/>
    <n v="33750.29"/>
  </r>
  <r>
    <n v="19"/>
    <s v="male"/>
    <n v="37"/>
    <n v="0"/>
    <x v="1"/>
    <x v="0"/>
    <n v="36219.410000000003"/>
  </r>
  <r>
    <n v="19"/>
    <s v="male"/>
    <n v="20.6"/>
    <n v="2"/>
    <x v="0"/>
    <x v="0"/>
    <n v="2803.7"/>
  </r>
  <r>
    <n v="19"/>
    <s v="male"/>
    <n v="27.7"/>
    <n v="0"/>
    <x v="1"/>
    <x v="1"/>
    <n v="16297.85"/>
  </r>
  <r>
    <n v="19"/>
    <s v="female"/>
    <n v="24.7"/>
    <n v="0"/>
    <x v="0"/>
    <x v="1"/>
    <n v="1737.38"/>
  </r>
  <r>
    <n v="19"/>
    <s v="male"/>
    <n v="27.8"/>
    <n v="0"/>
    <x v="0"/>
    <x v="0"/>
    <n v="1635.73"/>
  </r>
  <r>
    <n v="19"/>
    <s v="female"/>
    <n v="21.7"/>
    <n v="0"/>
    <x v="1"/>
    <x v="1"/>
    <n v="13844.51"/>
  </r>
  <r>
    <n v="19"/>
    <s v="male"/>
    <n v="34.4"/>
    <n v="0"/>
    <x v="0"/>
    <x v="1"/>
    <n v="1261.8599999999999"/>
  </r>
  <r>
    <n v="19"/>
    <s v="female"/>
    <n v="37.4"/>
    <n v="0"/>
    <x v="0"/>
    <x v="0"/>
    <n v="2138.0700000000002"/>
  </r>
  <r>
    <n v="19"/>
    <s v="male"/>
    <n v="17.5"/>
    <n v="0"/>
    <x v="0"/>
    <x v="0"/>
    <n v="1621.34"/>
  </r>
  <r>
    <n v="19"/>
    <s v="female"/>
    <n v="35.200000000000003"/>
    <n v="0"/>
    <x v="0"/>
    <x v="0"/>
    <n v="2134.9"/>
  </r>
  <r>
    <n v="19"/>
    <s v="male"/>
    <n v="33.1"/>
    <n v="0"/>
    <x v="0"/>
    <x v="1"/>
    <n v="23082.959999999999"/>
  </r>
  <r>
    <n v="19"/>
    <s v="male"/>
    <n v="25.2"/>
    <n v="0"/>
    <x v="0"/>
    <x v="0"/>
    <n v="1632.04"/>
  </r>
  <r>
    <n v="19"/>
    <s v="female"/>
    <n v="29.8"/>
    <n v="0"/>
    <x v="0"/>
    <x v="1"/>
    <n v="1744.47"/>
  </r>
  <r>
    <n v="19"/>
    <s v="male"/>
    <n v="28.7"/>
    <n v="0"/>
    <x v="0"/>
    <x v="1"/>
    <n v="1253.94"/>
  </r>
  <r>
    <n v="19"/>
    <s v="female"/>
    <n v="32.9"/>
    <n v="0"/>
    <x v="0"/>
    <x v="1"/>
    <n v="1748.77"/>
  </r>
  <r>
    <n v="19"/>
    <s v="male"/>
    <n v="30.3"/>
    <n v="0"/>
    <x v="1"/>
    <x v="3"/>
    <n v="32548.34"/>
  </r>
  <r>
    <n v="19"/>
    <s v="male"/>
    <n v="30.4"/>
    <n v="0"/>
    <x v="0"/>
    <x v="1"/>
    <n v="1256.3"/>
  </r>
  <r>
    <n v="19"/>
    <s v="female"/>
    <n v="30.6"/>
    <n v="2"/>
    <x v="0"/>
    <x v="0"/>
    <n v="24059.68"/>
  </r>
  <r>
    <n v="19"/>
    <s v="male"/>
    <n v="35.5"/>
    <n v="0"/>
    <x v="0"/>
    <x v="0"/>
    <n v="1646.43"/>
  </r>
  <r>
    <n v="19"/>
    <s v="female"/>
    <n v="30.5"/>
    <n v="0"/>
    <x v="0"/>
    <x v="0"/>
    <n v="2128.4299999999998"/>
  </r>
  <r>
    <n v="19"/>
    <s v="male"/>
    <n v="30.6"/>
    <n v="0"/>
    <x v="0"/>
    <x v="0"/>
    <n v="1639.56"/>
  </r>
  <r>
    <n v="19"/>
    <s v="male"/>
    <n v="20.7"/>
    <n v="0"/>
    <x v="0"/>
    <x v="1"/>
    <n v="1242.82"/>
  </r>
  <r>
    <n v="19"/>
    <s v="female"/>
    <n v="28.3"/>
    <n v="0"/>
    <x v="1"/>
    <x v="0"/>
    <n v="17468.98"/>
  </r>
  <r>
    <n v="19"/>
    <s v="female"/>
    <n v="33.1"/>
    <n v="0"/>
    <x v="1"/>
    <x v="3"/>
    <n v="34439.86"/>
  </r>
  <r>
    <n v="19"/>
    <s v="female"/>
    <n v="24.5"/>
    <n v="1"/>
    <x v="0"/>
    <x v="0"/>
    <n v="2709.11"/>
  </r>
  <r>
    <n v="19"/>
    <s v="male"/>
    <n v="20.3"/>
    <n v="0"/>
    <x v="0"/>
    <x v="1"/>
    <n v="1242.26"/>
  </r>
  <r>
    <n v="19"/>
    <s v="male"/>
    <n v="35.4"/>
    <n v="0"/>
    <x v="0"/>
    <x v="1"/>
    <n v="1263.25"/>
  </r>
  <r>
    <n v="19"/>
    <s v="male"/>
    <n v="21.8"/>
    <n v="0"/>
    <x v="0"/>
    <x v="0"/>
    <n v="1627.28"/>
  </r>
  <r>
    <n v="19"/>
    <s v="female"/>
    <n v="28.9"/>
    <n v="0"/>
    <x v="1"/>
    <x v="0"/>
    <n v="17748.509999999998"/>
  </r>
  <r>
    <n v="19"/>
    <s v="male"/>
    <n v="27.6"/>
    <n v="0"/>
    <x v="0"/>
    <x v="1"/>
    <n v="1252.4100000000001"/>
  </r>
  <r>
    <n v="19"/>
    <s v="female"/>
    <n v="36.6"/>
    <n v="0"/>
    <x v="0"/>
    <x v="0"/>
    <n v="2136.88"/>
  </r>
  <r>
    <n v="19"/>
    <s v="male"/>
    <n v="25.6"/>
    <n v="1"/>
    <x v="0"/>
    <x v="0"/>
    <n v="2221.56"/>
  </r>
  <r>
    <n v="19"/>
    <s v="female"/>
    <n v="22.5"/>
    <n v="0"/>
    <x v="0"/>
    <x v="0"/>
    <n v="2117.34"/>
  </r>
  <r>
    <n v="19"/>
    <s v="female"/>
    <n v="23.4"/>
    <n v="2"/>
    <x v="0"/>
    <x v="1"/>
    <n v="2913.57"/>
  </r>
  <r>
    <n v="19"/>
    <s v="male"/>
    <n v="22.6"/>
    <n v="0"/>
    <x v="0"/>
    <x v="0"/>
    <n v="1628.47"/>
  </r>
  <r>
    <n v="19"/>
    <s v="female"/>
    <n v="39.6"/>
    <n v="1"/>
    <x v="0"/>
    <x v="0"/>
    <n v="2730.11"/>
  </r>
  <r>
    <n v="19"/>
    <s v="female"/>
    <n v="40.5"/>
    <n v="0"/>
    <x v="0"/>
    <x v="1"/>
    <n v="1759.34"/>
  </r>
  <r>
    <n v="19"/>
    <s v="female"/>
    <n v="24.6"/>
    <n v="1"/>
    <x v="0"/>
    <x v="0"/>
    <n v="2709.24"/>
  </r>
  <r>
    <n v="19"/>
    <s v="male"/>
    <n v="26"/>
    <n v="1"/>
    <x v="1"/>
    <x v="0"/>
    <n v="16450.89"/>
  </r>
  <r>
    <n v="19"/>
    <s v="male"/>
    <n v="27.3"/>
    <n v="2"/>
    <x v="0"/>
    <x v="0"/>
    <n v="22493.66"/>
  </r>
  <r>
    <n v="19"/>
    <s v="female"/>
    <n v="18.600000000000001"/>
    <n v="0"/>
    <x v="0"/>
    <x v="1"/>
    <n v="1728.9"/>
  </r>
  <r>
    <n v="19"/>
    <s v="female"/>
    <n v="32.5"/>
    <n v="0"/>
    <x v="1"/>
    <x v="0"/>
    <n v="36898.730000000003"/>
  </r>
  <r>
    <n v="19"/>
    <s v="male"/>
    <n v="44.9"/>
    <n v="0"/>
    <x v="1"/>
    <x v="3"/>
    <n v="39722.75"/>
  </r>
  <r>
    <n v="19"/>
    <s v="female"/>
    <n v="27.9"/>
    <n v="3"/>
    <x v="0"/>
    <x v="0"/>
    <n v="18838.7"/>
  </r>
  <r>
    <n v="19"/>
    <s v="female"/>
    <n v="30"/>
    <n v="0"/>
    <x v="1"/>
    <x v="0"/>
    <n v="33307.550000000003"/>
  </r>
  <r>
    <n v="19"/>
    <s v="male"/>
    <n v="19.8"/>
    <n v="0"/>
    <x v="0"/>
    <x v="1"/>
    <n v="1241.57"/>
  </r>
  <r>
    <n v="19"/>
    <s v="male"/>
    <n v="34.9"/>
    <n v="0"/>
    <x v="1"/>
    <x v="1"/>
    <n v="34828.65"/>
  </r>
  <r>
    <n v="19"/>
    <s v="female"/>
    <n v="25.7"/>
    <n v="1"/>
    <x v="0"/>
    <x v="0"/>
    <n v="2710.83"/>
  </r>
  <r>
    <n v="19"/>
    <s v="female"/>
    <n v="34.700000000000003"/>
    <n v="2"/>
    <x v="1"/>
    <x v="1"/>
    <n v="36397.58"/>
  </r>
  <r>
    <n v="19"/>
    <s v="female"/>
    <n v="20.6"/>
    <n v="0"/>
    <x v="0"/>
    <x v="1"/>
    <n v="1731.68"/>
  </r>
  <r>
    <n v="18"/>
    <s v="male"/>
    <n v="33.799999999999997"/>
    <n v="1"/>
    <x v="0"/>
    <x v="3"/>
    <n v="1725.55"/>
  </r>
  <r>
    <n v="18"/>
    <s v="male"/>
    <n v="34.1"/>
    <n v="0"/>
    <x v="0"/>
    <x v="3"/>
    <n v="1137.01"/>
  </r>
  <r>
    <n v="18"/>
    <s v="female"/>
    <n v="26.3"/>
    <n v="0"/>
    <x v="0"/>
    <x v="2"/>
    <n v="2198.19"/>
  </r>
  <r>
    <n v="18"/>
    <s v="female"/>
    <n v="38.700000000000003"/>
    <n v="2"/>
    <x v="0"/>
    <x v="2"/>
    <n v="3393.36"/>
  </r>
  <r>
    <n v="18"/>
    <s v="female"/>
    <n v="35.6"/>
    <n v="0"/>
    <x v="0"/>
    <x v="2"/>
    <n v="2211.13"/>
  </r>
  <r>
    <n v="18"/>
    <s v="male"/>
    <n v="31.7"/>
    <n v="2"/>
    <x v="1"/>
    <x v="3"/>
    <n v="34303.17"/>
  </r>
  <r>
    <n v="18"/>
    <s v="female"/>
    <n v="30.1"/>
    <n v="0"/>
    <x v="0"/>
    <x v="2"/>
    <n v="21344.85"/>
  </r>
  <r>
    <n v="18"/>
    <s v="male"/>
    <n v="23.8"/>
    <n v="0"/>
    <x v="0"/>
    <x v="2"/>
    <n v="1705.62"/>
  </r>
  <r>
    <n v="18"/>
    <s v="male"/>
    <n v="25.2"/>
    <n v="0"/>
    <x v="1"/>
    <x v="2"/>
    <n v="15518.18"/>
  </r>
  <r>
    <n v="18"/>
    <s v="female"/>
    <n v="36.9"/>
    <n v="0"/>
    <x v="1"/>
    <x v="3"/>
    <n v="36149.480000000003"/>
  </r>
  <r>
    <n v="18"/>
    <s v="male"/>
    <n v="16"/>
    <n v="0"/>
    <x v="0"/>
    <x v="2"/>
    <n v="1694.8"/>
  </r>
  <r>
    <n v="18"/>
    <s v="female"/>
    <n v="38.299999999999997"/>
    <n v="0"/>
    <x v="0"/>
    <x v="3"/>
    <n v="1631.82"/>
  </r>
  <r>
    <n v="18"/>
    <s v="male"/>
    <n v="34.4"/>
    <n v="0"/>
    <x v="0"/>
    <x v="3"/>
    <n v="1137.47"/>
  </r>
  <r>
    <n v="18"/>
    <s v="female"/>
    <n v="26.7"/>
    <n v="0"/>
    <x v="0"/>
    <x v="3"/>
    <n v="1615.77"/>
  </r>
  <r>
    <n v="18"/>
    <s v="male"/>
    <n v="17.3"/>
    <n v="2"/>
    <x v="1"/>
    <x v="2"/>
    <n v="12829.46"/>
  </r>
  <r>
    <n v="18"/>
    <s v="male"/>
    <n v="29.4"/>
    <n v="1"/>
    <x v="0"/>
    <x v="3"/>
    <n v="1719.44"/>
  </r>
  <r>
    <n v="18"/>
    <s v="male"/>
    <n v="23"/>
    <n v="0"/>
    <x v="0"/>
    <x v="2"/>
    <n v="1704.57"/>
  </r>
  <r>
    <n v="18"/>
    <s v="female"/>
    <n v="38.299999999999997"/>
    <n v="0"/>
    <x v="0"/>
    <x v="3"/>
    <n v="14133.04"/>
  </r>
  <r>
    <n v="18"/>
    <s v="female"/>
    <n v="20.8"/>
    <n v="0"/>
    <x v="0"/>
    <x v="3"/>
    <n v="1607.51"/>
  </r>
  <r>
    <n v="18"/>
    <s v="male"/>
    <n v="30.4"/>
    <n v="3"/>
    <x v="0"/>
    <x v="2"/>
    <n v="3481.87"/>
  </r>
  <r>
    <n v="18"/>
    <s v="female"/>
    <n v="38.200000000000003"/>
    <n v="0"/>
    <x v="0"/>
    <x v="3"/>
    <n v="1631.67"/>
  </r>
  <r>
    <n v="18"/>
    <s v="female"/>
    <n v="29.2"/>
    <n v="0"/>
    <x v="0"/>
    <x v="2"/>
    <n v="7323.73"/>
  </r>
  <r>
    <n v="18"/>
    <s v="male"/>
    <n v="43"/>
    <n v="0"/>
    <x v="0"/>
    <x v="3"/>
    <n v="1149.4000000000001"/>
  </r>
  <r>
    <n v="18"/>
    <s v="female"/>
    <n v="24.1"/>
    <n v="1"/>
    <x v="0"/>
    <x v="3"/>
    <n v="2201.1"/>
  </r>
  <r>
    <n v="18"/>
    <s v="female"/>
    <n v="30.1"/>
    <n v="0"/>
    <x v="0"/>
    <x v="2"/>
    <n v="2203.4699999999998"/>
  </r>
  <r>
    <n v="18"/>
    <s v="female"/>
    <n v="31.4"/>
    <n v="0"/>
    <x v="0"/>
    <x v="3"/>
    <n v="1622.19"/>
  </r>
  <r>
    <n v="18"/>
    <s v="female"/>
    <n v="25.1"/>
    <n v="0"/>
    <x v="0"/>
    <x v="2"/>
    <n v="2196.4699999999998"/>
  </r>
  <r>
    <n v="18"/>
    <s v="female"/>
    <n v="33.9"/>
    <n v="0"/>
    <x v="0"/>
    <x v="3"/>
    <n v="11482.63"/>
  </r>
  <r>
    <n v="18"/>
    <s v="male"/>
    <n v="25.5"/>
    <n v="0"/>
    <x v="0"/>
    <x v="2"/>
    <n v="1708"/>
  </r>
  <r>
    <n v="18"/>
    <s v="female"/>
    <n v="32.1"/>
    <n v="2"/>
    <x v="0"/>
    <x v="3"/>
    <n v="2801.26"/>
  </r>
  <r>
    <n v="18"/>
    <s v="female"/>
    <n v="37.299999999999997"/>
    <n v="1"/>
    <x v="0"/>
    <x v="3"/>
    <n v="2219.4499999999998"/>
  </r>
  <r>
    <n v="18"/>
    <s v="female"/>
    <n v="39.200000000000003"/>
    <n v="0"/>
    <x v="0"/>
    <x v="3"/>
    <n v="1633.04"/>
  </r>
  <r>
    <n v="18"/>
    <s v="female"/>
    <n v="33.200000000000003"/>
    <n v="0"/>
    <x v="0"/>
    <x v="2"/>
    <n v="2207.6999999999998"/>
  </r>
  <r>
    <n v="18"/>
    <s v="male"/>
    <n v="33.5"/>
    <n v="0"/>
    <x v="1"/>
    <x v="2"/>
    <n v="34617.839999999997"/>
  </r>
  <r>
    <n v="18"/>
    <s v="male"/>
    <n v="28.5"/>
    <n v="0"/>
    <x v="0"/>
    <x v="2"/>
    <n v="1712.23"/>
  </r>
  <r>
    <n v="18"/>
    <s v="male"/>
    <n v="33.700000000000003"/>
    <n v="0"/>
    <x v="0"/>
    <x v="3"/>
    <n v="1136.4000000000001"/>
  </r>
  <r>
    <n v="18"/>
    <s v="male"/>
    <n v="35.200000000000003"/>
    <n v="1"/>
    <x v="0"/>
    <x v="3"/>
    <n v="1727.54"/>
  </r>
  <r>
    <n v="18"/>
    <s v="female"/>
    <n v="40.299999999999997"/>
    <n v="0"/>
    <x v="0"/>
    <x v="2"/>
    <n v="2217.6"/>
  </r>
  <r>
    <n v="18"/>
    <s v="male"/>
    <n v="38.200000000000003"/>
    <n v="0"/>
    <x v="1"/>
    <x v="3"/>
    <n v="36307.800000000003"/>
  </r>
  <r>
    <n v="18"/>
    <s v="male"/>
    <n v="41.1"/>
    <n v="0"/>
    <x v="0"/>
    <x v="3"/>
    <n v="1146.8"/>
  </r>
  <r>
    <n v="18"/>
    <s v="female"/>
    <n v="42.2"/>
    <n v="0"/>
    <x v="1"/>
    <x v="3"/>
    <n v="38792.69"/>
  </r>
  <r>
    <n v="18"/>
    <s v="male"/>
    <n v="30.1"/>
    <n v="0"/>
    <x v="0"/>
    <x v="3"/>
    <n v="1131.51"/>
  </r>
  <r>
    <n v="18"/>
    <s v="female"/>
    <n v="31.1"/>
    <n v="0"/>
    <x v="0"/>
    <x v="3"/>
    <n v="1621.88"/>
  </r>
  <r>
    <n v="18"/>
    <s v="male"/>
    <n v="37.299999999999997"/>
    <n v="0"/>
    <x v="0"/>
    <x v="3"/>
    <n v="1141.45"/>
  </r>
  <r>
    <n v="18"/>
    <s v="female"/>
    <n v="40.299999999999997"/>
    <n v="0"/>
    <x v="0"/>
    <x v="3"/>
    <n v="1634.57"/>
  </r>
  <r>
    <n v="18"/>
    <s v="male"/>
    <n v="31.7"/>
    <n v="0"/>
    <x v="1"/>
    <x v="2"/>
    <n v="33732.69"/>
  </r>
  <r>
    <n v="18"/>
    <s v="male"/>
    <n v="26.2"/>
    <n v="2"/>
    <x v="0"/>
    <x v="3"/>
    <n v="2304"/>
  </r>
  <r>
    <n v="18"/>
    <s v="male"/>
    <n v="23.2"/>
    <n v="0"/>
    <x v="0"/>
    <x v="3"/>
    <n v="1121.8699999999999"/>
  </r>
  <r>
    <n v="18"/>
    <s v="female"/>
    <n v="40.200000000000003"/>
    <n v="0"/>
    <x v="0"/>
    <x v="2"/>
    <n v="2217.4699999999998"/>
  </r>
  <r>
    <n v="18"/>
    <s v="male"/>
    <n v="23.3"/>
    <n v="1"/>
    <x v="0"/>
    <x v="3"/>
    <n v="1711.03"/>
  </r>
  <r>
    <n v="18"/>
    <s v="male"/>
    <n v="21.6"/>
    <n v="0"/>
    <x v="1"/>
    <x v="2"/>
    <n v="13747.87"/>
  </r>
  <r>
    <n v="18"/>
    <s v="male"/>
    <n v="23.1"/>
    <n v="0"/>
    <x v="0"/>
    <x v="2"/>
    <n v="1704.7"/>
  </r>
  <r>
    <n v="18"/>
    <s v="male"/>
    <n v="21.8"/>
    <n v="2"/>
    <x v="0"/>
    <x v="3"/>
    <n v="11884.05"/>
  </r>
  <r>
    <n v="18"/>
    <s v="female"/>
    <n v="31.4"/>
    <n v="4"/>
    <x v="0"/>
    <x v="2"/>
    <n v="4561.1899999999996"/>
  </r>
  <r>
    <n v="18"/>
    <s v="female"/>
    <n v="30.3"/>
    <n v="0"/>
    <x v="0"/>
    <x v="2"/>
    <n v="2203.7399999999998"/>
  </r>
  <r>
    <n v="18"/>
    <s v="female"/>
    <n v="28.2"/>
    <n v="0"/>
    <x v="0"/>
    <x v="2"/>
    <n v="2200.83"/>
  </r>
  <r>
    <n v="18"/>
    <s v="male"/>
    <n v="27.4"/>
    <n v="1"/>
    <x v="1"/>
    <x v="2"/>
    <n v="17178.68"/>
  </r>
  <r>
    <n v="18"/>
    <s v="female"/>
    <n v="27.3"/>
    <n v="3"/>
    <x v="1"/>
    <x v="3"/>
    <n v="18223.45"/>
  </r>
  <r>
    <n v="18"/>
    <s v="male"/>
    <n v="21.5"/>
    <n v="0"/>
    <x v="0"/>
    <x v="2"/>
    <n v="1702.46"/>
  </r>
  <r>
    <n v="18"/>
    <s v="male"/>
    <n v="39.1"/>
    <n v="0"/>
    <x v="0"/>
    <x v="2"/>
    <n v="12890.06"/>
  </r>
  <r>
    <n v="18"/>
    <s v="male"/>
    <n v="33.299999999999997"/>
    <n v="0"/>
    <x v="0"/>
    <x v="3"/>
    <n v="1135.94"/>
  </r>
  <r>
    <n v="18"/>
    <s v="female"/>
    <n v="39.799999999999997"/>
    <n v="0"/>
    <x v="0"/>
    <x v="3"/>
    <n v="1633.96"/>
  </r>
  <r>
    <n v="18"/>
    <s v="female"/>
    <n v="21.7"/>
    <n v="0"/>
    <x v="1"/>
    <x v="2"/>
    <n v="14283.46"/>
  </r>
  <r>
    <n v="18"/>
    <s v="male"/>
    <n v="30"/>
    <n v="1"/>
    <x v="0"/>
    <x v="3"/>
    <n v="1720.35"/>
  </r>
  <r>
    <n v="18"/>
    <s v="male"/>
    <n v="26.1"/>
    <n v="0"/>
    <x v="0"/>
    <x v="2"/>
    <n v="1708.93"/>
  </r>
  <r>
    <n v="18"/>
    <s v="male"/>
    <n v="28.3"/>
    <n v="1"/>
    <x v="0"/>
    <x v="2"/>
    <n v="11272.33"/>
  </r>
  <r>
    <n v="18"/>
    <s v="male"/>
    <n v="53.1"/>
    <n v="0"/>
    <x v="0"/>
    <x v="3"/>
    <n v="1163.46"/>
  </r>
  <r>
    <n v="18"/>
    <s v="female"/>
    <n v="31.9"/>
    <n v="0"/>
    <x v="0"/>
    <x v="2"/>
    <n v="2205.98"/>
  </r>
  <r>
    <n v="18"/>
    <s v="female"/>
    <n v="36.9"/>
    <n v="0"/>
    <x v="0"/>
    <x v="3"/>
    <n v="1629.8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AE1E591-A04E-4D82-9961-8AC06644094B}" name="PivotTable6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multipleFieldFilters="0" chartFormat="6">
  <location ref="S5:T10" firstHeaderRow="1" firstDataRow="1" firstDataCol="1" rowPageCount="1" colPageCount="1"/>
  <pivotFields count="7">
    <pivotField compact="0" outline="0" showAll="0"/>
    <pivotField compact="0" outline="0" showAll="0"/>
    <pivotField compact="0" outline="0" showAll="0"/>
    <pivotField compact="0" outline="0" showAll="0"/>
    <pivotField axis="axisPage" dataField="1" compact="0" outline="0" showAll="0">
      <items count="3">
        <item x="0"/>
        <item x="1"/>
        <item t="default"/>
      </items>
    </pivotField>
    <pivotField axis="axisRow" compact="0" outline="0" showAll="0">
      <items count="5">
        <item x="2"/>
        <item x="0"/>
        <item x="3"/>
        <item x="1"/>
        <item t="default"/>
      </items>
    </pivotField>
    <pivotField compact="0" outline="0" showAll="0"/>
  </pivotFields>
  <rowFields count="1">
    <field x="5"/>
  </rowFields>
  <rowItems count="5">
    <i>
      <x/>
    </i>
    <i>
      <x v="1"/>
    </i>
    <i>
      <x v="2"/>
    </i>
    <i>
      <x v="3"/>
    </i>
    <i t="grand">
      <x/>
    </i>
  </rowItems>
  <colItems count="1">
    <i/>
  </colItems>
  <pageFields count="1">
    <pageField fld="4" item="1" hier="-1"/>
  </pageFields>
  <dataFields count="1">
    <dataField name="Count of smoker" fld="4" subtotal="count" baseField="0" baseItem="0"/>
  </dataFields>
  <chartFormats count="1"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outlinePr summaryBelow="0" summaryRight="0"/>
  </sheetPr>
  <dimension ref="A1:Z1339"/>
  <sheetViews>
    <sheetView topLeftCell="A1317" workbookViewId="0">
      <selection sqref="A1:G1339"/>
    </sheetView>
  </sheetViews>
  <sheetFormatPr defaultColWidth="12.6328125" defaultRowHeight="15.75" customHeight="1"/>
  <cols>
    <col min="7" max="7" width="21" customWidth="1"/>
  </cols>
  <sheetData>
    <row r="1" spans="1:26" ht="15.75" customHeigh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ht="15.75" customHeight="1">
      <c r="A2" s="3">
        <v>64</v>
      </c>
      <c r="B2" s="4" t="s">
        <v>7</v>
      </c>
      <c r="C2" s="3">
        <v>24.7</v>
      </c>
      <c r="D2" s="3">
        <v>1</v>
      </c>
      <c r="E2" s="4" t="s">
        <v>8</v>
      </c>
      <c r="F2" s="4" t="s">
        <v>9</v>
      </c>
      <c r="G2" s="3">
        <v>30166.62</v>
      </c>
    </row>
    <row r="3" spans="1:26" ht="15.75" customHeight="1">
      <c r="A3" s="3">
        <v>64</v>
      </c>
      <c r="B3" s="4" t="s">
        <v>10</v>
      </c>
      <c r="C3" s="3">
        <v>31.3</v>
      </c>
      <c r="D3" s="3">
        <v>2</v>
      </c>
      <c r="E3" s="4" t="s">
        <v>11</v>
      </c>
      <c r="F3" s="4" t="s">
        <v>12</v>
      </c>
      <c r="G3" s="3">
        <v>47291.06</v>
      </c>
    </row>
    <row r="4" spans="1:26" ht="15.75" customHeight="1">
      <c r="A4" s="3">
        <v>64</v>
      </c>
      <c r="B4" s="4" t="s">
        <v>10</v>
      </c>
      <c r="C4" s="3">
        <v>39.299999999999997</v>
      </c>
      <c r="D4" s="3">
        <v>0</v>
      </c>
      <c r="E4" s="4" t="s">
        <v>8</v>
      </c>
      <c r="F4" s="4" t="s">
        <v>13</v>
      </c>
      <c r="G4" s="3">
        <v>14901.52</v>
      </c>
    </row>
    <row r="5" spans="1:26" ht="15.75" customHeight="1">
      <c r="A5" s="3">
        <v>64</v>
      </c>
      <c r="B5" s="4" t="s">
        <v>10</v>
      </c>
      <c r="C5" s="3">
        <v>33.799999999999997</v>
      </c>
      <c r="D5" s="3">
        <v>1</v>
      </c>
      <c r="E5" s="4" t="s">
        <v>11</v>
      </c>
      <c r="F5" s="4" t="s">
        <v>12</v>
      </c>
      <c r="G5" s="3">
        <v>47928.03</v>
      </c>
    </row>
    <row r="6" spans="1:26" ht="15.75" customHeight="1">
      <c r="A6" s="3">
        <v>64</v>
      </c>
      <c r="B6" s="4" t="s">
        <v>7</v>
      </c>
      <c r="C6" s="3">
        <v>34.5</v>
      </c>
      <c r="D6" s="3">
        <v>0</v>
      </c>
      <c r="E6" s="4" t="s">
        <v>8</v>
      </c>
      <c r="F6" s="4" t="s">
        <v>12</v>
      </c>
      <c r="G6" s="3">
        <v>13822.8</v>
      </c>
    </row>
    <row r="7" spans="1:26" ht="15.75" customHeight="1">
      <c r="A7" s="3">
        <v>64</v>
      </c>
      <c r="B7" s="4" t="s">
        <v>10</v>
      </c>
      <c r="C7" s="3">
        <v>30.1</v>
      </c>
      <c r="D7" s="3">
        <v>3</v>
      </c>
      <c r="E7" s="4" t="s">
        <v>8</v>
      </c>
      <c r="F7" s="4" t="s">
        <v>9</v>
      </c>
      <c r="G7" s="3">
        <v>16455.71</v>
      </c>
    </row>
    <row r="8" spans="1:26" ht="15.75" customHeight="1">
      <c r="A8" s="3">
        <v>64</v>
      </c>
      <c r="B8" s="4" t="s">
        <v>7</v>
      </c>
      <c r="C8" s="3">
        <v>25.6</v>
      </c>
      <c r="D8" s="3">
        <v>2</v>
      </c>
      <c r="E8" s="4" t="s">
        <v>8</v>
      </c>
      <c r="F8" s="4" t="s">
        <v>12</v>
      </c>
      <c r="G8" s="3">
        <v>14988.43</v>
      </c>
    </row>
    <row r="9" spans="1:26" ht="15.75" customHeight="1">
      <c r="A9" s="3">
        <v>64</v>
      </c>
      <c r="B9" s="4" t="s">
        <v>10</v>
      </c>
      <c r="C9" s="3">
        <v>33</v>
      </c>
      <c r="D9" s="3">
        <v>0</v>
      </c>
      <c r="E9" s="4" t="s">
        <v>8</v>
      </c>
      <c r="F9" s="4" t="s">
        <v>9</v>
      </c>
      <c r="G9" s="3">
        <v>14692.67</v>
      </c>
    </row>
    <row r="10" spans="1:26" ht="15.75" customHeight="1">
      <c r="A10" s="3">
        <v>64</v>
      </c>
      <c r="B10" s="4" t="s">
        <v>7</v>
      </c>
      <c r="C10" s="3">
        <v>39.200000000000003</v>
      </c>
      <c r="D10" s="3">
        <v>1</v>
      </c>
      <c r="E10" s="4" t="s">
        <v>8</v>
      </c>
      <c r="F10" s="4" t="s">
        <v>14</v>
      </c>
      <c r="G10" s="3">
        <v>14418.28</v>
      </c>
    </row>
    <row r="11" spans="1:26" ht="15.75" customHeight="1">
      <c r="A11" s="3">
        <v>64</v>
      </c>
      <c r="B11" s="4" t="s">
        <v>7</v>
      </c>
      <c r="C11" s="3">
        <v>33.9</v>
      </c>
      <c r="D11" s="3">
        <v>0</v>
      </c>
      <c r="E11" s="4" t="s">
        <v>11</v>
      </c>
      <c r="F11" s="4" t="s">
        <v>14</v>
      </c>
      <c r="G11" s="3">
        <v>46889.26</v>
      </c>
    </row>
    <row r="12" spans="1:26" ht="15.75" customHeight="1">
      <c r="A12" s="3">
        <v>64</v>
      </c>
      <c r="B12" s="4" t="s">
        <v>7</v>
      </c>
      <c r="C12" s="3">
        <v>40.5</v>
      </c>
      <c r="D12" s="3">
        <v>0</v>
      </c>
      <c r="E12" s="4" t="s">
        <v>8</v>
      </c>
      <c r="F12" s="4" t="s">
        <v>14</v>
      </c>
      <c r="G12" s="3">
        <v>13831.12</v>
      </c>
    </row>
    <row r="13" spans="1:26" ht="15.75" customHeight="1">
      <c r="A13" s="3">
        <v>64</v>
      </c>
      <c r="B13" s="4" t="s">
        <v>10</v>
      </c>
      <c r="C13" s="3">
        <v>39.1</v>
      </c>
      <c r="D13" s="3">
        <v>3</v>
      </c>
      <c r="E13" s="4" t="s">
        <v>8</v>
      </c>
      <c r="F13" s="4" t="s">
        <v>14</v>
      </c>
      <c r="G13" s="3">
        <v>16085.13</v>
      </c>
    </row>
    <row r="14" spans="1:26" ht="15.75" customHeight="1">
      <c r="A14" s="3">
        <v>64</v>
      </c>
      <c r="B14" s="4" t="s">
        <v>7</v>
      </c>
      <c r="C14" s="3">
        <v>38.200000000000003</v>
      </c>
      <c r="D14" s="3">
        <v>0</v>
      </c>
      <c r="E14" s="4" t="s">
        <v>8</v>
      </c>
      <c r="F14" s="4" t="s">
        <v>13</v>
      </c>
      <c r="G14" s="3">
        <v>14410.93</v>
      </c>
    </row>
    <row r="15" spans="1:26" ht="15.75" customHeight="1">
      <c r="A15" s="3">
        <v>64</v>
      </c>
      <c r="B15" s="4" t="s">
        <v>10</v>
      </c>
      <c r="C15" s="3">
        <v>23</v>
      </c>
      <c r="D15" s="3">
        <v>0</v>
      </c>
      <c r="E15" s="4" t="s">
        <v>11</v>
      </c>
      <c r="F15" s="4" t="s">
        <v>14</v>
      </c>
      <c r="G15" s="3">
        <v>27037.91</v>
      </c>
    </row>
    <row r="16" spans="1:26" ht="15.75" customHeight="1">
      <c r="A16" s="3">
        <v>64</v>
      </c>
      <c r="B16" s="4" t="s">
        <v>7</v>
      </c>
      <c r="C16" s="3">
        <v>37.9</v>
      </c>
      <c r="D16" s="3">
        <v>0</v>
      </c>
      <c r="E16" s="4" t="s">
        <v>8</v>
      </c>
      <c r="F16" s="4" t="s">
        <v>9</v>
      </c>
      <c r="G16" s="3">
        <v>14210.54</v>
      </c>
    </row>
    <row r="17" spans="1:7" ht="15.75" customHeight="1">
      <c r="A17" s="3">
        <v>64</v>
      </c>
      <c r="B17" s="4" t="s">
        <v>10</v>
      </c>
      <c r="C17" s="3">
        <v>39.700000000000003</v>
      </c>
      <c r="D17" s="3">
        <v>0</v>
      </c>
      <c r="E17" s="4" t="s">
        <v>8</v>
      </c>
      <c r="F17" s="4" t="s">
        <v>12</v>
      </c>
      <c r="G17" s="3">
        <v>14319.03</v>
      </c>
    </row>
    <row r="18" spans="1:7" ht="14.5">
      <c r="A18" s="3">
        <v>64</v>
      </c>
      <c r="B18" s="4" t="s">
        <v>10</v>
      </c>
      <c r="C18" s="3">
        <v>36</v>
      </c>
      <c r="D18" s="3">
        <v>0</v>
      </c>
      <c r="E18" s="4" t="s">
        <v>8</v>
      </c>
      <c r="F18" s="4" t="s">
        <v>14</v>
      </c>
      <c r="G18" s="3">
        <v>14313.85</v>
      </c>
    </row>
    <row r="19" spans="1:7" ht="14.5">
      <c r="A19" s="3">
        <v>64</v>
      </c>
      <c r="B19" s="4" t="s">
        <v>10</v>
      </c>
      <c r="C19" s="3">
        <v>31.8</v>
      </c>
      <c r="D19" s="3">
        <v>2</v>
      </c>
      <c r="E19" s="4" t="s">
        <v>8</v>
      </c>
      <c r="F19" s="4" t="s">
        <v>13</v>
      </c>
      <c r="G19" s="3">
        <v>16069.08</v>
      </c>
    </row>
    <row r="20" spans="1:7" ht="14.5">
      <c r="A20" s="3">
        <v>64</v>
      </c>
      <c r="B20" s="4" t="s">
        <v>10</v>
      </c>
      <c r="C20" s="3">
        <v>26.9</v>
      </c>
      <c r="D20" s="3">
        <v>0</v>
      </c>
      <c r="E20" s="4" t="s">
        <v>11</v>
      </c>
      <c r="F20" s="4" t="s">
        <v>9</v>
      </c>
      <c r="G20" s="3">
        <v>29330.98</v>
      </c>
    </row>
    <row r="21" spans="1:7" ht="14.5">
      <c r="A21" s="3">
        <v>64</v>
      </c>
      <c r="B21" s="4" t="s">
        <v>7</v>
      </c>
      <c r="C21" s="3">
        <v>26.4</v>
      </c>
      <c r="D21" s="3">
        <v>0</v>
      </c>
      <c r="E21" s="4" t="s">
        <v>8</v>
      </c>
      <c r="F21" s="4" t="s">
        <v>13</v>
      </c>
      <c r="G21" s="3">
        <v>14394.56</v>
      </c>
    </row>
    <row r="22" spans="1:7" ht="14.5">
      <c r="A22" s="3">
        <v>64</v>
      </c>
      <c r="B22" s="4" t="s">
        <v>7</v>
      </c>
      <c r="C22" s="3">
        <v>37</v>
      </c>
      <c r="D22" s="3">
        <v>2</v>
      </c>
      <c r="E22" s="4" t="s">
        <v>11</v>
      </c>
      <c r="F22" s="4" t="s">
        <v>14</v>
      </c>
      <c r="G22" s="3">
        <v>49577.66</v>
      </c>
    </row>
    <row r="23" spans="1:7" ht="14.5">
      <c r="A23" s="3">
        <v>64</v>
      </c>
      <c r="B23" s="4" t="s">
        <v>7</v>
      </c>
      <c r="C23" s="3">
        <v>23.8</v>
      </c>
      <c r="D23" s="3">
        <v>0</v>
      </c>
      <c r="E23" s="4" t="s">
        <v>11</v>
      </c>
      <c r="F23" s="4" t="s">
        <v>14</v>
      </c>
      <c r="G23" s="3">
        <v>26926.51</v>
      </c>
    </row>
    <row r="24" spans="1:7" ht="14.5">
      <c r="A24" s="3">
        <v>63</v>
      </c>
      <c r="B24" s="4" t="s">
        <v>10</v>
      </c>
      <c r="C24" s="3">
        <v>23.1</v>
      </c>
      <c r="D24" s="3">
        <v>0</v>
      </c>
      <c r="E24" s="4" t="s">
        <v>8</v>
      </c>
      <c r="F24" s="4" t="s">
        <v>13</v>
      </c>
      <c r="G24" s="3">
        <v>14451.84</v>
      </c>
    </row>
    <row r="25" spans="1:7" ht="14.5">
      <c r="A25" s="3">
        <v>63</v>
      </c>
      <c r="B25" s="4" t="s">
        <v>7</v>
      </c>
      <c r="C25" s="3">
        <v>28.3</v>
      </c>
      <c r="D25" s="3">
        <v>0</v>
      </c>
      <c r="E25" s="4" t="s">
        <v>8</v>
      </c>
      <c r="F25" s="4" t="s">
        <v>9</v>
      </c>
      <c r="G25" s="3">
        <v>13770.1</v>
      </c>
    </row>
    <row r="26" spans="1:7" ht="14.5">
      <c r="A26" s="3">
        <v>63</v>
      </c>
      <c r="B26" s="4" t="s">
        <v>7</v>
      </c>
      <c r="C26" s="3">
        <v>35.1</v>
      </c>
      <c r="D26" s="3">
        <v>0</v>
      </c>
      <c r="E26" s="4" t="s">
        <v>11</v>
      </c>
      <c r="F26" s="4" t="s">
        <v>14</v>
      </c>
      <c r="G26" s="3">
        <v>47055.53</v>
      </c>
    </row>
    <row r="27" spans="1:7" ht="14.5">
      <c r="A27" s="3">
        <v>63</v>
      </c>
      <c r="B27" s="4" t="s">
        <v>7</v>
      </c>
      <c r="C27" s="3">
        <v>41.5</v>
      </c>
      <c r="D27" s="3">
        <v>0</v>
      </c>
      <c r="E27" s="4" t="s">
        <v>8</v>
      </c>
      <c r="F27" s="4" t="s">
        <v>14</v>
      </c>
      <c r="G27" s="3">
        <v>13405.39</v>
      </c>
    </row>
    <row r="28" spans="1:7" ht="14.5">
      <c r="A28" s="3">
        <v>63</v>
      </c>
      <c r="B28" s="4" t="s">
        <v>10</v>
      </c>
      <c r="C28" s="3">
        <v>37.700000000000003</v>
      </c>
      <c r="D28" s="3">
        <v>0</v>
      </c>
      <c r="E28" s="4" t="s">
        <v>11</v>
      </c>
      <c r="F28" s="4" t="s">
        <v>12</v>
      </c>
      <c r="G28" s="3">
        <v>48824.45</v>
      </c>
    </row>
    <row r="29" spans="1:7" ht="14.5">
      <c r="A29" s="3">
        <v>63</v>
      </c>
      <c r="B29" s="4" t="s">
        <v>10</v>
      </c>
      <c r="C29" s="3">
        <v>31.8</v>
      </c>
      <c r="D29" s="3">
        <v>0</v>
      </c>
      <c r="E29" s="4" t="s">
        <v>8</v>
      </c>
      <c r="F29" s="4" t="s">
        <v>12</v>
      </c>
      <c r="G29" s="3">
        <v>13880.95</v>
      </c>
    </row>
    <row r="30" spans="1:7" ht="14.5">
      <c r="A30" s="3">
        <v>63</v>
      </c>
      <c r="B30" s="4" t="s">
        <v>10</v>
      </c>
      <c r="C30" s="3">
        <v>27.7</v>
      </c>
      <c r="D30" s="3">
        <v>0</v>
      </c>
      <c r="E30" s="4" t="s">
        <v>11</v>
      </c>
      <c r="F30" s="4" t="s">
        <v>13</v>
      </c>
      <c r="G30" s="3">
        <v>29523.17</v>
      </c>
    </row>
    <row r="31" spans="1:7" ht="14.5">
      <c r="A31" s="3">
        <v>63</v>
      </c>
      <c r="B31" s="4" t="s">
        <v>10</v>
      </c>
      <c r="C31" s="3">
        <v>32.200000000000003</v>
      </c>
      <c r="D31" s="3">
        <v>2</v>
      </c>
      <c r="E31" s="4" t="s">
        <v>11</v>
      </c>
      <c r="F31" s="4" t="s">
        <v>12</v>
      </c>
      <c r="G31" s="3">
        <v>47305.31</v>
      </c>
    </row>
    <row r="32" spans="1:7" ht="14.5">
      <c r="A32" s="3">
        <v>63</v>
      </c>
      <c r="B32" s="4" t="s">
        <v>10</v>
      </c>
      <c r="C32" s="3">
        <v>26.2</v>
      </c>
      <c r="D32" s="3">
        <v>0</v>
      </c>
      <c r="E32" s="4" t="s">
        <v>8</v>
      </c>
      <c r="F32" s="4" t="s">
        <v>9</v>
      </c>
      <c r="G32" s="3">
        <v>14256.19</v>
      </c>
    </row>
    <row r="33" spans="1:7" ht="14.5">
      <c r="A33" s="3">
        <v>63</v>
      </c>
      <c r="B33" s="4" t="s">
        <v>7</v>
      </c>
      <c r="C33" s="3">
        <v>36.799999999999997</v>
      </c>
      <c r="D33" s="3">
        <v>0</v>
      </c>
      <c r="E33" s="4" t="s">
        <v>8</v>
      </c>
      <c r="F33" s="4" t="s">
        <v>13</v>
      </c>
      <c r="G33" s="3">
        <v>13981.85</v>
      </c>
    </row>
    <row r="34" spans="1:7" ht="14.5">
      <c r="A34" s="3">
        <v>63</v>
      </c>
      <c r="B34" s="4" t="s">
        <v>10</v>
      </c>
      <c r="C34" s="3">
        <v>27</v>
      </c>
      <c r="D34" s="3">
        <v>0</v>
      </c>
      <c r="E34" s="4" t="s">
        <v>11</v>
      </c>
      <c r="F34" s="4" t="s">
        <v>9</v>
      </c>
      <c r="G34" s="3">
        <v>28950.47</v>
      </c>
    </row>
    <row r="35" spans="1:7" ht="14.5">
      <c r="A35" s="3">
        <v>63</v>
      </c>
      <c r="B35" s="4" t="s">
        <v>7</v>
      </c>
      <c r="C35" s="3">
        <v>41.3</v>
      </c>
      <c r="D35" s="3">
        <v>3</v>
      </c>
      <c r="E35" s="4" t="s">
        <v>8</v>
      </c>
      <c r="F35" s="4" t="s">
        <v>9</v>
      </c>
      <c r="G35" s="3">
        <v>15555.19</v>
      </c>
    </row>
    <row r="36" spans="1:7" ht="14.5">
      <c r="A36" s="3">
        <v>63</v>
      </c>
      <c r="B36" s="4" t="s">
        <v>10</v>
      </c>
      <c r="C36" s="3">
        <v>36.299999999999997</v>
      </c>
      <c r="D36" s="3">
        <v>0</v>
      </c>
      <c r="E36" s="4" t="s">
        <v>8</v>
      </c>
      <c r="F36" s="4" t="s">
        <v>14</v>
      </c>
      <c r="G36" s="3">
        <v>13887.2</v>
      </c>
    </row>
    <row r="37" spans="1:7" ht="14.5">
      <c r="A37" s="3">
        <v>63</v>
      </c>
      <c r="B37" s="4" t="s">
        <v>7</v>
      </c>
      <c r="C37" s="3">
        <v>30.8</v>
      </c>
      <c r="D37" s="3">
        <v>0</v>
      </c>
      <c r="E37" s="4" t="s">
        <v>8</v>
      </c>
      <c r="F37" s="4" t="s">
        <v>12</v>
      </c>
      <c r="G37" s="3">
        <v>13390.56</v>
      </c>
    </row>
    <row r="38" spans="1:7" ht="14.5">
      <c r="A38" s="3">
        <v>63</v>
      </c>
      <c r="B38" s="4" t="s">
        <v>7</v>
      </c>
      <c r="C38" s="3">
        <v>33.1</v>
      </c>
      <c r="D38" s="3">
        <v>0</v>
      </c>
      <c r="E38" s="4" t="s">
        <v>8</v>
      </c>
      <c r="F38" s="4" t="s">
        <v>12</v>
      </c>
      <c r="G38" s="3">
        <v>13393.76</v>
      </c>
    </row>
    <row r="39" spans="1:7" ht="14.5">
      <c r="A39" s="3">
        <v>63</v>
      </c>
      <c r="B39" s="4" t="s">
        <v>7</v>
      </c>
      <c r="C39" s="3">
        <v>39.799999999999997</v>
      </c>
      <c r="D39" s="3">
        <v>3</v>
      </c>
      <c r="E39" s="4" t="s">
        <v>8</v>
      </c>
      <c r="F39" s="4" t="s">
        <v>12</v>
      </c>
      <c r="G39" s="3">
        <v>15170.07</v>
      </c>
    </row>
    <row r="40" spans="1:7" ht="14.5">
      <c r="A40" s="3">
        <v>63</v>
      </c>
      <c r="B40" s="4" t="s">
        <v>10</v>
      </c>
      <c r="C40" s="3">
        <v>35.200000000000003</v>
      </c>
      <c r="D40" s="3">
        <v>1</v>
      </c>
      <c r="E40" s="4" t="s">
        <v>8</v>
      </c>
      <c r="F40" s="4" t="s">
        <v>14</v>
      </c>
      <c r="G40" s="3">
        <v>14474.68</v>
      </c>
    </row>
    <row r="41" spans="1:7" ht="14.5">
      <c r="A41" s="3">
        <v>63</v>
      </c>
      <c r="B41" s="4" t="s">
        <v>10</v>
      </c>
      <c r="C41" s="3">
        <v>36.9</v>
      </c>
      <c r="D41" s="3">
        <v>0</v>
      </c>
      <c r="E41" s="4" t="s">
        <v>8</v>
      </c>
      <c r="F41" s="4" t="s">
        <v>14</v>
      </c>
      <c r="G41" s="3">
        <v>13887.97</v>
      </c>
    </row>
    <row r="42" spans="1:7" ht="14.5">
      <c r="A42" s="3">
        <v>63</v>
      </c>
      <c r="B42" s="4" t="s">
        <v>7</v>
      </c>
      <c r="C42" s="3">
        <v>21.7</v>
      </c>
      <c r="D42" s="3">
        <v>1</v>
      </c>
      <c r="E42" s="4" t="s">
        <v>8</v>
      </c>
      <c r="F42" s="4" t="s">
        <v>9</v>
      </c>
      <c r="G42" s="3">
        <v>14349.85</v>
      </c>
    </row>
    <row r="43" spans="1:7" ht="14.5">
      <c r="A43" s="3">
        <v>63</v>
      </c>
      <c r="B43" s="4" t="s">
        <v>7</v>
      </c>
      <c r="C43" s="3">
        <v>31.4</v>
      </c>
      <c r="D43" s="3">
        <v>0</v>
      </c>
      <c r="E43" s="4" t="s">
        <v>8</v>
      </c>
      <c r="F43" s="4" t="s">
        <v>13</v>
      </c>
      <c r="G43" s="3">
        <v>13974.46</v>
      </c>
    </row>
    <row r="44" spans="1:7" ht="14.5">
      <c r="A44" s="3">
        <v>63</v>
      </c>
      <c r="B44" s="4" t="s">
        <v>7</v>
      </c>
      <c r="C44" s="3">
        <v>33.700000000000003</v>
      </c>
      <c r="D44" s="3">
        <v>3</v>
      </c>
      <c r="E44" s="4" t="s">
        <v>8</v>
      </c>
      <c r="F44" s="4" t="s">
        <v>14</v>
      </c>
      <c r="G44" s="3">
        <v>15161.53</v>
      </c>
    </row>
    <row r="45" spans="1:7" ht="14.5">
      <c r="A45" s="3">
        <v>63</v>
      </c>
      <c r="B45" s="4" t="s">
        <v>10</v>
      </c>
      <c r="C45" s="3">
        <v>25.1</v>
      </c>
      <c r="D45" s="3">
        <v>0</v>
      </c>
      <c r="E45" s="4" t="s">
        <v>8</v>
      </c>
      <c r="F45" s="4" t="s">
        <v>9</v>
      </c>
      <c r="G45" s="3">
        <v>14254.61</v>
      </c>
    </row>
    <row r="46" spans="1:7" ht="14.5">
      <c r="A46" s="3">
        <v>63</v>
      </c>
      <c r="B46" s="4" t="s">
        <v>10</v>
      </c>
      <c r="C46" s="3">
        <v>21.7</v>
      </c>
      <c r="D46" s="3">
        <v>0</v>
      </c>
      <c r="E46" s="4" t="s">
        <v>8</v>
      </c>
      <c r="F46" s="4" t="s">
        <v>13</v>
      </c>
      <c r="G46" s="3">
        <v>14449.85</v>
      </c>
    </row>
    <row r="47" spans="1:7" ht="14.5">
      <c r="A47" s="3">
        <v>62</v>
      </c>
      <c r="B47" s="4" t="s">
        <v>10</v>
      </c>
      <c r="C47" s="3">
        <v>26.3</v>
      </c>
      <c r="D47" s="3">
        <v>0</v>
      </c>
      <c r="E47" s="4" t="s">
        <v>11</v>
      </c>
      <c r="F47" s="4" t="s">
        <v>14</v>
      </c>
      <c r="G47" s="3">
        <v>27808.73</v>
      </c>
    </row>
    <row r="48" spans="1:7" ht="14.5">
      <c r="A48" s="3">
        <v>62</v>
      </c>
      <c r="B48" s="4" t="s">
        <v>10</v>
      </c>
      <c r="C48" s="3">
        <v>33</v>
      </c>
      <c r="D48" s="3">
        <v>3</v>
      </c>
      <c r="E48" s="4" t="s">
        <v>8</v>
      </c>
      <c r="F48" s="4" t="s">
        <v>9</v>
      </c>
      <c r="G48" s="3">
        <v>15612.19</v>
      </c>
    </row>
    <row r="49" spans="1:7" ht="14.5">
      <c r="A49" s="3">
        <v>62</v>
      </c>
      <c r="B49" s="4" t="s">
        <v>7</v>
      </c>
      <c r="C49" s="3">
        <v>27.6</v>
      </c>
      <c r="D49" s="3">
        <v>1</v>
      </c>
      <c r="E49" s="4" t="s">
        <v>8</v>
      </c>
      <c r="F49" s="4" t="s">
        <v>9</v>
      </c>
      <c r="G49" s="3">
        <v>13937.67</v>
      </c>
    </row>
    <row r="50" spans="1:7" ht="14.5">
      <c r="A50" s="3">
        <v>62</v>
      </c>
      <c r="B50" s="4" t="s">
        <v>7</v>
      </c>
      <c r="C50" s="3">
        <v>30</v>
      </c>
      <c r="D50" s="3">
        <v>0</v>
      </c>
      <c r="E50" s="4" t="s">
        <v>8</v>
      </c>
      <c r="F50" s="4" t="s">
        <v>9</v>
      </c>
      <c r="G50" s="3">
        <v>13352.1</v>
      </c>
    </row>
    <row r="51" spans="1:7" ht="14.5">
      <c r="A51" s="3">
        <v>62</v>
      </c>
      <c r="B51" s="4" t="s">
        <v>7</v>
      </c>
      <c r="C51" s="3">
        <v>31.5</v>
      </c>
      <c r="D51" s="3">
        <v>1</v>
      </c>
      <c r="E51" s="4" t="s">
        <v>8</v>
      </c>
      <c r="F51" s="4" t="s">
        <v>14</v>
      </c>
      <c r="G51" s="3">
        <v>27000.98</v>
      </c>
    </row>
    <row r="52" spans="1:7" ht="14.5">
      <c r="A52" s="3">
        <v>62</v>
      </c>
      <c r="B52" s="4" t="s">
        <v>10</v>
      </c>
      <c r="C52" s="3">
        <v>38.1</v>
      </c>
      <c r="D52" s="3">
        <v>2</v>
      </c>
      <c r="E52" s="4" t="s">
        <v>8</v>
      </c>
      <c r="F52" s="4" t="s">
        <v>13</v>
      </c>
      <c r="G52" s="3">
        <v>15230.32</v>
      </c>
    </row>
    <row r="53" spans="1:7" ht="14.5">
      <c r="A53" s="3">
        <v>62</v>
      </c>
      <c r="B53" s="4" t="s">
        <v>10</v>
      </c>
      <c r="C53" s="3">
        <v>39.200000000000003</v>
      </c>
      <c r="D53" s="3">
        <v>0</v>
      </c>
      <c r="E53" s="4" t="s">
        <v>8</v>
      </c>
      <c r="F53" s="4" t="s">
        <v>12</v>
      </c>
      <c r="G53" s="3">
        <v>13470.86</v>
      </c>
    </row>
    <row r="54" spans="1:7" ht="14.5">
      <c r="A54" s="3">
        <v>62</v>
      </c>
      <c r="B54" s="4" t="s">
        <v>10</v>
      </c>
      <c r="C54" s="3">
        <v>31.7</v>
      </c>
      <c r="D54" s="3">
        <v>0</v>
      </c>
      <c r="E54" s="4" t="s">
        <v>8</v>
      </c>
      <c r="F54" s="4" t="s">
        <v>13</v>
      </c>
      <c r="G54" s="3">
        <v>14043.48</v>
      </c>
    </row>
    <row r="55" spans="1:7" ht="14.5">
      <c r="A55" s="3">
        <v>62</v>
      </c>
      <c r="B55" s="4" t="s">
        <v>7</v>
      </c>
      <c r="C55" s="3">
        <v>21.4</v>
      </c>
      <c r="D55" s="3">
        <v>0</v>
      </c>
      <c r="E55" s="4" t="s">
        <v>8</v>
      </c>
      <c r="F55" s="4" t="s">
        <v>12</v>
      </c>
      <c r="G55" s="3">
        <v>12957.12</v>
      </c>
    </row>
    <row r="56" spans="1:7" ht="14.5">
      <c r="A56" s="3">
        <v>62</v>
      </c>
      <c r="B56" s="4" t="s">
        <v>10</v>
      </c>
      <c r="C56" s="3">
        <v>36.9</v>
      </c>
      <c r="D56" s="3">
        <v>1</v>
      </c>
      <c r="E56" s="4" t="s">
        <v>8</v>
      </c>
      <c r="F56" s="4" t="s">
        <v>13</v>
      </c>
      <c r="G56" s="3">
        <v>31620</v>
      </c>
    </row>
    <row r="57" spans="1:7" ht="14.5">
      <c r="A57" s="3">
        <v>62</v>
      </c>
      <c r="B57" s="4" t="s">
        <v>7</v>
      </c>
      <c r="C57" s="3">
        <v>32</v>
      </c>
      <c r="D57" s="3">
        <v>0</v>
      </c>
      <c r="E57" s="4" t="s">
        <v>11</v>
      </c>
      <c r="F57" s="4" t="s">
        <v>13</v>
      </c>
      <c r="G57" s="3">
        <v>45710.21</v>
      </c>
    </row>
    <row r="58" spans="1:7" ht="14.5">
      <c r="A58" s="3">
        <v>62</v>
      </c>
      <c r="B58" s="4" t="s">
        <v>7</v>
      </c>
      <c r="C58" s="3">
        <v>37.4</v>
      </c>
      <c r="D58" s="3">
        <v>0</v>
      </c>
      <c r="E58" s="4" t="s">
        <v>8</v>
      </c>
      <c r="F58" s="4" t="s">
        <v>12</v>
      </c>
      <c r="G58" s="3">
        <v>12979.36</v>
      </c>
    </row>
    <row r="59" spans="1:7" ht="14.5">
      <c r="A59" s="3">
        <v>62</v>
      </c>
      <c r="B59" s="4" t="s">
        <v>10</v>
      </c>
      <c r="C59" s="3">
        <v>29.9</v>
      </c>
      <c r="D59" s="3">
        <v>0</v>
      </c>
      <c r="E59" s="4" t="s">
        <v>8</v>
      </c>
      <c r="F59" s="4" t="s">
        <v>14</v>
      </c>
      <c r="G59" s="3">
        <v>13457.96</v>
      </c>
    </row>
    <row r="60" spans="1:7" ht="14.5">
      <c r="A60" s="3">
        <v>62</v>
      </c>
      <c r="B60" s="4" t="s">
        <v>7</v>
      </c>
      <c r="C60" s="3">
        <v>32.1</v>
      </c>
      <c r="D60" s="3">
        <v>0</v>
      </c>
      <c r="E60" s="4" t="s">
        <v>8</v>
      </c>
      <c r="F60" s="4" t="s">
        <v>13</v>
      </c>
      <c r="G60" s="3">
        <v>13555</v>
      </c>
    </row>
    <row r="61" spans="1:7" ht="14.5">
      <c r="A61" s="3">
        <v>62</v>
      </c>
      <c r="B61" s="4" t="s">
        <v>10</v>
      </c>
      <c r="C61" s="3">
        <v>25</v>
      </c>
      <c r="D61" s="3">
        <v>0</v>
      </c>
      <c r="E61" s="4" t="s">
        <v>8</v>
      </c>
      <c r="F61" s="4" t="s">
        <v>12</v>
      </c>
      <c r="G61" s="3">
        <v>13451.12</v>
      </c>
    </row>
    <row r="62" spans="1:7" ht="14.5">
      <c r="A62" s="3">
        <v>62</v>
      </c>
      <c r="B62" s="4" t="s">
        <v>10</v>
      </c>
      <c r="C62" s="3">
        <v>33.200000000000003</v>
      </c>
      <c r="D62" s="3">
        <v>0</v>
      </c>
      <c r="E62" s="4" t="s">
        <v>8</v>
      </c>
      <c r="F62" s="4" t="s">
        <v>12</v>
      </c>
      <c r="G62" s="3">
        <v>13462.52</v>
      </c>
    </row>
    <row r="63" spans="1:7" ht="14.5">
      <c r="A63" s="3">
        <v>62</v>
      </c>
      <c r="B63" s="4" t="s">
        <v>10</v>
      </c>
      <c r="C63" s="3">
        <v>39.200000000000003</v>
      </c>
      <c r="D63" s="3">
        <v>0</v>
      </c>
      <c r="E63" s="4" t="s">
        <v>8</v>
      </c>
      <c r="F63" s="4" t="s">
        <v>14</v>
      </c>
      <c r="G63" s="3">
        <v>13470.8</v>
      </c>
    </row>
    <row r="64" spans="1:7" ht="14.5">
      <c r="A64" s="3">
        <v>62</v>
      </c>
      <c r="B64" s="4" t="s">
        <v>7</v>
      </c>
      <c r="C64" s="3">
        <v>39.9</v>
      </c>
      <c r="D64" s="3">
        <v>0</v>
      </c>
      <c r="E64" s="4" t="s">
        <v>8</v>
      </c>
      <c r="F64" s="4" t="s">
        <v>14</v>
      </c>
      <c r="G64" s="3">
        <v>12982.87</v>
      </c>
    </row>
    <row r="65" spans="1:7" ht="14.5">
      <c r="A65" s="3">
        <v>62</v>
      </c>
      <c r="B65" s="4" t="s">
        <v>10</v>
      </c>
      <c r="C65" s="3">
        <v>30.5</v>
      </c>
      <c r="D65" s="3">
        <v>2</v>
      </c>
      <c r="E65" s="4" t="s">
        <v>8</v>
      </c>
      <c r="F65" s="4" t="s">
        <v>9</v>
      </c>
      <c r="G65" s="3">
        <v>15019.76</v>
      </c>
    </row>
    <row r="66" spans="1:7" ht="14.5">
      <c r="A66" s="3">
        <v>62</v>
      </c>
      <c r="B66" s="4" t="s">
        <v>10</v>
      </c>
      <c r="C66" s="3">
        <v>32.700000000000003</v>
      </c>
      <c r="D66" s="3">
        <v>0</v>
      </c>
      <c r="E66" s="4" t="s">
        <v>8</v>
      </c>
      <c r="F66" s="4" t="s">
        <v>9</v>
      </c>
      <c r="G66" s="3">
        <v>13844.8</v>
      </c>
    </row>
    <row r="67" spans="1:7" ht="14.5">
      <c r="A67" s="3">
        <v>62</v>
      </c>
      <c r="B67" s="4" t="s">
        <v>7</v>
      </c>
      <c r="C67" s="3">
        <v>30.9</v>
      </c>
      <c r="D67" s="3">
        <v>3</v>
      </c>
      <c r="E67" s="4" t="s">
        <v>11</v>
      </c>
      <c r="F67" s="4" t="s">
        <v>9</v>
      </c>
      <c r="G67" s="3">
        <v>46718.16</v>
      </c>
    </row>
    <row r="68" spans="1:7" ht="14.5">
      <c r="A68" s="3">
        <v>62</v>
      </c>
      <c r="B68" s="4" t="s">
        <v>7</v>
      </c>
      <c r="C68" s="3">
        <v>26.7</v>
      </c>
      <c r="D68" s="3">
        <v>0</v>
      </c>
      <c r="E68" s="4" t="s">
        <v>11</v>
      </c>
      <c r="F68" s="4" t="s">
        <v>13</v>
      </c>
      <c r="G68" s="3">
        <v>28101.33</v>
      </c>
    </row>
    <row r="69" spans="1:7" ht="14.5">
      <c r="A69" s="3">
        <v>62</v>
      </c>
      <c r="B69" s="4" t="s">
        <v>7</v>
      </c>
      <c r="C69" s="3">
        <v>38.799999999999997</v>
      </c>
      <c r="D69" s="3">
        <v>0</v>
      </c>
      <c r="E69" s="4" t="s">
        <v>8</v>
      </c>
      <c r="F69" s="4" t="s">
        <v>14</v>
      </c>
      <c r="G69" s="3">
        <v>12981.35</v>
      </c>
    </row>
    <row r="70" spans="1:7" ht="14.5">
      <c r="A70" s="3">
        <v>61</v>
      </c>
      <c r="B70" s="4" t="s">
        <v>10</v>
      </c>
      <c r="C70" s="3">
        <v>39.1</v>
      </c>
      <c r="D70" s="3">
        <v>2</v>
      </c>
      <c r="E70" s="4" t="s">
        <v>8</v>
      </c>
      <c r="F70" s="4" t="s">
        <v>12</v>
      </c>
      <c r="G70" s="3">
        <v>14235.07</v>
      </c>
    </row>
    <row r="71" spans="1:7" ht="14.5">
      <c r="A71" s="3">
        <v>61</v>
      </c>
      <c r="B71" s="4" t="s">
        <v>10</v>
      </c>
      <c r="C71" s="3">
        <v>29.9</v>
      </c>
      <c r="D71" s="3">
        <v>3</v>
      </c>
      <c r="E71" s="4" t="s">
        <v>11</v>
      </c>
      <c r="F71" s="4" t="s">
        <v>14</v>
      </c>
      <c r="G71" s="3">
        <v>30942.19</v>
      </c>
    </row>
    <row r="72" spans="1:7" ht="14.5">
      <c r="A72" s="3">
        <v>61</v>
      </c>
      <c r="B72" s="4" t="s">
        <v>10</v>
      </c>
      <c r="C72" s="3">
        <v>22</v>
      </c>
      <c r="D72" s="3">
        <v>0</v>
      </c>
      <c r="E72" s="4" t="s">
        <v>8</v>
      </c>
      <c r="F72" s="4" t="s">
        <v>13</v>
      </c>
      <c r="G72" s="3">
        <v>13616.36</v>
      </c>
    </row>
    <row r="73" spans="1:7" ht="14.5">
      <c r="A73" s="3">
        <v>61</v>
      </c>
      <c r="B73" s="4" t="s">
        <v>7</v>
      </c>
      <c r="C73" s="3">
        <v>31.6</v>
      </c>
      <c r="D73" s="3">
        <v>0</v>
      </c>
      <c r="E73" s="4" t="s">
        <v>8</v>
      </c>
      <c r="F73" s="4" t="s">
        <v>14</v>
      </c>
      <c r="G73" s="3">
        <v>12557.61</v>
      </c>
    </row>
    <row r="74" spans="1:7" ht="14.5">
      <c r="A74" s="3">
        <v>61</v>
      </c>
      <c r="B74" s="4" t="s">
        <v>10</v>
      </c>
      <c r="C74" s="3">
        <v>36.4</v>
      </c>
      <c r="D74" s="3">
        <v>1</v>
      </c>
      <c r="E74" s="4" t="s">
        <v>11</v>
      </c>
      <c r="F74" s="4" t="s">
        <v>13</v>
      </c>
      <c r="G74" s="3">
        <v>48517.56</v>
      </c>
    </row>
    <row r="75" spans="1:7" ht="14.5">
      <c r="A75" s="3">
        <v>61</v>
      </c>
      <c r="B75" s="4" t="s">
        <v>10</v>
      </c>
      <c r="C75" s="3">
        <v>31.2</v>
      </c>
      <c r="D75" s="3">
        <v>0</v>
      </c>
      <c r="E75" s="4" t="s">
        <v>8</v>
      </c>
      <c r="F75" s="4" t="s">
        <v>9</v>
      </c>
      <c r="G75" s="3">
        <v>13429.04</v>
      </c>
    </row>
    <row r="76" spans="1:7" ht="14.5">
      <c r="A76" s="3">
        <v>61</v>
      </c>
      <c r="B76" s="4" t="s">
        <v>10</v>
      </c>
      <c r="C76" s="3">
        <v>21.1</v>
      </c>
      <c r="D76" s="3">
        <v>0</v>
      </c>
      <c r="E76" s="4" t="s">
        <v>8</v>
      </c>
      <c r="F76" s="4" t="s">
        <v>9</v>
      </c>
      <c r="G76" s="3">
        <v>13415.04</v>
      </c>
    </row>
    <row r="77" spans="1:7" ht="14.5">
      <c r="A77" s="3">
        <v>61</v>
      </c>
      <c r="B77" s="4" t="s">
        <v>7</v>
      </c>
      <c r="C77" s="3">
        <v>35.9</v>
      </c>
      <c r="D77" s="3">
        <v>0</v>
      </c>
      <c r="E77" s="4" t="s">
        <v>11</v>
      </c>
      <c r="F77" s="4" t="s">
        <v>14</v>
      </c>
      <c r="G77" s="3">
        <v>46599.11</v>
      </c>
    </row>
    <row r="78" spans="1:7" ht="14.5">
      <c r="A78" s="3">
        <v>61</v>
      </c>
      <c r="B78" s="4" t="s">
        <v>7</v>
      </c>
      <c r="C78" s="3">
        <v>28.3</v>
      </c>
      <c r="D78" s="3">
        <v>1</v>
      </c>
      <c r="E78" s="4" t="s">
        <v>11</v>
      </c>
      <c r="F78" s="4" t="s">
        <v>9</v>
      </c>
      <c r="G78" s="3">
        <v>28868.66</v>
      </c>
    </row>
    <row r="79" spans="1:7" ht="14.5">
      <c r="A79" s="3">
        <v>61</v>
      </c>
      <c r="B79" s="4" t="s">
        <v>10</v>
      </c>
      <c r="C79" s="3">
        <v>25.1</v>
      </c>
      <c r="D79" s="3">
        <v>0</v>
      </c>
      <c r="E79" s="4" t="s">
        <v>8</v>
      </c>
      <c r="F79" s="4" t="s">
        <v>14</v>
      </c>
      <c r="G79" s="3">
        <v>24513.09</v>
      </c>
    </row>
    <row r="80" spans="1:7" ht="14.5">
      <c r="A80" s="3">
        <v>61</v>
      </c>
      <c r="B80" s="4" t="s">
        <v>7</v>
      </c>
      <c r="C80" s="3">
        <v>43.4</v>
      </c>
      <c r="D80" s="3">
        <v>0</v>
      </c>
      <c r="E80" s="4" t="s">
        <v>8</v>
      </c>
      <c r="F80" s="4" t="s">
        <v>12</v>
      </c>
      <c r="G80" s="3">
        <v>12574.05</v>
      </c>
    </row>
    <row r="81" spans="1:7" ht="14.5">
      <c r="A81" s="3">
        <v>61</v>
      </c>
      <c r="B81" s="4" t="s">
        <v>10</v>
      </c>
      <c r="C81" s="3">
        <v>35.9</v>
      </c>
      <c r="D81" s="3">
        <v>0</v>
      </c>
      <c r="E81" s="4" t="s">
        <v>8</v>
      </c>
      <c r="F81" s="4" t="s">
        <v>13</v>
      </c>
      <c r="G81" s="3">
        <v>13635.64</v>
      </c>
    </row>
    <row r="82" spans="1:7" ht="14.5">
      <c r="A82" s="3">
        <v>61</v>
      </c>
      <c r="B82" s="4" t="s">
        <v>7</v>
      </c>
      <c r="C82" s="3">
        <v>33.9</v>
      </c>
      <c r="D82" s="3">
        <v>0</v>
      </c>
      <c r="E82" s="4" t="s">
        <v>8</v>
      </c>
      <c r="F82" s="4" t="s">
        <v>13</v>
      </c>
      <c r="G82" s="3">
        <v>13143.86</v>
      </c>
    </row>
    <row r="83" spans="1:7" ht="14.5">
      <c r="A83" s="3">
        <v>61</v>
      </c>
      <c r="B83" s="4" t="s">
        <v>7</v>
      </c>
      <c r="C83" s="3">
        <v>36.1</v>
      </c>
      <c r="D83" s="3">
        <v>3</v>
      </c>
      <c r="E83" s="4" t="s">
        <v>8</v>
      </c>
      <c r="F83" s="4" t="s">
        <v>12</v>
      </c>
      <c r="G83" s="3">
        <v>27941.29</v>
      </c>
    </row>
    <row r="84" spans="1:7" ht="14.5">
      <c r="A84" s="3">
        <v>61</v>
      </c>
      <c r="B84" s="4" t="s">
        <v>7</v>
      </c>
      <c r="C84" s="3">
        <v>32.299999999999997</v>
      </c>
      <c r="D84" s="3">
        <v>2</v>
      </c>
      <c r="E84" s="4" t="s">
        <v>8</v>
      </c>
      <c r="F84" s="4" t="s">
        <v>9</v>
      </c>
      <c r="G84" s="3">
        <v>14119.62</v>
      </c>
    </row>
    <row r="85" spans="1:7" ht="14.5">
      <c r="A85" s="3">
        <v>61</v>
      </c>
      <c r="B85" s="4" t="s">
        <v>7</v>
      </c>
      <c r="C85" s="3">
        <v>23.7</v>
      </c>
      <c r="D85" s="3">
        <v>0</v>
      </c>
      <c r="E85" s="4" t="s">
        <v>8</v>
      </c>
      <c r="F85" s="4" t="s">
        <v>13</v>
      </c>
      <c r="G85" s="3">
        <v>13129.6</v>
      </c>
    </row>
    <row r="86" spans="1:7" ht="14.5">
      <c r="A86" s="3">
        <v>61</v>
      </c>
      <c r="B86" s="4" t="s">
        <v>10</v>
      </c>
      <c r="C86" s="3">
        <v>44</v>
      </c>
      <c r="D86" s="3">
        <v>0</v>
      </c>
      <c r="E86" s="4" t="s">
        <v>8</v>
      </c>
      <c r="F86" s="4" t="s">
        <v>12</v>
      </c>
      <c r="G86" s="3">
        <v>13063.88</v>
      </c>
    </row>
    <row r="87" spans="1:7" ht="14.5">
      <c r="A87" s="3">
        <v>61</v>
      </c>
      <c r="B87" s="4" t="s">
        <v>10</v>
      </c>
      <c r="C87" s="3">
        <v>28.2</v>
      </c>
      <c r="D87" s="3">
        <v>0</v>
      </c>
      <c r="E87" s="4" t="s">
        <v>8</v>
      </c>
      <c r="F87" s="4" t="s">
        <v>12</v>
      </c>
      <c r="G87" s="3">
        <v>13041.92</v>
      </c>
    </row>
    <row r="88" spans="1:7" ht="14.5">
      <c r="A88" s="3">
        <v>61</v>
      </c>
      <c r="B88" s="4" t="s">
        <v>10</v>
      </c>
      <c r="C88" s="3">
        <v>33.299999999999997</v>
      </c>
      <c r="D88" s="3">
        <v>4</v>
      </c>
      <c r="E88" s="4" t="s">
        <v>8</v>
      </c>
      <c r="F88" s="4" t="s">
        <v>14</v>
      </c>
      <c r="G88" s="3">
        <v>36580.28</v>
      </c>
    </row>
    <row r="89" spans="1:7" ht="14.5">
      <c r="A89" s="3">
        <v>61</v>
      </c>
      <c r="B89" s="4" t="s">
        <v>7</v>
      </c>
      <c r="C89" s="3">
        <v>38.4</v>
      </c>
      <c r="D89" s="3">
        <v>0</v>
      </c>
      <c r="E89" s="4" t="s">
        <v>8</v>
      </c>
      <c r="F89" s="4" t="s">
        <v>9</v>
      </c>
      <c r="G89" s="3">
        <v>12950.07</v>
      </c>
    </row>
    <row r="90" spans="1:7" ht="14.5">
      <c r="A90" s="3">
        <v>61</v>
      </c>
      <c r="B90" s="4" t="s">
        <v>7</v>
      </c>
      <c r="C90" s="3">
        <v>36.299999999999997</v>
      </c>
      <c r="D90" s="3">
        <v>1</v>
      </c>
      <c r="E90" s="4" t="s">
        <v>11</v>
      </c>
      <c r="F90" s="4" t="s">
        <v>12</v>
      </c>
      <c r="G90" s="3">
        <v>47403.88</v>
      </c>
    </row>
    <row r="91" spans="1:7" ht="14.5">
      <c r="A91" s="3">
        <v>61</v>
      </c>
      <c r="B91" s="4" t="s">
        <v>7</v>
      </c>
      <c r="C91" s="3">
        <v>33.5</v>
      </c>
      <c r="D91" s="3">
        <v>0</v>
      </c>
      <c r="E91" s="4" t="s">
        <v>8</v>
      </c>
      <c r="F91" s="4" t="s">
        <v>13</v>
      </c>
      <c r="G91" s="3">
        <v>13143.34</v>
      </c>
    </row>
    <row r="92" spans="1:7" ht="14.5">
      <c r="A92" s="3">
        <v>61</v>
      </c>
      <c r="B92" s="4" t="s">
        <v>10</v>
      </c>
      <c r="C92" s="3">
        <v>29.1</v>
      </c>
      <c r="D92" s="3">
        <v>0</v>
      </c>
      <c r="E92" s="4" t="s">
        <v>11</v>
      </c>
      <c r="F92" s="4" t="s">
        <v>9</v>
      </c>
      <c r="G92" s="3">
        <v>29141.360000000001</v>
      </c>
    </row>
    <row r="93" spans="1:7" ht="14.5">
      <c r="A93" s="3">
        <v>60</v>
      </c>
      <c r="B93" s="4" t="s">
        <v>10</v>
      </c>
      <c r="C93" s="3">
        <v>25.8</v>
      </c>
      <c r="D93" s="3">
        <v>0</v>
      </c>
      <c r="E93" s="4" t="s">
        <v>8</v>
      </c>
      <c r="F93" s="4" t="s">
        <v>9</v>
      </c>
      <c r="G93" s="3">
        <v>28923.14</v>
      </c>
    </row>
    <row r="94" spans="1:7" ht="14.5">
      <c r="A94" s="3">
        <v>60</v>
      </c>
      <c r="B94" s="4" t="s">
        <v>10</v>
      </c>
      <c r="C94" s="3">
        <v>36</v>
      </c>
      <c r="D94" s="3">
        <v>0</v>
      </c>
      <c r="E94" s="4" t="s">
        <v>8</v>
      </c>
      <c r="F94" s="4" t="s">
        <v>13</v>
      </c>
      <c r="G94" s="3">
        <v>13228.85</v>
      </c>
    </row>
    <row r="95" spans="1:7" ht="14.5">
      <c r="A95" s="3">
        <v>60</v>
      </c>
      <c r="B95" s="4" t="s">
        <v>7</v>
      </c>
      <c r="C95" s="3">
        <v>39.9</v>
      </c>
      <c r="D95" s="3">
        <v>0</v>
      </c>
      <c r="E95" s="4" t="s">
        <v>11</v>
      </c>
      <c r="F95" s="4" t="s">
        <v>12</v>
      </c>
      <c r="G95" s="3">
        <v>48173.36</v>
      </c>
    </row>
    <row r="96" spans="1:7" ht="14.5">
      <c r="A96" s="3">
        <v>60</v>
      </c>
      <c r="B96" s="4" t="s">
        <v>10</v>
      </c>
      <c r="C96" s="3">
        <v>24.5</v>
      </c>
      <c r="D96" s="3">
        <v>0</v>
      </c>
      <c r="E96" s="4" t="s">
        <v>8</v>
      </c>
      <c r="F96" s="4" t="s">
        <v>14</v>
      </c>
      <c r="G96" s="3">
        <v>12629.9</v>
      </c>
    </row>
    <row r="97" spans="1:7" ht="14.5">
      <c r="A97" s="3">
        <v>60</v>
      </c>
      <c r="B97" s="4" t="s">
        <v>7</v>
      </c>
      <c r="C97" s="3">
        <v>28.6</v>
      </c>
      <c r="D97" s="3">
        <v>0</v>
      </c>
      <c r="E97" s="4" t="s">
        <v>8</v>
      </c>
      <c r="F97" s="4" t="s">
        <v>13</v>
      </c>
      <c r="G97" s="3">
        <v>30260</v>
      </c>
    </row>
    <row r="98" spans="1:7" ht="14.5">
      <c r="A98" s="3">
        <v>60</v>
      </c>
      <c r="B98" s="4" t="s">
        <v>10</v>
      </c>
      <c r="C98" s="3">
        <v>24</v>
      </c>
      <c r="D98" s="3">
        <v>0</v>
      </c>
      <c r="E98" s="4" t="s">
        <v>8</v>
      </c>
      <c r="F98" s="4" t="s">
        <v>9</v>
      </c>
      <c r="G98" s="3">
        <v>13012.21</v>
      </c>
    </row>
    <row r="99" spans="1:7" ht="14.5">
      <c r="A99" s="3">
        <v>60</v>
      </c>
      <c r="B99" s="4" t="s">
        <v>10</v>
      </c>
      <c r="C99" s="3">
        <v>38.1</v>
      </c>
      <c r="D99" s="3">
        <v>0</v>
      </c>
      <c r="E99" s="4" t="s">
        <v>8</v>
      </c>
      <c r="F99" s="4" t="s">
        <v>14</v>
      </c>
      <c r="G99" s="3">
        <v>12648.7</v>
      </c>
    </row>
    <row r="100" spans="1:7" ht="14.5">
      <c r="A100" s="3">
        <v>60</v>
      </c>
      <c r="B100" s="4" t="s">
        <v>7</v>
      </c>
      <c r="C100" s="3">
        <v>25.7</v>
      </c>
      <c r="D100" s="3">
        <v>0</v>
      </c>
      <c r="E100" s="4" t="s">
        <v>8</v>
      </c>
      <c r="F100" s="4" t="s">
        <v>14</v>
      </c>
      <c r="G100" s="3">
        <v>12142.58</v>
      </c>
    </row>
    <row r="101" spans="1:7" ht="14.5">
      <c r="A101" s="3">
        <v>60</v>
      </c>
      <c r="B101" s="4" t="s">
        <v>10</v>
      </c>
      <c r="C101" s="3">
        <v>27.6</v>
      </c>
      <c r="D101" s="3">
        <v>0</v>
      </c>
      <c r="E101" s="4" t="s">
        <v>8</v>
      </c>
      <c r="F101" s="4" t="s">
        <v>13</v>
      </c>
      <c r="G101" s="3">
        <v>13217.09</v>
      </c>
    </row>
    <row r="102" spans="1:7" ht="14.5">
      <c r="A102" s="3">
        <v>60</v>
      </c>
      <c r="B102" s="4" t="s">
        <v>10</v>
      </c>
      <c r="C102" s="3">
        <v>30.5</v>
      </c>
      <c r="D102" s="3">
        <v>0</v>
      </c>
      <c r="E102" s="4" t="s">
        <v>8</v>
      </c>
      <c r="F102" s="4" t="s">
        <v>12</v>
      </c>
      <c r="G102" s="3">
        <v>12638.2</v>
      </c>
    </row>
    <row r="103" spans="1:7" ht="14.5">
      <c r="A103" s="3">
        <v>60</v>
      </c>
      <c r="B103" s="4" t="s">
        <v>7</v>
      </c>
      <c r="C103" s="3">
        <v>33.1</v>
      </c>
      <c r="D103" s="3">
        <v>3</v>
      </c>
      <c r="E103" s="4" t="s">
        <v>8</v>
      </c>
      <c r="F103" s="4" t="s">
        <v>14</v>
      </c>
      <c r="G103" s="3">
        <v>13919.82</v>
      </c>
    </row>
    <row r="104" spans="1:7" ht="14.5">
      <c r="A104" s="3">
        <v>60</v>
      </c>
      <c r="B104" s="4" t="s">
        <v>7</v>
      </c>
      <c r="C104" s="3">
        <v>29.6</v>
      </c>
      <c r="D104" s="3">
        <v>0</v>
      </c>
      <c r="E104" s="4" t="s">
        <v>8</v>
      </c>
      <c r="F104" s="4" t="s">
        <v>13</v>
      </c>
      <c r="G104" s="3">
        <v>12731</v>
      </c>
    </row>
    <row r="105" spans="1:7" ht="14.5">
      <c r="A105" s="3">
        <v>60</v>
      </c>
      <c r="B105" s="4" t="s">
        <v>10</v>
      </c>
      <c r="C105" s="3">
        <v>28.7</v>
      </c>
      <c r="D105" s="3">
        <v>1</v>
      </c>
      <c r="E105" s="4" t="s">
        <v>8</v>
      </c>
      <c r="F105" s="4" t="s">
        <v>12</v>
      </c>
      <c r="G105" s="3">
        <v>13224.69</v>
      </c>
    </row>
    <row r="106" spans="1:7" ht="14.5">
      <c r="A106" s="3">
        <v>60</v>
      </c>
      <c r="B106" s="4" t="s">
        <v>7</v>
      </c>
      <c r="C106" s="3">
        <v>31.4</v>
      </c>
      <c r="D106" s="3">
        <v>3</v>
      </c>
      <c r="E106" s="4" t="s">
        <v>11</v>
      </c>
      <c r="F106" s="4" t="s">
        <v>9</v>
      </c>
      <c r="G106" s="3">
        <v>46130.53</v>
      </c>
    </row>
    <row r="107" spans="1:7" ht="14.5">
      <c r="A107" s="3">
        <v>60</v>
      </c>
      <c r="B107" s="4" t="s">
        <v>7</v>
      </c>
      <c r="C107" s="3">
        <v>28.9</v>
      </c>
      <c r="D107" s="3">
        <v>0</v>
      </c>
      <c r="E107" s="4" t="s">
        <v>8</v>
      </c>
      <c r="F107" s="4" t="s">
        <v>12</v>
      </c>
      <c r="G107" s="3">
        <v>12146.97</v>
      </c>
    </row>
    <row r="108" spans="1:7" ht="14.5">
      <c r="A108" s="3">
        <v>60</v>
      </c>
      <c r="B108" s="4" t="s">
        <v>7</v>
      </c>
      <c r="C108" s="3">
        <v>24.3</v>
      </c>
      <c r="D108" s="3">
        <v>1</v>
      </c>
      <c r="E108" s="4" t="s">
        <v>8</v>
      </c>
      <c r="F108" s="4" t="s">
        <v>9</v>
      </c>
      <c r="G108" s="3">
        <v>13112.6</v>
      </c>
    </row>
    <row r="109" spans="1:7" ht="14.5">
      <c r="A109" s="3">
        <v>60</v>
      </c>
      <c r="B109" s="4" t="s">
        <v>7</v>
      </c>
      <c r="C109" s="3">
        <v>37</v>
      </c>
      <c r="D109" s="3">
        <v>0</v>
      </c>
      <c r="E109" s="4" t="s">
        <v>8</v>
      </c>
      <c r="F109" s="4" t="s">
        <v>13</v>
      </c>
      <c r="G109" s="3">
        <v>12741.17</v>
      </c>
    </row>
    <row r="110" spans="1:7" ht="14.5">
      <c r="A110" s="3">
        <v>60</v>
      </c>
      <c r="B110" s="4" t="s">
        <v>7</v>
      </c>
      <c r="C110" s="3">
        <v>24.3</v>
      </c>
      <c r="D110" s="3">
        <v>0</v>
      </c>
      <c r="E110" s="4" t="s">
        <v>8</v>
      </c>
      <c r="F110" s="4" t="s">
        <v>9</v>
      </c>
      <c r="G110" s="3">
        <v>12523.6</v>
      </c>
    </row>
    <row r="111" spans="1:7" ht="14.5">
      <c r="A111" s="3">
        <v>60</v>
      </c>
      <c r="B111" s="4" t="s">
        <v>10</v>
      </c>
      <c r="C111" s="3">
        <v>32.5</v>
      </c>
      <c r="D111" s="3">
        <v>0</v>
      </c>
      <c r="E111" s="4" t="s">
        <v>11</v>
      </c>
      <c r="F111" s="4" t="s">
        <v>14</v>
      </c>
      <c r="G111" s="3">
        <v>45008.959999999999</v>
      </c>
    </row>
    <row r="112" spans="1:7" ht="14.5">
      <c r="A112" s="3">
        <v>60</v>
      </c>
      <c r="B112" s="4" t="s">
        <v>7</v>
      </c>
      <c r="C112" s="3">
        <v>40.9</v>
      </c>
      <c r="D112" s="3">
        <v>0</v>
      </c>
      <c r="E112" s="4" t="s">
        <v>11</v>
      </c>
      <c r="F112" s="4" t="s">
        <v>14</v>
      </c>
      <c r="G112" s="3">
        <v>48673.56</v>
      </c>
    </row>
    <row r="113" spans="1:7" ht="14.5">
      <c r="A113" s="3">
        <v>60</v>
      </c>
      <c r="B113" s="4" t="s">
        <v>10</v>
      </c>
      <c r="C113" s="3">
        <v>35.1</v>
      </c>
      <c r="D113" s="3">
        <v>0</v>
      </c>
      <c r="E113" s="4" t="s">
        <v>8</v>
      </c>
      <c r="F113" s="4" t="s">
        <v>12</v>
      </c>
      <c r="G113" s="3">
        <v>12644.59</v>
      </c>
    </row>
    <row r="114" spans="1:7" ht="14.5">
      <c r="A114" s="3">
        <v>60</v>
      </c>
      <c r="B114" s="4" t="s">
        <v>10</v>
      </c>
      <c r="C114" s="3">
        <v>18.3</v>
      </c>
      <c r="D114" s="3">
        <v>0</v>
      </c>
      <c r="E114" s="4" t="s">
        <v>8</v>
      </c>
      <c r="F114" s="4" t="s">
        <v>13</v>
      </c>
      <c r="G114" s="3">
        <v>13204.29</v>
      </c>
    </row>
    <row r="115" spans="1:7" ht="14.5">
      <c r="A115" s="3">
        <v>60</v>
      </c>
      <c r="B115" s="4" t="s">
        <v>7</v>
      </c>
      <c r="C115" s="3">
        <v>32.799999999999997</v>
      </c>
      <c r="D115" s="3">
        <v>0</v>
      </c>
      <c r="E115" s="4" t="s">
        <v>11</v>
      </c>
      <c r="F115" s="4" t="s">
        <v>12</v>
      </c>
      <c r="G115" s="3">
        <v>52590.83</v>
      </c>
    </row>
    <row r="116" spans="1:7" ht="14.5">
      <c r="A116" s="3">
        <v>59</v>
      </c>
      <c r="B116" s="4" t="s">
        <v>10</v>
      </c>
      <c r="C116" s="3">
        <v>27.7</v>
      </c>
      <c r="D116" s="3">
        <v>3</v>
      </c>
      <c r="E116" s="4" t="s">
        <v>8</v>
      </c>
      <c r="F116" s="4" t="s">
        <v>14</v>
      </c>
      <c r="G116" s="3">
        <v>14001.13</v>
      </c>
    </row>
    <row r="117" spans="1:7" ht="14.5">
      <c r="A117" s="3">
        <v>59</v>
      </c>
      <c r="B117" s="4" t="s">
        <v>7</v>
      </c>
      <c r="C117" s="3">
        <v>29.8</v>
      </c>
      <c r="D117" s="3">
        <v>3</v>
      </c>
      <c r="E117" s="4" t="s">
        <v>11</v>
      </c>
      <c r="F117" s="4" t="s">
        <v>13</v>
      </c>
      <c r="G117" s="3">
        <v>30184.94</v>
      </c>
    </row>
    <row r="118" spans="1:7" ht="14.5">
      <c r="A118" s="3">
        <v>59</v>
      </c>
      <c r="B118" s="4" t="s">
        <v>10</v>
      </c>
      <c r="C118" s="3">
        <v>26.5</v>
      </c>
      <c r="D118" s="3">
        <v>0</v>
      </c>
      <c r="E118" s="4" t="s">
        <v>8</v>
      </c>
      <c r="F118" s="4" t="s">
        <v>13</v>
      </c>
      <c r="G118" s="3">
        <v>12815.44</v>
      </c>
    </row>
    <row r="119" spans="1:7" ht="14.5">
      <c r="A119" s="3">
        <v>59</v>
      </c>
      <c r="B119" s="4" t="s">
        <v>7</v>
      </c>
      <c r="C119" s="3">
        <v>26.4</v>
      </c>
      <c r="D119" s="3">
        <v>0</v>
      </c>
      <c r="E119" s="4" t="s">
        <v>8</v>
      </c>
      <c r="F119" s="4" t="s">
        <v>14</v>
      </c>
      <c r="G119" s="3">
        <v>11743.3</v>
      </c>
    </row>
    <row r="120" spans="1:7" ht="14.5">
      <c r="A120" s="3">
        <v>59</v>
      </c>
      <c r="B120" s="4" t="s">
        <v>10</v>
      </c>
      <c r="C120" s="3">
        <v>27.8</v>
      </c>
      <c r="D120" s="3">
        <v>3</v>
      </c>
      <c r="E120" s="4" t="s">
        <v>8</v>
      </c>
      <c r="F120" s="4" t="s">
        <v>14</v>
      </c>
      <c r="G120" s="3">
        <v>14001.29</v>
      </c>
    </row>
    <row r="121" spans="1:7" ht="14.5">
      <c r="A121" s="3">
        <v>59</v>
      </c>
      <c r="B121" s="4" t="s">
        <v>7</v>
      </c>
      <c r="C121" s="3">
        <v>27.5</v>
      </c>
      <c r="D121" s="3">
        <v>1</v>
      </c>
      <c r="E121" s="4" t="s">
        <v>8</v>
      </c>
      <c r="F121" s="4" t="s">
        <v>12</v>
      </c>
      <c r="G121" s="3">
        <v>12333.83</v>
      </c>
    </row>
    <row r="122" spans="1:7" ht="14.5">
      <c r="A122" s="3">
        <v>59</v>
      </c>
      <c r="B122" s="4" t="s">
        <v>10</v>
      </c>
      <c r="C122" s="3">
        <v>32.4</v>
      </c>
      <c r="D122" s="3">
        <v>3</v>
      </c>
      <c r="E122" s="4" t="s">
        <v>8</v>
      </c>
      <c r="F122" s="4" t="s">
        <v>13</v>
      </c>
      <c r="G122" s="3">
        <v>14590.63</v>
      </c>
    </row>
    <row r="123" spans="1:7" ht="14.5">
      <c r="A123" s="3">
        <v>59</v>
      </c>
      <c r="B123" s="4" t="s">
        <v>7</v>
      </c>
      <c r="C123" s="3">
        <v>31.8</v>
      </c>
      <c r="D123" s="3">
        <v>2</v>
      </c>
      <c r="E123" s="4" t="s">
        <v>8</v>
      </c>
      <c r="F123" s="4" t="s">
        <v>14</v>
      </c>
      <c r="G123" s="3">
        <v>12928.79</v>
      </c>
    </row>
    <row r="124" spans="1:7" ht="14.5">
      <c r="A124" s="3">
        <v>59</v>
      </c>
      <c r="B124" s="4" t="s">
        <v>10</v>
      </c>
      <c r="C124" s="3">
        <v>36.799999999999997</v>
      </c>
      <c r="D124" s="3">
        <v>1</v>
      </c>
      <c r="E124" s="4" t="s">
        <v>11</v>
      </c>
      <c r="F124" s="4" t="s">
        <v>13</v>
      </c>
      <c r="G124" s="3">
        <v>47896.79</v>
      </c>
    </row>
    <row r="125" spans="1:7" ht="14.5">
      <c r="A125" s="3">
        <v>59</v>
      </c>
      <c r="B125" s="4" t="s">
        <v>10</v>
      </c>
      <c r="C125" s="3">
        <v>36.5</v>
      </c>
      <c r="D125" s="3">
        <v>1</v>
      </c>
      <c r="E125" s="4" t="s">
        <v>8</v>
      </c>
      <c r="F125" s="4" t="s">
        <v>14</v>
      </c>
      <c r="G125" s="3">
        <v>28287.9</v>
      </c>
    </row>
    <row r="126" spans="1:7" ht="14.5">
      <c r="A126" s="3">
        <v>59</v>
      </c>
      <c r="B126" s="4" t="s">
        <v>7</v>
      </c>
      <c r="C126" s="3">
        <v>37.4</v>
      </c>
      <c r="D126" s="3">
        <v>0</v>
      </c>
      <c r="E126" s="4" t="s">
        <v>8</v>
      </c>
      <c r="F126" s="4" t="s">
        <v>12</v>
      </c>
      <c r="G126" s="3">
        <v>21797</v>
      </c>
    </row>
    <row r="127" spans="1:7" ht="14.5">
      <c r="A127" s="3">
        <v>59</v>
      </c>
      <c r="B127" s="4" t="s">
        <v>7</v>
      </c>
      <c r="C127" s="3">
        <v>29.7</v>
      </c>
      <c r="D127" s="3">
        <v>2</v>
      </c>
      <c r="E127" s="4" t="s">
        <v>8</v>
      </c>
      <c r="F127" s="4" t="s">
        <v>14</v>
      </c>
      <c r="G127" s="3">
        <v>12925.89</v>
      </c>
    </row>
    <row r="128" spans="1:7" ht="14.5">
      <c r="A128" s="3">
        <v>59</v>
      </c>
      <c r="B128" s="4" t="s">
        <v>7</v>
      </c>
      <c r="C128" s="3">
        <v>25.5</v>
      </c>
      <c r="D128" s="3">
        <v>1</v>
      </c>
      <c r="E128" s="4" t="s">
        <v>8</v>
      </c>
      <c r="F128" s="4" t="s">
        <v>13</v>
      </c>
      <c r="G128" s="3">
        <v>12913.99</v>
      </c>
    </row>
    <row r="129" spans="1:7" ht="14.5">
      <c r="A129" s="3">
        <v>59</v>
      </c>
      <c r="B129" s="4" t="s">
        <v>10</v>
      </c>
      <c r="C129" s="3">
        <v>23.7</v>
      </c>
      <c r="D129" s="3">
        <v>0</v>
      </c>
      <c r="E129" s="4" t="s">
        <v>11</v>
      </c>
      <c r="F129" s="4" t="s">
        <v>9</v>
      </c>
      <c r="G129" s="3">
        <v>25678.78</v>
      </c>
    </row>
    <row r="130" spans="1:7" ht="14.5">
      <c r="A130" s="3">
        <v>59</v>
      </c>
      <c r="B130" s="4" t="s">
        <v>7</v>
      </c>
      <c r="C130" s="3">
        <v>28.8</v>
      </c>
      <c r="D130" s="3">
        <v>0</v>
      </c>
      <c r="E130" s="4" t="s">
        <v>8</v>
      </c>
      <c r="F130" s="4" t="s">
        <v>9</v>
      </c>
      <c r="G130" s="3">
        <v>12129.61</v>
      </c>
    </row>
    <row r="131" spans="1:7" ht="14.5">
      <c r="A131" s="3">
        <v>59</v>
      </c>
      <c r="B131" s="4" t="s">
        <v>10</v>
      </c>
      <c r="C131" s="3">
        <v>35.200000000000003</v>
      </c>
      <c r="D131" s="3">
        <v>0</v>
      </c>
      <c r="E131" s="4" t="s">
        <v>8</v>
      </c>
      <c r="F131" s="4" t="s">
        <v>14</v>
      </c>
      <c r="G131" s="3">
        <v>12244.53</v>
      </c>
    </row>
    <row r="132" spans="1:7" ht="14.5">
      <c r="A132" s="3">
        <v>59</v>
      </c>
      <c r="B132" s="4" t="s">
        <v>10</v>
      </c>
      <c r="C132" s="3">
        <v>32.1</v>
      </c>
      <c r="D132" s="3">
        <v>3</v>
      </c>
      <c r="E132" s="4" t="s">
        <v>8</v>
      </c>
      <c r="F132" s="4" t="s">
        <v>12</v>
      </c>
      <c r="G132" s="3">
        <v>14007.22</v>
      </c>
    </row>
    <row r="133" spans="1:7" ht="14.5">
      <c r="A133" s="3">
        <v>59</v>
      </c>
      <c r="B133" s="4" t="s">
        <v>10</v>
      </c>
      <c r="C133" s="3">
        <v>31.4</v>
      </c>
      <c r="D133" s="3">
        <v>0</v>
      </c>
      <c r="E133" s="4" t="s">
        <v>8</v>
      </c>
      <c r="F133" s="4" t="s">
        <v>9</v>
      </c>
      <c r="G133" s="3">
        <v>12622.18</v>
      </c>
    </row>
    <row r="134" spans="1:7" ht="14.5">
      <c r="A134" s="3">
        <v>59</v>
      </c>
      <c r="B134" s="4" t="s">
        <v>7</v>
      </c>
      <c r="C134" s="3">
        <v>24.7</v>
      </c>
      <c r="D134" s="3">
        <v>0</v>
      </c>
      <c r="E134" s="4" t="s">
        <v>8</v>
      </c>
      <c r="F134" s="4" t="s">
        <v>13</v>
      </c>
      <c r="G134" s="3">
        <v>12323.94</v>
      </c>
    </row>
    <row r="135" spans="1:7" ht="14.5">
      <c r="A135" s="3">
        <v>59</v>
      </c>
      <c r="B135" s="4" t="s">
        <v>10</v>
      </c>
      <c r="C135" s="3">
        <v>26.7</v>
      </c>
      <c r="D135" s="3">
        <v>3</v>
      </c>
      <c r="E135" s="4" t="s">
        <v>8</v>
      </c>
      <c r="F135" s="4" t="s">
        <v>9</v>
      </c>
      <c r="G135" s="3">
        <v>14382.71</v>
      </c>
    </row>
    <row r="136" spans="1:7" ht="14.5">
      <c r="A136" s="3">
        <v>59</v>
      </c>
      <c r="B136" s="4" t="s">
        <v>10</v>
      </c>
      <c r="C136" s="3">
        <v>27.5</v>
      </c>
      <c r="D136" s="3">
        <v>0</v>
      </c>
      <c r="E136" s="4" t="s">
        <v>8</v>
      </c>
      <c r="F136" s="4" t="s">
        <v>12</v>
      </c>
      <c r="G136" s="3">
        <v>12233.83</v>
      </c>
    </row>
    <row r="137" spans="1:7" ht="14.5">
      <c r="A137" s="3">
        <v>59</v>
      </c>
      <c r="B137" s="4" t="s">
        <v>7</v>
      </c>
      <c r="C137" s="3">
        <v>25.5</v>
      </c>
      <c r="D137" s="3">
        <v>0</v>
      </c>
      <c r="E137" s="4" t="s">
        <v>8</v>
      </c>
      <c r="F137" s="4" t="s">
        <v>9</v>
      </c>
      <c r="G137" s="3">
        <v>12124.99</v>
      </c>
    </row>
    <row r="138" spans="1:7" ht="14.5">
      <c r="A138" s="3">
        <v>59</v>
      </c>
      <c r="B138" s="4" t="s">
        <v>7</v>
      </c>
      <c r="C138" s="3">
        <v>41.1</v>
      </c>
      <c r="D138" s="3">
        <v>1</v>
      </c>
      <c r="E138" s="4" t="s">
        <v>11</v>
      </c>
      <c r="F138" s="4" t="s">
        <v>14</v>
      </c>
      <c r="G138" s="3">
        <v>48970.25</v>
      </c>
    </row>
    <row r="139" spans="1:7" ht="14.5">
      <c r="A139" s="3">
        <v>59</v>
      </c>
      <c r="B139" s="4" t="s">
        <v>10</v>
      </c>
      <c r="C139" s="3">
        <v>34.799999999999997</v>
      </c>
      <c r="D139" s="3">
        <v>2</v>
      </c>
      <c r="E139" s="4" t="s">
        <v>8</v>
      </c>
      <c r="F139" s="4" t="s">
        <v>12</v>
      </c>
      <c r="G139" s="3">
        <v>36910.61</v>
      </c>
    </row>
    <row r="140" spans="1:7" ht="14.5">
      <c r="A140" s="3">
        <v>59</v>
      </c>
      <c r="B140" s="4" t="s">
        <v>7</v>
      </c>
      <c r="C140" s="3">
        <v>37.1</v>
      </c>
      <c r="D140" s="3">
        <v>1</v>
      </c>
      <c r="E140" s="4" t="s">
        <v>8</v>
      </c>
      <c r="F140" s="4" t="s">
        <v>12</v>
      </c>
      <c r="G140" s="3">
        <v>12347.17</v>
      </c>
    </row>
    <row r="141" spans="1:7" ht="14.5">
      <c r="A141" s="3">
        <v>58</v>
      </c>
      <c r="B141" s="4" t="s">
        <v>7</v>
      </c>
      <c r="C141" s="3">
        <v>37</v>
      </c>
      <c r="D141" s="3">
        <v>2</v>
      </c>
      <c r="E141" s="4" t="s">
        <v>11</v>
      </c>
      <c r="F141" s="4" t="s">
        <v>9</v>
      </c>
      <c r="G141" s="3">
        <v>47496.49</v>
      </c>
    </row>
    <row r="142" spans="1:7" ht="14.5">
      <c r="A142" s="3">
        <v>58</v>
      </c>
      <c r="B142" s="4" t="s">
        <v>10</v>
      </c>
      <c r="C142" s="3">
        <v>31.8</v>
      </c>
      <c r="D142" s="3">
        <v>2</v>
      </c>
      <c r="E142" s="4" t="s">
        <v>8</v>
      </c>
      <c r="F142" s="4" t="s">
        <v>13</v>
      </c>
      <c r="G142" s="3">
        <v>13607.37</v>
      </c>
    </row>
    <row r="143" spans="1:7" ht="14.5">
      <c r="A143" s="3">
        <v>58</v>
      </c>
      <c r="B143" s="4" t="s">
        <v>7</v>
      </c>
      <c r="C143" s="3">
        <v>32</v>
      </c>
      <c r="D143" s="3">
        <v>1</v>
      </c>
      <c r="E143" s="4" t="s">
        <v>8</v>
      </c>
      <c r="F143" s="4" t="s">
        <v>14</v>
      </c>
      <c r="G143" s="3">
        <v>11946.63</v>
      </c>
    </row>
    <row r="144" spans="1:7" ht="14.5">
      <c r="A144" s="3">
        <v>58</v>
      </c>
      <c r="B144" s="4" t="s">
        <v>7</v>
      </c>
      <c r="C144" s="3">
        <v>49.1</v>
      </c>
      <c r="D144" s="3">
        <v>0</v>
      </c>
      <c r="E144" s="4" t="s">
        <v>8</v>
      </c>
      <c r="F144" s="4" t="s">
        <v>14</v>
      </c>
      <c r="G144" s="3">
        <v>11381.33</v>
      </c>
    </row>
    <row r="145" spans="1:7" ht="14.5">
      <c r="A145" s="3">
        <v>58</v>
      </c>
      <c r="B145" s="4" t="s">
        <v>7</v>
      </c>
      <c r="C145" s="3">
        <v>28.6</v>
      </c>
      <c r="D145" s="3">
        <v>0</v>
      </c>
      <c r="E145" s="4" t="s">
        <v>8</v>
      </c>
      <c r="F145" s="4" t="s">
        <v>9</v>
      </c>
      <c r="G145" s="3">
        <v>11735.88</v>
      </c>
    </row>
    <row r="146" spans="1:7" ht="14.5">
      <c r="A146" s="3">
        <v>58</v>
      </c>
      <c r="B146" s="4" t="s">
        <v>10</v>
      </c>
      <c r="C146" s="3">
        <v>41.9</v>
      </c>
      <c r="D146" s="3">
        <v>0</v>
      </c>
      <c r="E146" s="4" t="s">
        <v>8</v>
      </c>
      <c r="F146" s="4" t="s">
        <v>14</v>
      </c>
      <c r="G146" s="3">
        <v>24227.34</v>
      </c>
    </row>
    <row r="147" spans="1:7" ht="14.5">
      <c r="A147" s="3">
        <v>58</v>
      </c>
      <c r="B147" s="4" t="s">
        <v>10</v>
      </c>
      <c r="C147" s="3">
        <v>25.2</v>
      </c>
      <c r="D147" s="3">
        <v>0</v>
      </c>
      <c r="E147" s="4" t="s">
        <v>8</v>
      </c>
      <c r="F147" s="4" t="s">
        <v>12</v>
      </c>
      <c r="G147" s="3">
        <v>11837.16</v>
      </c>
    </row>
    <row r="148" spans="1:7" ht="14.5">
      <c r="A148" s="3">
        <v>58</v>
      </c>
      <c r="B148" s="4" t="s">
        <v>7</v>
      </c>
      <c r="C148" s="3">
        <v>34.9</v>
      </c>
      <c r="D148" s="3">
        <v>0</v>
      </c>
      <c r="E148" s="4" t="s">
        <v>8</v>
      </c>
      <c r="F148" s="4" t="s">
        <v>13</v>
      </c>
      <c r="G148" s="3">
        <v>11944.59</v>
      </c>
    </row>
    <row r="149" spans="1:7" ht="14.5">
      <c r="A149" s="3">
        <v>58</v>
      </c>
      <c r="B149" s="4" t="s">
        <v>10</v>
      </c>
      <c r="C149" s="3">
        <v>39.1</v>
      </c>
      <c r="D149" s="3">
        <v>0</v>
      </c>
      <c r="E149" s="4" t="s">
        <v>8</v>
      </c>
      <c r="F149" s="4" t="s">
        <v>14</v>
      </c>
      <c r="G149" s="3">
        <v>11856.41</v>
      </c>
    </row>
    <row r="150" spans="1:7" ht="14.5">
      <c r="A150" s="3">
        <v>58</v>
      </c>
      <c r="B150" s="4" t="s">
        <v>7</v>
      </c>
      <c r="C150" s="3">
        <v>35.700000000000003</v>
      </c>
      <c r="D150" s="3">
        <v>0</v>
      </c>
      <c r="E150" s="4" t="s">
        <v>8</v>
      </c>
      <c r="F150" s="4" t="s">
        <v>12</v>
      </c>
      <c r="G150" s="3">
        <v>11362.76</v>
      </c>
    </row>
    <row r="151" spans="1:7" ht="14.5">
      <c r="A151" s="3">
        <v>58</v>
      </c>
      <c r="B151" s="4" t="s">
        <v>10</v>
      </c>
      <c r="C151" s="3">
        <v>27.2</v>
      </c>
      <c r="D151" s="3">
        <v>0</v>
      </c>
      <c r="E151" s="4" t="s">
        <v>8</v>
      </c>
      <c r="F151" s="4" t="s">
        <v>9</v>
      </c>
      <c r="G151" s="3">
        <v>12222.9</v>
      </c>
    </row>
    <row r="152" spans="1:7" ht="14.5">
      <c r="A152" s="3">
        <v>58</v>
      </c>
      <c r="B152" s="4" t="s">
        <v>10</v>
      </c>
      <c r="C152" s="3">
        <v>29</v>
      </c>
      <c r="D152" s="3">
        <v>0</v>
      </c>
      <c r="E152" s="4" t="s">
        <v>8</v>
      </c>
      <c r="F152" s="4" t="s">
        <v>12</v>
      </c>
      <c r="G152" s="3">
        <v>11842.44</v>
      </c>
    </row>
    <row r="153" spans="1:7" ht="14.5">
      <c r="A153" s="3">
        <v>58</v>
      </c>
      <c r="B153" s="4" t="s">
        <v>7</v>
      </c>
      <c r="C153" s="3">
        <v>38</v>
      </c>
      <c r="D153" s="3">
        <v>0</v>
      </c>
      <c r="E153" s="4" t="s">
        <v>8</v>
      </c>
      <c r="F153" s="4" t="s">
        <v>12</v>
      </c>
      <c r="G153" s="3">
        <v>11365.95</v>
      </c>
    </row>
    <row r="154" spans="1:7" ht="14.5">
      <c r="A154" s="3">
        <v>58</v>
      </c>
      <c r="B154" s="4" t="s">
        <v>10</v>
      </c>
      <c r="C154" s="3">
        <v>33</v>
      </c>
      <c r="D154" s="3">
        <v>0</v>
      </c>
      <c r="E154" s="4" t="s">
        <v>8</v>
      </c>
      <c r="F154" s="4" t="s">
        <v>13</v>
      </c>
      <c r="G154" s="3">
        <v>12430.95</v>
      </c>
    </row>
    <row r="155" spans="1:7" ht="14.5">
      <c r="A155" s="3">
        <v>58</v>
      </c>
      <c r="B155" s="4" t="s">
        <v>10</v>
      </c>
      <c r="C155" s="3">
        <v>33.4</v>
      </c>
      <c r="D155" s="3">
        <v>0</v>
      </c>
      <c r="E155" s="4" t="s">
        <v>8</v>
      </c>
      <c r="F155" s="4" t="s">
        <v>9</v>
      </c>
      <c r="G155" s="3">
        <v>12231.61</v>
      </c>
    </row>
    <row r="156" spans="1:7" ht="14.5">
      <c r="A156" s="3">
        <v>58</v>
      </c>
      <c r="B156" s="4" t="s">
        <v>10</v>
      </c>
      <c r="C156" s="3">
        <v>22.8</v>
      </c>
      <c r="D156" s="3">
        <v>0</v>
      </c>
      <c r="E156" s="4" t="s">
        <v>8</v>
      </c>
      <c r="F156" s="4" t="s">
        <v>14</v>
      </c>
      <c r="G156" s="3">
        <v>11833.78</v>
      </c>
    </row>
    <row r="157" spans="1:7" ht="14.5">
      <c r="A157" s="3">
        <v>58</v>
      </c>
      <c r="B157" s="4" t="s">
        <v>10</v>
      </c>
      <c r="C157" s="3">
        <v>33.1</v>
      </c>
      <c r="D157" s="3">
        <v>0</v>
      </c>
      <c r="E157" s="4" t="s">
        <v>8</v>
      </c>
      <c r="F157" s="4" t="s">
        <v>12</v>
      </c>
      <c r="G157" s="3">
        <v>11848.14</v>
      </c>
    </row>
    <row r="158" spans="1:7" ht="14.5">
      <c r="A158" s="3">
        <v>58</v>
      </c>
      <c r="B158" s="4" t="s">
        <v>7</v>
      </c>
      <c r="C158" s="3">
        <v>34.4</v>
      </c>
      <c r="D158" s="3">
        <v>0</v>
      </c>
      <c r="E158" s="4" t="s">
        <v>8</v>
      </c>
      <c r="F158" s="4" t="s">
        <v>9</v>
      </c>
      <c r="G158" s="3">
        <v>11743.93</v>
      </c>
    </row>
    <row r="159" spans="1:7" ht="14.5">
      <c r="A159" s="3">
        <v>58</v>
      </c>
      <c r="B159" s="4" t="s">
        <v>7</v>
      </c>
      <c r="C159" s="3">
        <v>36.1</v>
      </c>
      <c r="D159" s="3">
        <v>0</v>
      </c>
      <c r="E159" s="4" t="s">
        <v>8</v>
      </c>
      <c r="F159" s="4" t="s">
        <v>14</v>
      </c>
      <c r="G159" s="3">
        <v>11363.28</v>
      </c>
    </row>
    <row r="160" spans="1:7" ht="14.5">
      <c r="A160" s="3">
        <v>58</v>
      </c>
      <c r="B160" s="4" t="s">
        <v>10</v>
      </c>
      <c r="C160" s="3">
        <v>36.5</v>
      </c>
      <c r="D160" s="3">
        <v>0</v>
      </c>
      <c r="E160" s="4" t="s">
        <v>8</v>
      </c>
      <c r="F160" s="4" t="s">
        <v>9</v>
      </c>
      <c r="G160" s="3">
        <v>12235.84</v>
      </c>
    </row>
    <row r="161" spans="1:7" ht="14.5">
      <c r="A161" s="3">
        <v>58</v>
      </c>
      <c r="B161" s="4" t="s">
        <v>10</v>
      </c>
      <c r="C161" s="3">
        <v>32.4</v>
      </c>
      <c r="D161" s="3">
        <v>1</v>
      </c>
      <c r="E161" s="4" t="s">
        <v>8</v>
      </c>
      <c r="F161" s="4" t="s">
        <v>13</v>
      </c>
      <c r="G161" s="3">
        <v>13019.16</v>
      </c>
    </row>
    <row r="162" spans="1:7" ht="14.5">
      <c r="A162" s="3">
        <v>58</v>
      </c>
      <c r="B162" s="4" t="s">
        <v>7</v>
      </c>
      <c r="C162" s="3">
        <v>30.3</v>
      </c>
      <c r="D162" s="3">
        <v>0</v>
      </c>
      <c r="E162" s="4" t="s">
        <v>8</v>
      </c>
      <c r="F162" s="4" t="s">
        <v>13</v>
      </c>
      <c r="G162" s="3">
        <v>11938.26</v>
      </c>
    </row>
    <row r="163" spans="1:7" ht="14.5">
      <c r="A163" s="3">
        <v>58</v>
      </c>
      <c r="B163" s="4" t="s">
        <v>7</v>
      </c>
      <c r="C163" s="3">
        <v>23.3</v>
      </c>
      <c r="D163" s="3">
        <v>0</v>
      </c>
      <c r="E163" s="4" t="s">
        <v>8</v>
      </c>
      <c r="F163" s="4" t="s">
        <v>12</v>
      </c>
      <c r="G163" s="3">
        <v>11345.52</v>
      </c>
    </row>
    <row r="164" spans="1:7" ht="14.5">
      <c r="A164" s="3">
        <v>58</v>
      </c>
      <c r="B164" s="4" t="s">
        <v>10</v>
      </c>
      <c r="C164" s="3">
        <v>28.2</v>
      </c>
      <c r="D164" s="3">
        <v>0</v>
      </c>
      <c r="E164" s="4" t="s">
        <v>8</v>
      </c>
      <c r="F164" s="4" t="s">
        <v>9</v>
      </c>
      <c r="G164" s="3">
        <v>12224.35</v>
      </c>
    </row>
    <row r="165" spans="1:7" ht="14.5">
      <c r="A165" s="3">
        <v>58</v>
      </c>
      <c r="B165" s="4" t="s">
        <v>7</v>
      </c>
      <c r="C165" s="3">
        <v>25.2</v>
      </c>
      <c r="D165" s="3">
        <v>0</v>
      </c>
      <c r="E165" s="4" t="s">
        <v>8</v>
      </c>
      <c r="F165" s="4" t="s">
        <v>13</v>
      </c>
      <c r="G165" s="3">
        <v>11931.13</v>
      </c>
    </row>
    <row r="166" spans="1:7" ht="14.5">
      <c r="A166" s="3">
        <v>57</v>
      </c>
      <c r="B166" s="4" t="s">
        <v>7</v>
      </c>
      <c r="C166" s="3">
        <v>34</v>
      </c>
      <c r="D166" s="3">
        <v>0</v>
      </c>
      <c r="E166" s="4" t="s">
        <v>8</v>
      </c>
      <c r="F166" s="4" t="s">
        <v>9</v>
      </c>
      <c r="G166" s="3">
        <v>11356.66</v>
      </c>
    </row>
    <row r="167" spans="1:7" ht="14.5">
      <c r="A167" s="3">
        <v>57</v>
      </c>
      <c r="B167" s="4" t="s">
        <v>10</v>
      </c>
      <c r="C167" s="3">
        <v>31.2</v>
      </c>
      <c r="D167" s="3">
        <v>0</v>
      </c>
      <c r="E167" s="4" t="s">
        <v>11</v>
      </c>
      <c r="F167" s="4" t="s">
        <v>9</v>
      </c>
      <c r="G167" s="3">
        <v>43578.94</v>
      </c>
    </row>
    <row r="168" spans="1:7" ht="14.5">
      <c r="A168" s="3">
        <v>57</v>
      </c>
      <c r="B168" s="4" t="s">
        <v>10</v>
      </c>
      <c r="C168" s="3">
        <v>38</v>
      </c>
      <c r="D168" s="3">
        <v>2</v>
      </c>
      <c r="E168" s="4" t="s">
        <v>8</v>
      </c>
      <c r="F168" s="4" t="s">
        <v>12</v>
      </c>
      <c r="G168" s="3">
        <v>12646.21</v>
      </c>
    </row>
    <row r="169" spans="1:7" ht="14.5">
      <c r="A169" s="3">
        <v>57</v>
      </c>
      <c r="B169" s="4" t="s">
        <v>7</v>
      </c>
      <c r="C169" s="3">
        <v>40.9</v>
      </c>
      <c r="D169" s="3">
        <v>0</v>
      </c>
      <c r="E169" s="4" t="s">
        <v>8</v>
      </c>
      <c r="F169" s="4" t="s">
        <v>13</v>
      </c>
      <c r="G169" s="3">
        <v>11566.3</v>
      </c>
    </row>
    <row r="170" spans="1:7" ht="14.5">
      <c r="A170" s="3">
        <v>57</v>
      </c>
      <c r="B170" s="4" t="s">
        <v>10</v>
      </c>
      <c r="C170" s="3">
        <v>23.2</v>
      </c>
      <c r="D170" s="3">
        <v>0</v>
      </c>
      <c r="E170" s="4" t="s">
        <v>8</v>
      </c>
      <c r="F170" s="4" t="s">
        <v>9</v>
      </c>
      <c r="G170" s="3">
        <v>11830.61</v>
      </c>
    </row>
    <row r="171" spans="1:7" ht="14.5">
      <c r="A171" s="3">
        <v>57</v>
      </c>
      <c r="B171" s="4" t="s">
        <v>10</v>
      </c>
      <c r="C171" s="3">
        <v>22.2</v>
      </c>
      <c r="D171" s="3">
        <v>0</v>
      </c>
      <c r="E171" s="4" t="s">
        <v>8</v>
      </c>
      <c r="F171" s="4" t="s">
        <v>13</v>
      </c>
      <c r="G171" s="3">
        <v>12029.29</v>
      </c>
    </row>
    <row r="172" spans="1:7" ht="14.5">
      <c r="A172" s="3">
        <v>57</v>
      </c>
      <c r="B172" s="4" t="s">
        <v>10</v>
      </c>
      <c r="C172" s="3">
        <v>30.5</v>
      </c>
      <c r="D172" s="3">
        <v>0</v>
      </c>
      <c r="E172" s="4" t="s">
        <v>8</v>
      </c>
      <c r="F172" s="4" t="s">
        <v>9</v>
      </c>
      <c r="G172" s="3">
        <v>11840.78</v>
      </c>
    </row>
    <row r="173" spans="1:7" ht="14.5">
      <c r="A173" s="3">
        <v>57</v>
      </c>
      <c r="B173" s="4" t="s">
        <v>10</v>
      </c>
      <c r="C173" s="3">
        <v>28.7</v>
      </c>
      <c r="D173" s="3">
        <v>0</v>
      </c>
      <c r="E173" s="4" t="s">
        <v>8</v>
      </c>
      <c r="F173" s="4" t="s">
        <v>12</v>
      </c>
      <c r="G173" s="3">
        <v>11455.28</v>
      </c>
    </row>
    <row r="174" spans="1:7" ht="14.5">
      <c r="A174" s="3">
        <v>57</v>
      </c>
      <c r="B174" s="4" t="s">
        <v>7</v>
      </c>
      <c r="C174" s="3">
        <v>42.1</v>
      </c>
      <c r="D174" s="3">
        <v>1</v>
      </c>
      <c r="E174" s="4" t="s">
        <v>11</v>
      </c>
      <c r="F174" s="4" t="s">
        <v>14</v>
      </c>
      <c r="G174" s="3">
        <v>48675.519999999997</v>
      </c>
    </row>
    <row r="175" spans="1:7" ht="14.5">
      <c r="A175" s="3">
        <v>57</v>
      </c>
      <c r="B175" s="4" t="s">
        <v>10</v>
      </c>
      <c r="C175" s="3">
        <v>34.299999999999997</v>
      </c>
      <c r="D175" s="3">
        <v>2</v>
      </c>
      <c r="E175" s="4" t="s">
        <v>8</v>
      </c>
      <c r="F175" s="4" t="s">
        <v>13</v>
      </c>
      <c r="G175" s="3">
        <v>13224.06</v>
      </c>
    </row>
    <row r="176" spans="1:7" ht="14.5">
      <c r="A176" s="3">
        <v>57</v>
      </c>
      <c r="B176" s="4" t="s">
        <v>10</v>
      </c>
      <c r="C176" s="3">
        <v>28.8</v>
      </c>
      <c r="D176" s="3">
        <v>4</v>
      </c>
      <c r="E176" s="4" t="s">
        <v>8</v>
      </c>
      <c r="F176" s="4" t="s">
        <v>13</v>
      </c>
      <c r="G176" s="3">
        <v>14394.4</v>
      </c>
    </row>
    <row r="177" spans="1:7" ht="14.5">
      <c r="A177" s="3">
        <v>57</v>
      </c>
      <c r="B177" s="4" t="s">
        <v>10</v>
      </c>
      <c r="C177" s="3">
        <v>24</v>
      </c>
      <c r="D177" s="3">
        <v>1</v>
      </c>
      <c r="E177" s="4" t="s">
        <v>8</v>
      </c>
      <c r="F177" s="4" t="s">
        <v>14</v>
      </c>
      <c r="G177" s="3">
        <v>22192.44</v>
      </c>
    </row>
    <row r="178" spans="1:7" ht="14.5">
      <c r="A178" s="3">
        <v>57</v>
      </c>
      <c r="B178" s="4" t="s">
        <v>10</v>
      </c>
      <c r="C178" s="3">
        <v>31.8</v>
      </c>
      <c r="D178" s="3">
        <v>0</v>
      </c>
      <c r="E178" s="4" t="s">
        <v>8</v>
      </c>
      <c r="F178" s="4" t="s">
        <v>9</v>
      </c>
      <c r="G178" s="3">
        <v>11842.62</v>
      </c>
    </row>
    <row r="179" spans="1:7" ht="14.5">
      <c r="A179" s="3">
        <v>57</v>
      </c>
      <c r="B179" s="4" t="s">
        <v>10</v>
      </c>
      <c r="C179" s="3">
        <v>29.8</v>
      </c>
      <c r="D179" s="3">
        <v>0</v>
      </c>
      <c r="E179" s="4" t="s">
        <v>11</v>
      </c>
      <c r="F179" s="4" t="s">
        <v>14</v>
      </c>
      <c r="G179" s="3">
        <v>27533.91</v>
      </c>
    </row>
    <row r="180" spans="1:7" ht="14.5">
      <c r="A180" s="3">
        <v>57</v>
      </c>
      <c r="B180" s="4" t="s">
        <v>7</v>
      </c>
      <c r="C180" s="3">
        <v>28.1</v>
      </c>
      <c r="D180" s="3">
        <v>0</v>
      </c>
      <c r="E180" s="4" t="s">
        <v>8</v>
      </c>
      <c r="F180" s="4" t="s">
        <v>12</v>
      </c>
      <c r="G180" s="3">
        <v>10965.45</v>
      </c>
    </row>
    <row r="181" spans="1:7" ht="14.5">
      <c r="A181" s="3">
        <v>57</v>
      </c>
      <c r="B181" s="4" t="s">
        <v>7</v>
      </c>
      <c r="C181" s="3">
        <v>43.7</v>
      </c>
      <c r="D181" s="3">
        <v>1</v>
      </c>
      <c r="E181" s="4" t="s">
        <v>8</v>
      </c>
      <c r="F181" s="4" t="s">
        <v>12</v>
      </c>
      <c r="G181" s="3">
        <v>11576.13</v>
      </c>
    </row>
    <row r="182" spans="1:7" ht="14.5">
      <c r="A182" s="3">
        <v>57</v>
      </c>
      <c r="B182" s="4" t="s">
        <v>7</v>
      </c>
      <c r="C182" s="3">
        <v>29</v>
      </c>
      <c r="D182" s="3">
        <v>0</v>
      </c>
      <c r="E182" s="4" t="s">
        <v>11</v>
      </c>
      <c r="F182" s="4" t="s">
        <v>13</v>
      </c>
      <c r="G182" s="3">
        <v>27218.44</v>
      </c>
    </row>
    <row r="183" spans="1:7" ht="14.5">
      <c r="A183" s="3">
        <v>57</v>
      </c>
      <c r="B183" s="4" t="s">
        <v>7</v>
      </c>
      <c r="C183" s="3">
        <v>33.6</v>
      </c>
      <c r="D183" s="3">
        <v>1</v>
      </c>
      <c r="E183" s="4" t="s">
        <v>8</v>
      </c>
      <c r="F183" s="4" t="s">
        <v>9</v>
      </c>
      <c r="G183" s="3">
        <v>11945.13</v>
      </c>
    </row>
    <row r="184" spans="1:7" ht="14.5">
      <c r="A184" s="3">
        <v>57</v>
      </c>
      <c r="B184" s="4" t="s">
        <v>10</v>
      </c>
      <c r="C184" s="3">
        <v>20.100000000000001</v>
      </c>
      <c r="D184" s="3">
        <v>1</v>
      </c>
      <c r="E184" s="4" t="s">
        <v>8</v>
      </c>
      <c r="F184" s="4" t="s">
        <v>12</v>
      </c>
      <c r="G184" s="3">
        <v>12032.33</v>
      </c>
    </row>
    <row r="185" spans="1:7" ht="14.5">
      <c r="A185" s="3">
        <v>57</v>
      </c>
      <c r="B185" s="4" t="s">
        <v>7</v>
      </c>
      <c r="C185" s="3">
        <v>18.3</v>
      </c>
      <c r="D185" s="3">
        <v>0</v>
      </c>
      <c r="E185" s="4" t="s">
        <v>8</v>
      </c>
      <c r="F185" s="4" t="s">
        <v>13</v>
      </c>
      <c r="G185" s="3">
        <v>11534.87</v>
      </c>
    </row>
    <row r="186" spans="1:7" ht="14.5">
      <c r="A186" s="3">
        <v>57</v>
      </c>
      <c r="B186" s="4" t="s">
        <v>7</v>
      </c>
      <c r="C186" s="3">
        <v>27.9</v>
      </c>
      <c r="D186" s="3">
        <v>1</v>
      </c>
      <c r="E186" s="4" t="s">
        <v>8</v>
      </c>
      <c r="F186" s="4" t="s">
        <v>14</v>
      </c>
      <c r="G186" s="3">
        <v>11554.22</v>
      </c>
    </row>
    <row r="187" spans="1:7" ht="14.5">
      <c r="A187" s="3">
        <v>57</v>
      </c>
      <c r="B187" s="4" t="s">
        <v>7</v>
      </c>
      <c r="C187" s="3">
        <v>31.5</v>
      </c>
      <c r="D187" s="3">
        <v>0</v>
      </c>
      <c r="E187" s="4" t="s">
        <v>8</v>
      </c>
      <c r="F187" s="4" t="s">
        <v>9</v>
      </c>
      <c r="G187" s="3">
        <v>11353.23</v>
      </c>
    </row>
    <row r="188" spans="1:7" ht="14.5">
      <c r="A188" s="3">
        <v>57</v>
      </c>
      <c r="B188" s="4" t="s">
        <v>7</v>
      </c>
      <c r="C188" s="3">
        <v>40.299999999999997</v>
      </c>
      <c r="D188" s="3">
        <v>0</v>
      </c>
      <c r="E188" s="4" t="s">
        <v>8</v>
      </c>
      <c r="F188" s="4" t="s">
        <v>13</v>
      </c>
      <c r="G188" s="3">
        <v>20709.02</v>
      </c>
    </row>
    <row r="189" spans="1:7" ht="14.5">
      <c r="A189" s="3">
        <v>57</v>
      </c>
      <c r="B189" s="4" t="s">
        <v>7</v>
      </c>
      <c r="C189" s="3">
        <v>40.4</v>
      </c>
      <c r="D189" s="3">
        <v>0</v>
      </c>
      <c r="E189" s="4" t="s">
        <v>8</v>
      </c>
      <c r="F189" s="4" t="s">
        <v>14</v>
      </c>
      <c r="G189" s="3">
        <v>10982.5</v>
      </c>
    </row>
    <row r="190" spans="1:7" ht="14.5">
      <c r="A190" s="3">
        <v>57</v>
      </c>
      <c r="B190" s="4" t="s">
        <v>7</v>
      </c>
      <c r="C190" s="3">
        <v>23.7</v>
      </c>
      <c r="D190" s="3">
        <v>0</v>
      </c>
      <c r="E190" s="4" t="s">
        <v>8</v>
      </c>
      <c r="F190" s="4" t="s">
        <v>12</v>
      </c>
      <c r="G190" s="3">
        <v>10959.33</v>
      </c>
    </row>
    <row r="191" spans="1:7" ht="14.5">
      <c r="A191" s="3">
        <v>57</v>
      </c>
      <c r="B191" s="4" t="s">
        <v>10</v>
      </c>
      <c r="C191" s="3">
        <v>25.7</v>
      </c>
      <c r="D191" s="3">
        <v>2</v>
      </c>
      <c r="E191" s="4" t="s">
        <v>8</v>
      </c>
      <c r="F191" s="4" t="s">
        <v>14</v>
      </c>
      <c r="G191" s="3">
        <v>12629.17</v>
      </c>
    </row>
    <row r="192" spans="1:7" ht="14.5">
      <c r="A192" s="3">
        <v>56</v>
      </c>
      <c r="B192" s="4" t="s">
        <v>10</v>
      </c>
      <c r="C192" s="3">
        <v>39.799999999999997</v>
      </c>
      <c r="D192" s="3">
        <v>0</v>
      </c>
      <c r="E192" s="4" t="s">
        <v>8</v>
      </c>
      <c r="F192" s="4" t="s">
        <v>14</v>
      </c>
      <c r="G192" s="3">
        <v>11090.72</v>
      </c>
    </row>
    <row r="193" spans="1:7" ht="14.5">
      <c r="A193" s="3">
        <v>56</v>
      </c>
      <c r="B193" s="4" t="s">
        <v>7</v>
      </c>
      <c r="C193" s="3">
        <v>40.299999999999997</v>
      </c>
      <c r="D193" s="3">
        <v>0</v>
      </c>
      <c r="E193" s="4" t="s">
        <v>8</v>
      </c>
      <c r="F193" s="4" t="s">
        <v>12</v>
      </c>
      <c r="G193" s="3">
        <v>10602.39</v>
      </c>
    </row>
    <row r="194" spans="1:7" ht="14.5">
      <c r="A194" s="3">
        <v>56</v>
      </c>
      <c r="B194" s="4" t="s">
        <v>10</v>
      </c>
      <c r="C194" s="3">
        <v>27.2</v>
      </c>
      <c r="D194" s="3">
        <v>0</v>
      </c>
      <c r="E194" s="4" t="s">
        <v>8</v>
      </c>
      <c r="F194" s="4" t="s">
        <v>12</v>
      </c>
      <c r="G194" s="3">
        <v>11073.18</v>
      </c>
    </row>
    <row r="195" spans="1:7" ht="14.5">
      <c r="A195" s="3">
        <v>56</v>
      </c>
      <c r="B195" s="4" t="s">
        <v>7</v>
      </c>
      <c r="C195" s="3">
        <v>20</v>
      </c>
      <c r="D195" s="3">
        <v>0</v>
      </c>
      <c r="E195" s="4" t="s">
        <v>11</v>
      </c>
      <c r="F195" s="4" t="s">
        <v>13</v>
      </c>
      <c r="G195" s="3">
        <v>22412.65</v>
      </c>
    </row>
    <row r="196" spans="1:7" ht="14.5">
      <c r="A196" s="3">
        <v>56</v>
      </c>
      <c r="B196" s="4" t="s">
        <v>10</v>
      </c>
      <c r="C196" s="3">
        <v>26.6</v>
      </c>
      <c r="D196" s="3">
        <v>1</v>
      </c>
      <c r="E196" s="4" t="s">
        <v>8</v>
      </c>
      <c r="F196" s="4" t="s">
        <v>9</v>
      </c>
      <c r="G196" s="3">
        <v>12044.34</v>
      </c>
    </row>
    <row r="197" spans="1:7" ht="14.5">
      <c r="A197" s="3">
        <v>56</v>
      </c>
      <c r="B197" s="4" t="s">
        <v>7</v>
      </c>
      <c r="C197" s="3">
        <v>33.6</v>
      </c>
      <c r="D197" s="3">
        <v>0</v>
      </c>
      <c r="E197" s="4" t="s">
        <v>11</v>
      </c>
      <c r="F197" s="4" t="s">
        <v>9</v>
      </c>
      <c r="G197" s="3">
        <v>43921.18</v>
      </c>
    </row>
    <row r="198" spans="1:7" ht="14.5">
      <c r="A198" s="3">
        <v>56</v>
      </c>
      <c r="B198" s="4" t="s">
        <v>10</v>
      </c>
      <c r="C198" s="3">
        <v>37.5</v>
      </c>
      <c r="D198" s="3">
        <v>2</v>
      </c>
      <c r="E198" s="4" t="s">
        <v>8</v>
      </c>
      <c r="F198" s="4" t="s">
        <v>14</v>
      </c>
      <c r="G198" s="3">
        <v>12265.51</v>
      </c>
    </row>
    <row r="199" spans="1:7" ht="14.5">
      <c r="A199" s="3">
        <v>56</v>
      </c>
      <c r="B199" s="4" t="s">
        <v>10</v>
      </c>
      <c r="C199" s="3">
        <v>28.8</v>
      </c>
      <c r="D199" s="3">
        <v>0</v>
      </c>
      <c r="E199" s="4" t="s">
        <v>8</v>
      </c>
      <c r="F199" s="4" t="s">
        <v>13</v>
      </c>
      <c r="G199" s="3">
        <v>11658.38</v>
      </c>
    </row>
    <row r="200" spans="1:7" ht="14.5">
      <c r="A200" s="3">
        <v>56</v>
      </c>
      <c r="B200" s="4" t="s">
        <v>10</v>
      </c>
      <c r="C200" s="3">
        <v>32.299999999999997</v>
      </c>
      <c r="D200" s="3">
        <v>3</v>
      </c>
      <c r="E200" s="4" t="s">
        <v>8</v>
      </c>
      <c r="F200" s="4" t="s">
        <v>13</v>
      </c>
      <c r="G200" s="3">
        <v>13430.27</v>
      </c>
    </row>
    <row r="201" spans="1:7" ht="14.5">
      <c r="A201" s="3">
        <v>56</v>
      </c>
      <c r="B201" s="4" t="s">
        <v>7</v>
      </c>
      <c r="C201" s="3">
        <v>26.7</v>
      </c>
      <c r="D201" s="3">
        <v>1</v>
      </c>
      <c r="E201" s="4" t="s">
        <v>11</v>
      </c>
      <c r="F201" s="4" t="s">
        <v>9</v>
      </c>
      <c r="G201" s="3">
        <v>26109.33</v>
      </c>
    </row>
    <row r="202" spans="1:7" ht="14.5">
      <c r="A202" s="3">
        <v>56</v>
      </c>
      <c r="B202" s="4" t="s">
        <v>10</v>
      </c>
      <c r="C202" s="3">
        <v>25.7</v>
      </c>
      <c r="D202" s="3">
        <v>0</v>
      </c>
      <c r="E202" s="4" t="s">
        <v>8</v>
      </c>
      <c r="F202" s="4" t="s">
        <v>9</v>
      </c>
      <c r="G202" s="3">
        <v>11454.02</v>
      </c>
    </row>
    <row r="203" spans="1:7" ht="14.5">
      <c r="A203" s="3">
        <v>56</v>
      </c>
      <c r="B203" s="4" t="s">
        <v>7</v>
      </c>
      <c r="C203" s="3">
        <v>39.6</v>
      </c>
      <c r="D203" s="3">
        <v>0</v>
      </c>
      <c r="E203" s="4" t="s">
        <v>8</v>
      </c>
      <c r="F203" s="4" t="s">
        <v>12</v>
      </c>
      <c r="G203" s="3">
        <v>10601.41</v>
      </c>
    </row>
    <row r="204" spans="1:7" ht="14.5">
      <c r="A204" s="3">
        <v>56</v>
      </c>
      <c r="B204" s="4" t="s">
        <v>7</v>
      </c>
      <c r="C204" s="3">
        <v>25.9</v>
      </c>
      <c r="D204" s="3">
        <v>0</v>
      </c>
      <c r="E204" s="4" t="s">
        <v>8</v>
      </c>
      <c r="F204" s="4" t="s">
        <v>13</v>
      </c>
      <c r="G204" s="3">
        <v>11165.42</v>
      </c>
    </row>
    <row r="205" spans="1:7" ht="14.5">
      <c r="A205" s="3">
        <v>56</v>
      </c>
      <c r="B205" s="4" t="s">
        <v>10</v>
      </c>
      <c r="C205" s="3">
        <v>33.799999999999997</v>
      </c>
      <c r="D205" s="3">
        <v>2</v>
      </c>
      <c r="E205" s="4" t="s">
        <v>8</v>
      </c>
      <c r="F205" s="4" t="s">
        <v>9</v>
      </c>
      <c r="G205" s="3">
        <v>12643.38</v>
      </c>
    </row>
    <row r="206" spans="1:7" ht="14.5">
      <c r="A206" s="3">
        <v>56</v>
      </c>
      <c r="B206" s="4" t="s">
        <v>7</v>
      </c>
      <c r="C206" s="3">
        <v>32.1</v>
      </c>
      <c r="D206" s="3">
        <v>1</v>
      </c>
      <c r="E206" s="4" t="s">
        <v>8</v>
      </c>
      <c r="F206" s="4" t="s">
        <v>13</v>
      </c>
      <c r="G206" s="3">
        <v>11763</v>
      </c>
    </row>
    <row r="207" spans="1:7" ht="14.5">
      <c r="A207" s="3">
        <v>56</v>
      </c>
      <c r="B207" s="4" t="s">
        <v>10</v>
      </c>
      <c r="C207" s="3">
        <v>25.3</v>
      </c>
      <c r="D207" s="3">
        <v>0</v>
      </c>
      <c r="E207" s="4" t="s">
        <v>8</v>
      </c>
      <c r="F207" s="4" t="s">
        <v>12</v>
      </c>
      <c r="G207" s="3">
        <v>11070.54</v>
      </c>
    </row>
    <row r="208" spans="1:7" ht="14.5">
      <c r="A208" s="3">
        <v>56</v>
      </c>
      <c r="B208" s="4" t="s">
        <v>10</v>
      </c>
      <c r="C208" s="3">
        <v>28.6</v>
      </c>
      <c r="D208" s="3">
        <v>0</v>
      </c>
      <c r="E208" s="4" t="s">
        <v>8</v>
      </c>
      <c r="F208" s="4" t="s">
        <v>13</v>
      </c>
      <c r="G208" s="3">
        <v>11658.12</v>
      </c>
    </row>
    <row r="209" spans="1:7" ht="14.5">
      <c r="A209" s="3">
        <v>56</v>
      </c>
      <c r="B209" s="4" t="s">
        <v>7</v>
      </c>
      <c r="C209" s="3">
        <v>33.700000000000003</v>
      </c>
      <c r="D209" s="3">
        <v>4</v>
      </c>
      <c r="E209" s="4" t="s">
        <v>8</v>
      </c>
      <c r="F209" s="4" t="s">
        <v>14</v>
      </c>
      <c r="G209" s="3">
        <v>12949.16</v>
      </c>
    </row>
    <row r="210" spans="1:7" ht="14.5">
      <c r="A210" s="3">
        <v>56</v>
      </c>
      <c r="B210" s="4" t="s">
        <v>7</v>
      </c>
      <c r="C210" s="3">
        <v>36.1</v>
      </c>
      <c r="D210" s="3">
        <v>3</v>
      </c>
      <c r="E210" s="4" t="s">
        <v>8</v>
      </c>
      <c r="F210" s="4" t="s">
        <v>12</v>
      </c>
      <c r="G210" s="3">
        <v>12363.55</v>
      </c>
    </row>
    <row r="211" spans="1:7" ht="14.5">
      <c r="A211" s="3">
        <v>56</v>
      </c>
      <c r="B211" s="4" t="s">
        <v>7</v>
      </c>
      <c r="C211" s="3">
        <v>33.700000000000003</v>
      </c>
      <c r="D211" s="3">
        <v>0</v>
      </c>
      <c r="E211" s="4" t="s">
        <v>8</v>
      </c>
      <c r="F211" s="4" t="s">
        <v>9</v>
      </c>
      <c r="G211" s="3">
        <v>10976.25</v>
      </c>
    </row>
    <row r="212" spans="1:7" ht="14.5">
      <c r="A212" s="3">
        <v>56</v>
      </c>
      <c r="B212" s="4" t="s">
        <v>7</v>
      </c>
      <c r="C212" s="3">
        <v>31.8</v>
      </c>
      <c r="D212" s="3">
        <v>2</v>
      </c>
      <c r="E212" s="4" t="s">
        <v>11</v>
      </c>
      <c r="F212" s="4" t="s">
        <v>14</v>
      </c>
      <c r="G212" s="3">
        <v>43813.87</v>
      </c>
    </row>
    <row r="213" spans="1:7" ht="14.5">
      <c r="A213" s="3">
        <v>56</v>
      </c>
      <c r="B213" s="4" t="s">
        <v>10</v>
      </c>
      <c r="C213" s="3">
        <v>28.3</v>
      </c>
      <c r="D213" s="3">
        <v>0</v>
      </c>
      <c r="E213" s="4" t="s">
        <v>8</v>
      </c>
      <c r="F213" s="4" t="s">
        <v>13</v>
      </c>
      <c r="G213" s="3">
        <v>11657.72</v>
      </c>
    </row>
    <row r="214" spans="1:7" ht="14.5">
      <c r="A214" s="3">
        <v>56</v>
      </c>
      <c r="B214" s="4" t="s">
        <v>10</v>
      </c>
      <c r="C214" s="3">
        <v>35.799999999999997</v>
      </c>
      <c r="D214" s="3">
        <v>1</v>
      </c>
      <c r="E214" s="4" t="s">
        <v>8</v>
      </c>
      <c r="F214" s="4" t="s">
        <v>12</v>
      </c>
      <c r="G214" s="3">
        <v>11674.13</v>
      </c>
    </row>
    <row r="215" spans="1:7" ht="14.5">
      <c r="A215" s="3">
        <v>56</v>
      </c>
      <c r="B215" s="4" t="s">
        <v>7</v>
      </c>
      <c r="C215" s="3">
        <v>22.1</v>
      </c>
      <c r="D215" s="3">
        <v>0</v>
      </c>
      <c r="E215" s="4" t="s">
        <v>8</v>
      </c>
      <c r="F215" s="4" t="s">
        <v>12</v>
      </c>
      <c r="G215" s="3">
        <v>10577.09</v>
      </c>
    </row>
    <row r="216" spans="1:7" ht="14.5">
      <c r="A216" s="3">
        <v>56</v>
      </c>
      <c r="B216" s="4" t="s">
        <v>10</v>
      </c>
      <c r="C216" s="3">
        <v>41.9</v>
      </c>
      <c r="D216" s="3">
        <v>0</v>
      </c>
      <c r="E216" s="4" t="s">
        <v>8</v>
      </c>
      <c r="F216" s="4" t="s">
        <v>14</v>
      </c>
      <c r="G216" s="3">
        <v>11093.62</v>
      </c>
    </row>
    <row r="217" spans="1:7" ht="14.5">
      <c r="A217" s="3">
        <v>56</v>
      </c>
      <c r="B217" s="4" t="s">
        <v>7</v>
      </c>
      <c r="C217" s="3">
        <v>34.4</v>
      </c>
      <c r="D217" s="3">
        <v>0</v>
      </c>
      <c r="E217" s="4" t="s">
        <v>8</v>
      </c>
      <c r="F217" s="4" t="s">
        <v>14</v>
      </c>
      <c r="G217" s="3">
        <v>10594.23</v>
      </c>
    </row>
    <row r="218" spans="1:7" ht="14.5">
      <c r="A218" s="3">
        <v>55</v>
      </c>
      <c r="B218" s="4" t="s">
        <v>10</v>
      </c>
      <c r="C218" s="3">
        <v>32.799999999999997</v>
      </c>
      <c r="D218" s="3">
        <v>2</v>
      </c>
      <c r="E218" s="4" t="s">
        <v>8</v>
      </c>
      <c r="F218" s="4" t="s">
        <v>9</v>
      </c>
      <c r="G218" s="3">
        <v>12268.63</v>
      </c>
    </row>
    <row r="219" spans="1:7" ht="14.5">
      <c r="A219" s="3">
        <v>55</v>
      </c>
      <c r="B219" s="4" t="s">
        <v>7</v>
      </c>
      <c r="C219" s="3">
        <v>37.299999999999997</v>
      </c>
      <c r="D219" s="3">
        <v>0</v>
      </c>
      <c r="E219" s="4" t="s">
        <v>8</v>
      </c>
      <c r="F219" s="4" t="s">
        <v>12</v>
      </c>
      <c r="G219" s="3">
        <v>20630.28</v>
      </c>
    </row>
    <row r="220" spans="1:7" ht="14.5">
      <c r="A220" s="3">
        <v>55</v>
      </c>
      <c r="B220" s="4" t="s">
        <v>10</v>
      </c>
      <c r="C220" s="3">
        <v>27</v>
      </c>
      <c r="D220" s="3">
        <v>0</v>
      </c>
      <c r="E220" s="4" t="s">
        <v>8</v>
      </c>
      <c r="F220" s="4" t="s">
        <v>9</v>
      </c>
      <c r="G220" s="3">
        <v>11082.58</v>
      </c>
    </row>
    <row r="221" spans="1:7" ht="14.5">
      <c r="A221" s="3">
        <v>55</v>
      </c>
      <c r="B221" s="4" t="s">
        <v>7</v>
      </c>
      <c r="C221" s="3">
        <v>38.299999999999997</v>
      </c>
      <c r="D221" s="3">
        <v>0</v>
      </c>
      <c r="E221" s="4" t="s">
        <v>8</v>
      </c>
      <c r="F221" s="4" t="s">
        <v>14</v>
      </c>
      <c r="G221" s="3">
        <v>10226.280000000001</v>
      </c>
    </row>
    <row r="222" spans="1:7" ht="14.5">
      <c r="A222" s="3">
        <v>55</v>
      </c>
      <c r="B222" s="4" t="s">
        <v>10</v>
      </c>
      <c r="C222" s="3">
        <v>29.7</v>
      </c>
      <c r="D222" s="3">
        <v>2</v>
      </c>
      <c r="E222" s="4" t="s">
        <v>8</v>
      </c>
      <c r="F222" s="4" t="s">
        <v>12</v>
      </c>
      <c r="G222" s="3">
        <v>11881.36</v>
      </c>
    </row>
    <row r="223" spans="1:7" ht="14.5">
      <c r="A223" s="3">
        <v>55</v>
      </c>
      <c r="B223" s="4" t="s">
        <v>7</v>
      </c>
      <c r="C223" s="3">
        <v>33.9</v>
      </c>
      <c r="D223" s="3">
        <v>3</v>
      </c>
      <c r="E223" s="4" t="s">
        <v>8</v>
      </c>
      <c r="F223" s="4" t="s">
        <v>14</v>
      </c>
      <c r="G223" s="3">
        <v>11987.17</v>
      </c>
    </row>
    <row r="224" spans="1:7" ht="14.5">
      <c r="A224" s="3">
        <v>55</v>
      </c>
      <c r="B224" s="4" t="s">
        <v>10</v>
      </c>
      <c r="C224" s="3">
        <v>26.8</v>
      </c>
      <c r="D224" s="3">
        <v>1</v>
      </c>
      <c r="E224" s="4" t="s">
        <v>8</v>
      </c>
      <c r="F224" s="4" t="s">
        <v>12</v>
      </c>
      <c r="G224" s="3">
        <v>35160.129999999997</v>
      </c>
    </row>
    <row r="225" spans="1:7" ht="14.5">
      <c r="A225" s="3">
        <v>55</v>
      </c>
      <c r="B225" s="4" t="s">
        <v>10</v>
      </c>
      <c r="C225" s="3">
        <v>25.4</v>
      </c>
      <c r="D225" s="3">
        <v>3</v>
      </c>
      <c r="E225" s="4" t="s">
        <v>8</v>
      </c>
      <c r="F225" s="4" t="s">
        <v>13</v>
      </c>
      <c r="G225" s="3">
        <v>13047.33</v>
      </c>
    </row>
    <row r="226" spans="1:7" ht="14.5">
      <c r="A226" s="3">
        <v>55</v>
      </c>
      <c r="B226" s="4" t="s">
        <v>10</v>
      </c>
      <c r="C226" s="3">
        <v>32.4</v>
      </c>
      <c r="D226" s="3">
        <v>1</v>
      </c>
      <c r="E226" s="4" t="s">
        <v>8</v>
      </c>
      <c r="F226" s="4" t="s">
        <v>13</v>
      </c>
      <c r="G226" s="3">
        <v>11879.1</v>
      </c>
    </row>
    <row r="227" spans="1:7" ht="14.5">
      <c r="A227" s="3">
        <v>55</v>
      </c>
      <c r="B227" s="4" t="s">
        <v>7</v>
      </c>
      <c r="C227" s="3">
        <v>30.7</v>
      </c>
      <c r="D227" s="3">
        <v>0</v>
      </c>
      <c r="E227" s="4" t="s">
        <v>11</v>
      </c>
      <c r="F227" s="4" t="s">
        <v>13</v>
      </c>
      <c r="G227" s="3">
        <v>42303.69</v>
      </c>
    </row>
    <row r="228" spans="1:7" ht="14.5">
      <c r="A228" s="3">
        <v>55</v>
      </c>
      <c r="B228" s="4" t="s">
        <v>7</v>
      </c>
      <c r="C228" s="3">
        <v>33</v>
      </c>
      <c r="D228" s="3">
        <v>0</v>
      </c>
      <c r="E228" s="4" t="s">
        <v>8</v>
      </c>
      <c r="F228" s="4" t="s">
        <v>14</v>
      </c>
      <c r="G228" s="3">
        <v>20781.490000000002</v>
      </c>
    </row>
    <row r="229" spans="1:7" ht="14.5">
      <c r="A229" s="3">
        <v>55</v>
      </c>
      <c r="B229" s="4" t="s">
        <v>10</v>
      </c>
      <c r="C229" s="3">
        <v>30.1</v>
      </c>
      <c r="D229" s="3">
        <v>2</v>
      </c>
      <c r="E229" s="4" t="s">
        <v>8</v>
      </c>
      <c r="F229" s="4" t="s">
        <v>14</v>
      </c>
      <c r="G229" s="3">
        <v>11881.97</v>
      </c>
    </row>
    <row r="230" spans="1:7" ht="14.5">
      <c r="A230" s="3">
        <v>55</v>
      </c>
      <c r="B230" s="4" t="s">
        <v>10</v>
      </c>
      <c r="C230" s="3">
        <v>37.1</v>
      </c>
      <c r="D230" s="3">
        <v>0</v>
      </c>
      <c r="E230" s="4" t="s">
        <v>8</v>
      </c>
      <c r="F230" s="4" t="s">
        <v>12</v>
      </c>
      <c r="G230" s="3">
        <v>10713.64</v>
      </c>
    </row>
    <row r="231" spans="1:7" ht="14.5">
      <c r="A231" s="3">
        <v>55</v>
      </c>
      <c r="B231" s="4" t="s">
        <v>10</v>
      </c>
      <c r="C231" s="3">
        <v>40.799999999999997</v>
      </c>
      <c r="D231" s="3">
        <v>3</v>
      </c>
      <c r="E231" s="4" t="s">
        <v>8</v>
      </c>
      <c r="F231" s="4" t="s">
        <v>14</v>
      </c>
      <c r="G231" s="3">
        <v>12485.8</v>
      </c>
    </row>
    <row r="232" spans="1:7" ht="14.5">
      <c r="A232" s="3">
        <v>55</v>
      </c>
      <c r="B232" s="4" t="s">
        <v>7</v>
      </c>
      <c r="C232" s="3">
        <v>32.799999999999997</v>
      </c>
      <c r="D232" s="3">
        <v>0</v>
      </c>
      <c r="E232" s="4" t="s">
        <v>8</v>
      </c>
      <c r="F232" s="4" t="s">
        <v>9</v>
      </c>
      <c r="G232" s="3">
        <v>10601.63</v>
      </c>
    </row>
    <row r="233" spans="1:7" ht="14.5">
      <c r="A233" s="3">
        <v>55</v>
      </c>
      <c r="B233" s="4" t="s">
        <v>10</v>
      </c>
      <c r="C233" s="3">
        <v>33.5</v>
      </c>
      <c r="D233" s="3">
        <v>2</v>
      </c>
      <c r="E233" s="4" t="s">
        <v>8</v>
      </c>
      <c r="F233" s="4" t="s">
        <v>9</v>
      </c>
      <c r="G233" s="3">
        <v>12269.69</v>
      </c>
    </row>
    <row r="234" spans="1:7" ht="14.5">
      <c r="A234" s="3">
        <v>55</v>
      </c>
      <c r="B234" s="4" t="s">
        <v>10</v>
      </c>
      <c r="C234" s="3">
        <v>35.200000000000003</v>
      </c>
      <c r="D234" s="3">
        <v>0</v>
      </c>
      <c r="E234" s="4" t="s">
        <v>11</v>
      </c>
      <c r="F234" s="4" t="s">
        <v>14</v>
      </c>
      <c r="G234" s="3">
        <v>44423.8</v>
      </c>
    </row>
    <row r="235" spans="1:7" ht="14.5">
      <c r="A235" s="3">
        <v>55</v>
      </c>
      <c r="B235" s="4" t="s">
        <v>7</v>
      </c>
      <c r="C235" s="3">
        <v>35.200000000000003</v>
      </c>
      <c r="D235" s="3">
        <v>1</v>
      </c>
      <c r="E235" s="4" t="s">
        <v>8</v>
      </c>
      <c r="F235" s="4" t="s">
        <v>13</v>
      </c>
      <c r="G235" s="3">
        <v>11394.07</v>
      </c>
    </row>
    <row r="236" spans="1:7" ht="14.5">
      <c r="A236" s="3">
        <v>55</v>
      </c>
      <c r="B236" s="4" t="s">
        <v>7</v>
      </c>
      <c r="C236" s="3">
        <v>27.6</v>
      </c>
      <c r="D236" s="3">
        <v>0</v>
      </c>
      <c r="E236" s="4" t="s">
        <v>8</v>
      </c>
      <c r="F236" s="4" t="s">
        <v>9</v>
      </c>
      <c r="G236" s="3">
        <v>10594.5</v>
      </c>
    </row>
    <row r="237" spans="1:7" ht="14.5">
      <c r="A237" s="3">
        <v>55</v>
      </c>
      <c r="B237" s="4" t="s">
        <v>7</v>
      </c>
      <c r="C237" s="3">
        <v>29</v>
      </c>
      <c r="D237" s="3">
        <v>0</v>
      </c>
      <c r="E237" s="4" t="s">
        <v>8</v>
      </c>
      <c r="F237" s="4" t="s">
        <v>13</v>
      </c>
      <c r="G237" s="3">
        <v>10796.35</v>
      </c>
    </row>
    <row r="238" spans="1:7" ht="14.5">
      <c r="A238" s="3">
        <v>55</v>
      </c>
      <c r="B238" s="4" t="s">
        <v>10</v>
      </c>
      <c r="C238" s="3">
        <v>29.8</v>
      </c>
      <c r="D238" s="3">
        <v>0</v>
      </c>
      <c r="E238" s="4" t="s">
        <v>8</v>
      </c>
      <c r="F238" s="4" t="s">
        <v>13</v>
      </c>
      <c r="G238" s="3">
        <v>11286.54</v>
      </c>
    </row>
    <row r="239" spans="1:7" ht="14.5">
      <c r="A239" s="3">
        <v>55</v>
      </c>
      <c r="B239" s="4" t="s">
        <v>7</v>
      </c>
      <c r="C239" s="3">
        <v>32.700000000000003</v>
      </c>
      <c r="D239" s="3">
        <v>1</v>
      </c>
      <c r="E239" s="4" t="s">
        <v>8</v>
      </c>
      <c r="F239" s="4" t="s">
        <v>14</v>
      </c>
      <c r="G239" s="3">
        <v>10807.49</v>
      </c>
    </row>
    <row r="240" spans="1:7" ht="14.5">
      <c r="A240" s="3">
        <v>55</v>
      </c>
      <c r="B240" s="4" t="s">
        <v>7</v>
      </c>
      <c r="C240" s="3">
        <v>29.9</v>
      </c>
      <c r="D240" s="3">
        <v>0</v>
      </c>
      <c r="E240" s="4" t="s">
        <v>8</v>
      </c>
      <c r="F240" s="4" t="s">
        <v>12</v>
      </c>
      <c r="G240" s="3">
        <v>10214.64</v>
      </c>
    </row>
    <row r="241" spans="1:7" ht="14.5">
      <c r="A241" s="3">
        <v>55</v>
      </c>
      <c r="B241" s="4" t="s">
        <v>7</v>
      </c>
      <c r="C241" s="3">
        <v>21.5</v>
      </c>
      <c r="D241" s="3">
        <v>1</v>
      </c>
      <c r="E241" s="4" t="s">
        <v>8</v>
      </c>
      <c r="F241" s="4" t="s">
        <v>12</v>
      </c>
      <c r="G241" s="3">
        <v>10791.96</v>
      </c>
    </row>
    <row r="242" spans="1:7" ht="14.5">
      <c r="A242" s="3">
        <v>55</v>
      </c>
      <c r="B242" s="4" t="s">
        <v>7</v>
      </c>
      <c r="C242" s="3">
        <v>37.700000000000003</v>
      </c>
      <c r="D242" s="3">
        <v>3</v>
      </c>
      <c r="E242" s="4" t="s">
        <v>8</v>
      </c>
      <c r="F242" s="4" t="s">
        <v>9</v>
      </c>
      <c r="G242" s="3">
        <v>30063.58</v>
      </c>
    </row>
    <row r="243" spans="1:7" ht="14.5">
      <c r="A243" s="3">
        <v>55</v>
      </c>
      <c r="B243" s="4" t="s">
        <v>10</v>
      </c>
      <c r="C243" s="3">
        <v>30.5</v>
      </c>
      <c r="D243" s="3">
        <v>0</v>
      </c>
      <c r="E243" s="4" t="s">
        <v>8</v>
      </c>
      <c r="F243" s="4" t="s">
        <v>12</v>
      </c>
      <c r="G243" s="3">
        <v>10704.47</v>
      </c>
    </row>
    <row r="244" spans="1:7" ht="14.5">
      <c r="A244" s="3">
        <v>54</v>
      </c>
      <c r="B244" s="4" t="s">
        <v>10</v>
      </c>
      <c r="C244" s="3">
        <v>30.8</v>
      </c>
      <c r="D244" s="3">
        <v>3</v>
      </c>
      <c r="E244" s="4" t="s">
        <v>8</v>
      </c>
      <c r="F244" s="4" t="s">
        <v>12</v>
      </c>
      <c r="G244" s="3">
        <v>12105.32</v>
      </c>
    </row>
    <row r="245" spans="1:7" ht="14.5">
      <c r="A245" s="3">
        <v>54</v>
      </c>
      <c r="B245" s="4" t="s">
        <v>7</v>
      </c>
      <c r="C245" s="3">
        <v>33.6</v>
      </c>
      <c r="D245" s="3">
        <v>1</v>
      </c>
      <c r="E245" s="4" t="s">
        <v>8</v>
      </c>
      <c r="F245" s="4" t="s">
        <v>9</v>
      </c>
      <c r="G245" s="3">
        <v>10825.25</v>
      </c>
    </row>
    <row r="246" spans="1:7" ht="14.5">
      <c r="A246" s="3">
        <v>54</v>
      </c>
      <c r="B246" s="4" t="s">
        <v>10</v>
      </c>
      <c r="C246" s="3">
        <v>31.9</v>
      </c>
      <c r="D246" s="3">
        <v>3</v>
      </c>
      <c r="E246" s="4" t="s">
        <v>8</v>
      </c>
      <c r="F246" s="4" t="s">
        <v>14</v>
      </c>
      <c r="G246" s="3">
        <v>27322.73</v>
      </c>
    </row>
    <row r="247" spans="1:7" ht="14.5">
      <c r="A247" s="3">
        <v>54</v>
      </c>
      <c r="B247" s="4" t="s">
        <v>7</v>
      </c>
      <c r="C247" s="3">
        <v>39.6</v>
      </c>
      <c r="D247" s="3">
        <v>1</v>
      </c>
      <c r="E247" s="4" t="s">
        <v>8</v>
      </c>
      <c r="F247" s="4" t="s">
        <v>12</v>
      </c>
      <c r="G247" s="3">
        <v>10450.549999999999</v>
      </c>
    </row>
    <row r="248" spans="1:7" ht="14.5">
      <c r="A248" s="3">
        <v>54</v>
      </c>
      <c r="B248" s="4" t="s">
        <v>7</v>
      </c>
      <c r="C248" s="3">
        <v>29.2</v>
      </c>
      <c r="D248" s="3">
        <v>1</v>
      </c>
      <c r="E248" s="4" t="s">
        <v>8</v>
      </c>
      <c r="F248" s="4" t="s">
        <v>12</v>
      </c>
      <c r="G248" s="3">
        <v>10436.1</v>
      </c>
    </row>
    <row r="249" spans="1:7" ht="14.5">
      <c r="A249" s="3">
        <v>54</v>
      </c>
      <c r="B249" s="4" t="s">
        <v>7</v>
      </c>
      <c r="C249" s="3">
        <v>30</v>
      </c>
      <c r="D249" s="3">
        <v>0</v>
      </c>
      <c r="E249" s="4" t="s">
        <v>8</v>
      </c>
      <c r="F249" s="4" t="s">
        <v>9</v>
      </c>
      <c r="G249" s="3">
        <v>24476.48</v>
      </c>
    </row>
    <row r="250" spans="1:7" ht="14.5">
      <c r="A250" s="3">
        <v>54</v>
      </c>
      <c r="B250" s="4" t="s">
        <v>7</v>
      </c>
      <c r="C250" s="3">
        <v>34.200000000000003</v>
      </c>
      <c r="D250" s="3">
        <v>2</v>
      </c>
      <c r="E250" s="4" t="s">
        <v>11</v>
      </c>
      <c r="F250" s="4" t="s">
        <v>14</v>
      </c>
      <c r="G250" s="3">
        <v>44260.75</v>
      </c>
    </row>
    <row r="251" spans="1:7" ht="14.5">
      <c r="A251" s="3">
        <v>54</v>
      </c>
      <c r="B251" s="4" t="s">
        <v>7</v>
      </c>
      <c r="C251" s="3">
        <v>40.6</v>
      </c>
      <c r="D251" s="3">
        <v>3</v>
      </c>
      <c r="E251" s="4" t="s">
        <v>11</v>
      </c>
      <c r="F251" s="4" t="s">
        <v>13</v>
      </c>
      <c r="G251" s="3">
        <v>48549.18</v>
      </c>
    </row>
    <row r="252" spans="1:7" ht="14.5">
      <c r="A252" s="3">
        <v>54</v>
      </c>
      <c r="B252" s="4" t="s">
        <v>7</v>
      </c>
      <c r="C252" s="3">
        <v>32.799999999999997</v>
      </c>
      <c r="D252" s="3">
        <v>0</v>
      </c>
      <c r="E252" s="4" t="s">
        <v>8</v>
      </c>
      <c r="F252" s="4" t="s">
        <v>13</v>
      </c>
      <c r="G252" s="3">
        <v>10435.07</v>
      </c>
    </row>
    <row r="253" spans="1:7" ht="14.5">
      <c r="A253" s="3">
        <v>54</v>
      </c>
      <c r="B253" s="4" t="s">
        <v>7</v>
      </c>
      <c r="C253" s="3">
        <v>25.1</v>
      </c>
      <c r="D253" s="3">
        <v>3</v>
      </c>
      <c r="E253" s="4" t="s">
        <v>11</v>
      </c>
      <c r="F253" s="4" t="s">
        <v>12</v>
      </c>
      <c r="G253" s="3">
        <v>25382.3</v>
      </c>
    </row>
    <row r="254" spans="1:7" ht="14.5">
      <c r="A254" s="3">
        <v>54</v>
      </c>
      <c r="B254" s="4" t="s">
        <v>10</v>
      </c>
      <c r="C254" s="3">
        <v>21.5</v>
      </c>
      <c r="D254" s="3">
        <v>3</v>
      </c>
      <c r="E254" s="4" t="s">
        <v>8</v>
      </c>
      <c r="F254" s="4" t="s">
        <v>9</v>
      </c>
      <c r="G254" s="3">
        <v>12475.35</v>
      </c>
    </row>
    <row r="255" spans="1:7" ht="14.5">
      <c r="A255" s="3">
        <v>54</v>
      </c>
      <c r="B255" s="4" t="s">
        <v>10</v>
      </c>
      <c r="C255" s="3">
        <v>47.4</v>
      </c>
      <c r="D255" s="3">
        <v>0</v>
      </c>
      <c r="E255" s="4" t="s">
        <v>11</v>
      </c>
      <c r="F255" s="4" t="s">
        <v>14</v>
      </c>
      <c r="G255" s="3">
        <v>63770.43</v>
      </c>
    </row>
    <row r="256" spans="1:7" ht="14.5">
      <c r="A256" s="3">
        <v>54</v>
      </c>
      <c r="B256" s="4" t="s">
        <v>7</v>
      </c>
      <c r="C256" s="3">
        <v>30.2</v>
      </c>
      <c r="D256" s="3">
        <v>0</v>
      </c>
      <c r="E256" s="4" t="s">
        <v>8</v>
      </c>
      <c r="F256" s="4" t="s">
        <v>9</v>
      </c>
      <c r="G256" s="3">
        <v>10231.5</v>
      </c>
    </row>
    <row r="257" spans="1:7" ht="14.5">
      <c r="A257" s="3">
        <v>54</v>
      </c>
      <c r="B257" s="4" t="s">
        <v>10</v>
      </c>
      <c r="C257" s="3">
        <v>46.7</v>
      </c>
      <c r="D257" s="3">
        <v>2</v>
      </c>
      <c r="E257" s="4" t="s">
        <v>8</v>
      </c>
      <c r="F257" s="4" t="s">
        <v>12</v>
      </c>
      <c r="G257" s="3">
        <v>11538.42</v>
      </c>
    </row>
    <row r="258" spans="1:7" ht="14.5">
      <c r="A258" s="3">
        <v>54</v>
      </c>
      <c r="B258" s="4" t="s">
        <v>10</v>
      </c>
      <c r="C258" s="3">
        <v>32.700000000000003</v>
      </c>
      <c r="D258" s="3">
        <v>0</v>
      </c>
      <c r="E258" s="4" t="s">
        <v>8</v>
      </c>
      <c r="F258" s="4" t="s">
        <v>13</v>
      </c>
      <c r="G258" s="3">
        <v>10923.93</v>
      </c>
    </row>
    <row r="259" spans="1:7" ht="14.5">
      <c r="A259" s="3">
        <v>54</v>
      </c>
      <c r="B259" s="4" t="s">
        <v>7</v>
      </c>
      <c r="C259" s="3">
        <v>21</v>
      </c>
      <c r="D259" s="3">
        <v>2</v>
      </c>
      <c r="E259" s="4" t="s">
        <v>8</v>
      </c>
      <c r="F259" s="4" t="s">
        <v>14</v>
      </c>
      <c r="G259" s="3">
        <v>11013.71</v>
      </c>
    </row>
    <row r="260" spans="1:7" ht="14.5">
      <c r="A260" s="3">
        <v>54</v>
      </c>
      <c r="B260" s="4" t="s">
        <v>7</v>
      </c>
      <c r="C260" s="3">
        <v>24</v>
      </c>
      <c r="D260" s="3">
        <v>0</v>
      </c>
      <c r="E260" s="4" t="s">
        <v>8</v>
      </c>
      <c r="F260" s="4" t="s">
        <v>13</v>
      </c>
      <c r="G260" s="3">
        <v>10422.92</v>
      </c>
    </row>
    <row r="261" spans="1:7" ht="14.5">
      <c r="A261" s="3">
        <v>54</v>
      </c>
      <c r="B261" s="4" t="s">
        <v>7</v>
      </c>
      <c r="C261" s="3">
        <v>30.8</v>
      </c>
      <c r="D261" s="3">
        <v>1</v>
      </c>
      <c r="E261" s="4" t="s">
        <v>11</v>
      </c>
      <c r="F261" s="4" t="s">
        <v>14</v>
      </c>
      <c r="G261" s="3">
        <v>41999.519999999997</v>
      </c>
    </row>
    <row r="262" spans="1:7" ht="14.5">
      <c r="A262" s="3">
        <v>54</v>
      </c>
      <c r="B262" s="4" t="s">
        <v>7</v>
      </c>
      <c r="C262" s="3">
        <v>25.5</v>
      </c>
      <c r="D262" s="3">
        <v>1</v>
      </c>
      <c r="E262" s="4" t="s">
        <v>8</v>
      </c>
      <c r="F262" s="4" t="s">
        <v>13</v>
      </c>
      <c r="G262" s="3">
        <v>25517.11</v>
      </c>
    </row>
    <row r="263" spans="1:7" ht="14.5">
      <c r="A263" s="3">
        <v>54</v>
      </c>
      <c r="B263" s="4" t="s">
        <v>10</v>
      </c>
      <c r="C263" s="3">
        <v>35.799999999999997</v>
      </c>
      <c r="D263" s="3">
        <v>3</v>
      </c>
      <c r="E263" s="4" t="s">
        <v>8</v>
      </c>
      <c r="F263" s="4" t="s">
        <v>9</v>
      </c>
      <c r="G263" s="3">
        <v>12495.29</v>
      </c>
    </row>
    <row r="264" spans="1:7" ht="14.5">
      <c r="A264" s="3">
        <v>54</v>
      </c>
      <c r="B264" s="4" t="s">
        <v>7</v>
      </c>
      <c r="C264" s="3">
        <v>31.6</v>
      </c>
      <c r="D264" s="3">
        <v>0</v>
      </c>
      <c r="E264" s="4" t="s">
        <v>8</v>
      </c>
      <c r="F264" s="4" t="s">
        <v>12</v>
      </c>
      <c r="G264" s="3">
        <v>9850.43</v>
      </c>
    </row>
    <row r="265" spans="1:7" ht="14.5">
      <c r="A265" s="3">
        <v>54</v>
      </c>
      <c r="B265" s="4" t="s">
        <v>10</v>
      </c>
      <c r="C265" s="3">
        <v>23</v>
      </c>
      <c r="D265" s="3">
        <v>3</v>
      </c>
      <c r="E265" s="4" t="s">
        <v>8</v>
      </c>
      <c r="F265" s="4" t="s">
        <v>12</v>
      </c>
      <c r="G265" s="3">
        <v>12094.48</v>
      </c>
    </row>
    <row r="266" spans="1:7" ht="14.5">
      <c r="A266" s="3">
        <v>54</v>
      </c>
      <c r="B266" s="4" t="s">
        <v>10</v>
      </c>
      <c r="C266" s="3">
        <v>31.9</v>
      </c>
      <c r="D266" s="3">
        <v>1</v>
      </c>
      <c r="E266" s="4" t="s">
        <v>8</v>
      </c>
      <c r="F266" s="4" t="s">
        <v>14</v>
      </c>
      <c r="G266" s="3">
        <v>10928.85</v>
      </c>
    </row>
    <row r="267" spans="1:7" ht="14.5">
      <c r="A267" s="3">
        <v>54</v>
      </c>
      <c r="B267" s="4" t="s">
        <v>10</v>
      </c>
      <c r="C267" s="3">
        <v>28.9</v>
      </c>
      <c r="D267" s="3">
        <v>2</v>
      </c>
      <c r="E267" s="4" t="s">
        <v>8</v>
      </c>
      <c r="F267" s="4" t="s">
        <v>13</v>
      </c>
      <c r="G267" s="3">
        <v>12096.65</v>
      </c>
    </row>
    <row r="268" spans="1:7" ht="14.5">
      <c r="A268" s="3">
        <v>54</v>
      </c>
      <c r="B268" s="4" t="s">
        <v>10</v>
      </c>
      <c r="C268" s="3">
        <v>31.2</v>
      </c>
      <c r="D268" s="3">
        <v>0</v>
      </c>
      <c r="E268" s="4" t="s">
        <v>8</v>
      </c>
      <c r="F268" s="4" t="s">
        <v>14</v>
      </c>
      <c r="G268" s="3">
        <v>10338.93</v>
      </c>
    </row>
    <row r="269" spans="1:7" ht="14.5">
      <c r="A269" s="3">
        <v>54</v>
      </c>
      <c r="B269" s="4" t="s">
        <v>10</v>
      </c>
      <c r="C269" s="3">
        <v>32.299999999999997</v>
      </c>
      <c r="D269" s="3">
        <v>1</v>
      </c>
      <c r="E269" s="4" t="s">
        <v>8</v>
      </c>
      <c r="F269" s="4" t="s">
        <v>13</v>
      </c>
      <c r="G269" s="3">
        <v>11512.41</v>
      </c>
    </row>
    <row r="270" spans="1:7" ht="14.5">
      <c r="A270" s="3">
        <v>54</v>
      </c>
      <c r="B270" s="4" t="s">
        <v>10</v>
      </c>
      <c r="C270" s="3">
        <v>24.6</v>
      </c>
      <c r="D270" s="3">
        <v>3</v>
      </c>
      <c r="E270" s="4" t="s">
        <v>8</v>
      </c>
      <c r="F270" s="4" t="s">
        <v>9</v>
      </c>
      <c r="G270" s="3">
        <v>12479.71</v>
      </c>
    </row>
    <row r="271" spans="1:7" ht="14.5">
      <c r="A271" s="3">
        <v>54</v>
      </c>
      <c r="B271" s="4" t="s">
        <v>10</v>
      </c>
      <c r="C271" s="3">
        <v>27.6</v>
      </c>
      <c r="D271" s="3">
        <v>1</v>
      </c>
      <c r="E271" s="4" t="s">
        <v>8</v>
      </c>
      <c r="F271" s="4" t="s">
        <v>9</v>
      </c>
      <c r="G271" s="3">
        <v>11305.93</v>
      </c>
    </row>
    <row r="272" spans="1:7" ht="14.5">
      <c r="A272" s="3">
        <v>53</v>
      </c>
      <c r="B272" s="4" t="s">
        <v>10</v>
      </c>
      <c r="C272" s="3">
        <v>22.9</v>
      </c>
      <c r="D272" s="3">
        <v>1</v>
      </c>
      <c r="E272" s="4" t="s">
        <v>11</v>
      </c>
      <c r="F272" s="4" t="s">
        <v>14</v>
      </c>
      <c r="G272" s="3">
        <v>23244.79</v>
      </c>
    </row>
    <row r="273" spans="1:7" ht="14.5">
      <c r="A273" s="3">
        <v>53</v>
      </c>
      <c r="B273" s="4" t="s">
        <v>10</v>
      </c>
      <c r="C273" s="3">
        <v>28.1</v>
      </c>
      <c r="D273" s="3">
        <v>3</v>
      </c>
      <c r="E273" s="4" t="s">
        <v>8</v>
      </c>
      <c r="F273" s="4" t="s">
        <v>12</v>
      </c>
      <c r="G273" s="3">
        <v>11741.73</v>
      </c>
    </row>
    <row r="274" spans="1:7" ht="14.5">
      <c r="A274" s="3">
        <v>53</v>
      </c>
      <c r="B274" s="4" t="s">
        <v>10</v>
      </c>
      <c r="C274" s="3">
        <v>24.8</v>
      </c>
      <c r="D274" s="3">
        <v>1</v>
      </c>
      <c r="E274" s="4" t="s">
        <v>8</v>
      </c>
      <c r="F274" s="4" t="s">
        <v>9</v>
      </c>
      <c r="G274" s="3">
        <v>10942.13</v>
      </c>
    </row>
    <row r="275" spans="1:7" ht="14.5">
      <c r="A275" s="3">
        <v>53</v>
      </c>
      <c r="B275" s="4" t="s">
        <v>10</v>
      </c>
      <c r="C275" s="3">
        <v>35.9</v>
      </c>
      <c r="D275" s="3">
        <v>2</v>
      </c>
      <c r="E275" s="4" t="s">
        <v>8</v>
      </c>
      <c r="F275" s="4" t="s">
        <v>12</v>
      </c>
      <c r="G275" s="3">
        <v>11163.57</v>
      </c>
    </row>
    <row r="276" spans="1:7" ht="14.5">
      <c r="A276" s="3">
        <v>53</v>
      </c>
      <c r="B276" s="4" t="s">
        <v>10</v>
      </c>
      <c r="C276" s="3">
        <v>37.4</v>
      </c>
      <c r="D276" s="3">
        <v>1</v>
      </c>
      <c r="E276" s="4" t="s">
        <v>8</v>
      </c>
      <c r="F276" s="4" t="s">
        <v>9</v>
      </c>
      <c r="G276" s="3">
        <v>10959.69</v>
      </c>
    </row>
    <row r="277" spans="1:7" ht="14.5">
      <c r="A277" s="3">
        <v>53</v>
      </c>
      <c r="B277" s="4" t="s">
        <v>10</v>
      </c>
      <c r="C277" s="3">
        <v>26.6</v>
      </c>
      <c r="D277" s="3">
        <v>0</v>
      </c>
      <c r="E277" s="4" t="s">
        <v>8</v>
      </c>
      <c r="F277" s="4" t="s">
        <v>9</v>
      </c>
      <c r="G277" s="3">
        <v>10355.64</v>
      </c>
    </row>
    <row r="278" spans="1:7" ht="14.5">
      <c r="A278" s="3">
        <v>53</v>
      </c>
      <c r="B278" s="4" t="s">
        <v>10</v>
      </c>
      <c r="C278" s="3">
        <v>33.299999999999997</v>
      </c>
      <c r="D278" s="3">
        <v>0</v>
      </c>
      <c r="E278" s="4" t="s">
        <v>8</v>
      </c>
      <c r="F278" s="4" t="s">
        <v>13</v>
      </c>
      <c r="G278" s="3">
        <v>10564.88</v>
      </c>
    </row>
    <row r="279" spans="1:7" ht="14.5">
      <c r="A279" s="3">
        <v>53</v>
      </c>
      <c r="B279" s="4" t="s">
        <v>10</v>
      </c>
      <c r="C279" s="3">
        <v>38.1</v>
      </c>
      <c r="D279" s="3">
        <v>3</v>
      </c>
      <c r="E279" s="4" t="s">
        <v>8</v>
      </c>
      <c r="F279" s="4" t="s">
        <v>14</v>
      </c>
      <c r="G279" s="3">
        <v>20463</v>
      </c>
    </row>
    <row r="280" spans="1:7" ht="14.5">
      <c r="A280" s="3">
        <v>53</v>
      </c>
      <c r="B280" s="4" t="s">
        <v>10</v>
      </c>
      <c r="C280" s="3">
        <v>22.6</v>
      </c>
      <c r="D280" s="3">
        <v>3</v>
      </c>
      <c r="E280" s="4" t="s">
        <v>11</v>
      </c>
      <c r="F280" s="4" t="s">
        <v>13</v>
      </c>
      <c r="G280" s="3">
        <v>24873.38</v>
      </c>
    </row>
    <row r="281" spans="1:7" ht="14.5">
      <c r="A281" s="3">
        <v>53</v>
      </c>
      <c r="B281" s="4" t="s">
        <v>7</v>
      </c>
      <c r="C281" s="3">
        <v>31.2</v>
      </c>
      <c r="D281" s="3">
        <v>1</v>
      </c>
      <c r="E281" s="4" t="s">
        <v>8</v>
      </c>
      <c r="F281" s="4" t="s">
        <v>9</v>
      </c>
      <c r="G281" s="3">
        <v>10461.98</v>
      </c>
    </row>
    <row r="282" spans="1:7" ht="14.5">
      <c r="A282" s="3">
        <v>53</v>
      </c>
      <c r="B282" s="4" t="s">
        <v>7</v>
      </c>
      <c r="C282" s="3">
        <v>31.4</v>
      </c>
      <c r="D282" s="3">
        <v>0</v>
      </c>
      <c r="E282" s="4" t="s">
        <v>8</v>
      </c>
      <c r="F282" s="4" t="s">
        <v>14</v>
      </c>
      <c r="G282" s="3">
        <v>27346.04</v>
      </c>
    </row>
    <row r="283" spans="1:7" ht="14.5">
      <c r="A283" s="3">
        <v>53</v>
      </c>
      <c r="B283" s="4" t="s">
        <v>7</v>
      </c>
      <c r="C283" s="3">
        <v>36.1</v>
      </c>
      <c r="D283" s="3">
        <v>1</v>
      </c>
      <c r="E283" s="4" t="s">
        <v>8</v>
      </c>
      <c r="F283" s="4" t="s">
        <v>12</v>
      </c>
      <c r="G283" s="3">
        <v>10085.85</v>
      </c>
    </row>
    <row r="284" spans="1:7" ht="14.5">
      <c r="A284" s="3">
        <v>53</v>
      </c>
      <c r="B284" s="4" t="s">
        <v>10</v>
      </c>
      <c r="C284" s="3">
        <v>39.6</v>
      </c>
      <c r="D284" s="3">
        <v>1</v>
      </c>
      <c r="E284" s="4" t="s">
        <v>8</v>
      </c>
      <c r="F284" s="4" t="s">
        <v>14</v>
      </c>
      <c r="G284" s="3">
        <v>10579.71</v>
      </c>
    </row>
    <row r="285" spans="1:7" ht="14.5">
      <c r="A285" s="3">
        <v>53</v>
      </c>
      <c r="B285" s="4" t="s">
        <v>7</v>
      </c>
      <c r="C285" s="3">
        <v>24.3</v>
      </c>
      <c r="D285" s="3">
        <v>0</v>
      </c>
      <c r="E285" s="4" t="s">
        <v>8</v>
      </c>
      <c r="F285" s="4" t="s">
        <v>9</v>
      </c>
      <c r="G285" s="3">
        <v>9863.4699999999993</v>
      </c>
    </row>
    <row r="286" spans="1:7" ht="14.5">
      <c r="A286" s="3">
        <v>53</v>
      </c>
      <c r="B286" s="4" t="s">
        <v>7</v>
      </c>
      <c r="C286" s="3">
        <v>26.4</v>
      </c>
      <c r="D286" s="3">
        <v>2</v>
      </c>
      <c r="E286" s="4" t="s">
        <v>8</v>
      </c>
      <c r="F286" s="4" t="s">
        <v>13</v>
      </c>
      <c r="G286" s="3">
        <v>11244.38</v>
      </c>
    </row>
    <row r="287" spans="1:7" ht="14.5">
      <c r="A287" s="3">
        <v>53</v>
      </c>
      <c r="B287" s="4" t="s">
        <v>10</v>
      </c>
      <c r="C287" s="3">
        <v>32.299999999999997</v>
      </c>
      <c r="D287" s="3">
        <v>2</v>
      </c>
      <c r="E287" s="4" t="s">
        <v>8</v>
      </c>
      <c r="F287" s="4" t="s">
        <v>13</v>
      </c>
      <c r="G287" s="3">
        <v>29186.48</v>
      </c>
    </row>
    <row r="288" spans="1:7" ht="14.5">
      <c r="A288" s="3">
        <v>53</v>
      </c>
      <c r="B288" s="4" t="s">
        <v>7</v>
      </c>
      <c r="C288" s="3">
        <v>41.5</v>
      </c>
      <c r="D288" s="3">
        <v>0</v>
      </c>
      <c r="E288" s="4" t="s">
        <v>8</v>
      </c>
      <c r="F288" s="4" t="s">
        <v>14</v>
      </c>
      <c r="G288" s="3">
        <v>9504.31</v>
      </c>
    </row>
    <row r="289" spans="1:7" ht="14.5">
      <c r="A289" s="3">
        <v>53</v>
      </c>
      <c r="B289" s="4" t="s">
        <v>7</v>
      </c>
      <c r="C289" s="3">
        <v>36.6</v>
      </c>
      <c r="D289" s="3">
        <v>3</v>
      </c>
      <c r="E289" s="4" t="s">
        <v>8</v>
      </c>
      <c r="F289" s="4" t="s">
        <v>12</v>
      </c>
      <c r="G289" s="3">
        <v>11264.54</v>
      </c>
    </row>
    <row r="290" spans="1:7" ht="14.5">
      <c r="A290" s="3">
        <v>53</v>
      </c>
      <c r="B290" s="4" t="s">
        <v>7</v>
      </c>
      <c r="C290" s="3">
        <v>21.4</v>
      </c>
      <c r="D290" s="3">
        <v>1</v>
      </c>
      <c r="E290" s="4" t="s">
        <v>8</v>
      </c>
      <c r="F290" s="4" t="s">
        <v>12</v>
      </c>
      <c r="G290" s="3">
        <v>10065.41</v>
      </c>
    </row>
    <row r="291" spans="1:7" ht="14.5">
      <c r="A291" s="3">
        <v>53</v>
      </c>
      <c r="B291" s="4" t="s">
        <v>7</v>
      </c>
      <c r="C291" s="3">
        <v>34.1</v>
      </c>
      <c r="D291" s="3">
        <v>0</v>
      </c>
      <c r="E291" s="4" t="s">
        <v>11</v>
      </c>
      <c r="F291" s="4" t="s">
        <v>13</v>
      </c>
      <c r="G291" s="3">
        <v>43254.42</v>
      </c>
    </row>
    <row r="292" spans="1:7" ht="14.5">
      <c r="A292" s="3">
        <v>53</v>
      </c>
      <c r="B292" s="4" t="s">
        <v>10</v>
      </c>
      <c r="C292" s="3">
        <v>26.7</v>
      </c>
      <c r="D292" s="3">
        <v>2</v>
      </c>
      <c r="E292" s="4" t="s">
        <v>8</v>
      </c>
      <c r="F292" s="4" t="s">
        <v>12</v>
      </c>
      <c r="G292" s="3">
        <v>11150.78</v>
      </c>
    </row>
    <row r="293" spans="1:7" ht="14.5">
      <c r="A293" s="3">
        <v>53</v>
      </c>
      <c r="B293" s="4" t="s">
        <v>7</v>
      </c>
      <c r="C293" s="3">
        <v>28.9</v>
      </c>
      <c r="D293" s="3">
        <v>0</v>
      </c>
      <c r="E293" s="4" t="s">
        <v>8</v>
      </c>
      <c r="F293" s="4" t="s">
        <v>9</v>
      </c>
      <c r="G293" s="3">
        <v>9869.81</v>
      </c>
    </row>
    <row r="294" spans="1:7" ht="14.5">
      <c r="A294" s="3">
        <v>53</v>
      </c>
      <c r="B294" s="4" t="s">
        <v>7</v>
      </c>
      <c r="C294" s="3">
        <v>20.9</v>
      </c>
      <c r="D294" s="3">
        <v>0</v>
      </c>
      <c r="E294" s="4" t="s">
        <v>11</v>
      </c>
      <c r="F294" s="4" t="s">
        <v>14</v>
      </c>
      <c r="G294" s="3">
        <v>21195.82</v>
      </c>
    </row>
    <row r="295" spans="1:7" ht="14.5">
      <c r="A295" s="3">
        <v>53</v>
      </c>
      <c r="B295" s="4" t="s">
        <v>7</v>
      </c>
      <c r="C295" s="3">
        <v>30.5</v>
      </c>
      <c r="D295" s="3">
        <v>0</v>
      </c>
      <c r="E295" s="4" t="s">
        <v>8</v>
      </c>
      <c r="F295" s="4" t="s">
        <v>13</v>
      </c>
      <c r="G295" s="3">
        <v>10072.06</v>
      </c>
    </row>
    <row r="296" spans="1:7" ht="14.5">
      <c r="A296" s="3">
        <v>53</v>
      </c>
      <c r="B296" s="4" t="s">
        <v>10</v>
      </c>
      <c r="C296" s="3">
        <v>23.8</v>
      </c>
      <c r="D296" s="3">
        <v>2</v>
      </c>
      <c r="E296" s="4" t="s">
        <v>8</v>
      </c>
      <c r="F296" s="4" t="s">
        <v>13</v>
      </c>
      <c r="G296" s="3">
        <v>11729.68</v>
      </c>
    </row>
    <row r="297" spans="1:7" ht="14.5">
      <c r="A297" s="3">
        <v>53</v>
      </c>
      <c r="B297" s="4" t="s">
        <v>7</v>
      </c>
      <c r="C297" s="3">
        <v>29.5</v>
      </c>
      <c r="D297" s="3">
        <v>0</v>
      </c>
      <c r="E297" s="4" t="s">
        <v>8</v>
      </c>
      <c r="F297" s="4" t="s">
        <v>14</v>
      </c>
      <c r="G297" s="3">
        <v>9487.64</v>
      </c>
    </row>
    <row r="298" spans="1:7" ht="14.5">
      <c r="A298" s="3">
        <v>53</v>
      </c>
      <c r="B298" s="4" t="s">
        <v>7</v>
      </c>
      <c r="C298" s="3">
        <v>28.6</v>
      </c>
      <c r="D298" s="3">
        <v>3</v>
      </c>
      <c r="E298" s="4" t="s">
        <v>8</v>
      </c>
      <c r="F298" s="4" t="s">
        <v>12</v>
      </c>
      <c r="G298" s="3">
        <v>11253.42</v>
      </c>
    </row>
    <row r="299" spans="1:7" ht="14.5">
      <c r="A299" s="3">
        <v>53</v>
      </c>
      <c r="B299" s="4" t="s">
        <v>10</v>
      </c>
      <c r="C299" s="3">
        <v>36.9</v>
      </c>
      <c r="D299" s="3">
        <v>3</v>
      </c>
      <c r="E299" s="4" t="s">
        <v>11</v>
      </c>
      <c r="F299" s="4" t="s">
        <v>9</v>
      </c>
      <c r="G299" s="3">
        <v>46661.440000000002</v>
      </c>
    </row>
    <row r="300" spans="1:7" ht="14.5">
      <c r="A300" s="3">
        <v>52</v>
      </c>
      <c r="B300" s="4" t="s">
        <v>10</v>
      </c>
      <c r="C300" s="3">
        <v>30.8</v>
      </c>
      <c r="D300" s="3">
        <v>1</v>
      </c>
      <c r="E300" s="4" t="s">
        <v>8</v>
      </c>
      <c r="F300" s="4" t="s">
        <v>13</v>
      </c>
      <c r="G300" s="3">
        <v>10797.34</v>
      </c>
    </row>
    <row r="301" spans="1:7" ht="14.5">
      <c r="A301" s="3">
        <v>52</v>
      </c>
      <c r="B301" s="4" t="s">
        <v>7</v>
      </c>
      <c r="C301" s="3">
        <v>32.200000000000003</v>
      </c>
      <c r="D301" s="3">
        <v>3</v>
      </c>
      <c r="E301" s="4" t="s">
        <v>8</v>
      </c>
      <c r="F301" s="4" t="s">
        <v>13</v>
      </c>
      <c r="G301" s="3">
        <v>11488.32</v>
      </c>
    </row>
    <row r="302" spans="1:7" ht="14.5">
      <c r="A302" s="3">
        <v>52</v>
      </c>
      <c r="B302" s="4" t="s">
        <v>10</v>
      </c>
      <c r="C302" s="3">
        <v>37.4</v>
      </c>
      <c r="D302" s="3">
        <v>0</v>
      </c>
      <c r="E302" s="4" t="s">
        <v>8</v>
      </c>
      <c r="F302" s="4" t="s">
        <v>12</v>
      </c>
      <c r="G302" s="3">
        <v>9634.5400000000009</v>
      </c>
    </row>
    <row r="303" spans="1:7" ht="14.5">
      <c r="A303" s="3">
        <v>52</v>
      </c>
      <c r="B303" s="4" t="s">
        <v>7</v>
      </c>
      <c r="C303" s="3">
        <v>24.3</v>
      </c>
      <c r="D303" s="3">
        <v>3</v>
      </c>
      <c r="E303" s="4" t="s">
        <v>11</v>
      </c>
      <c r="F303" s="4" t="s">
        <v>13</v>
      </c>
      <c r="G303" s="3">
        <v>24869.84</v>
      </c>
    </row>
    <row r="304" spans="1:7" ht="14.5">
      <c r="A304" s="3">
        <v>52</v>
      </c>
      <c r="B304" s="4" t="s">
        <v>10</v>
      </c>
      <c r="C304" s="3">
        <v>31.2</v>
      </c>
      <c r="D304" s="3">
        <v>0</v>
      </c>
      <c r="E304" s="4" t="s">
        <v>8</v>
      </c>
      <c r="F304" s="4" t="s">
        <v>12</v>
      </c>
      <c r="G304" s="3">
        <v>9625.92</v>
      </c>
    </row>
    <row r="305" spans="1:7" ht="14.5">
      <c r="A305" s="3">
        <v>52</v>
      </c>
      <c r="B305" s="4" t="s">
        <v>7</v>
      </c>
      <c r="C305" s="3">
        <v>26.4</v>
      </c>
      <c r="D305" s="3">
        <v>3</v>
      </c>
      <c r="E305" s="4" t="s">
        <v>8</v>
      </c>
      <c r="F305" s="4" t="s">
        <v>14</v>
      </c>
      <c r="G305" s="3">
        <v>25992.82</v>
      </c>
    </row>
    <row r="306" spans="1:7" ht="14.5">
      <c r="A306" s="3">
        <v>52</v>
      </c>
      <c r="B306" s="4" t="s">
        <v>7</v>
      </c>
      <c r="C306" s="3">
        <v>33.299999999999997</v>
      </c>
      <c r="D306" s="3">
        <v>0</v>
      </c>
      <c r="E306" s="4" t="s">
        <v>8</v>
      </c>
      <c r="F306" s="4" t="s">
        <v>13</v>
      </c>
      <c r="G306" s="3">
        <v>9722.77</v>
      </c>
    </row>
    <row r="307" spans="1:7" ht="14.5">
      <c r="A307" s="3">
        <v>52</v>
      </c>
      <c r="B307" s="4" t="s">
        <v>7</v>
      </c>
      <c r="C307" s="3">
        <v>36.700000000000003</v>
      </c>
      <c r="D307" s="3">
        <v>0</v>
      </c>
      <c r="E307" s="4" t="s">
        <v>8</v>
      </c>
      <c r="F307" s="4" t="s">
        <v>12</v>
      </c>
      <c r="G307" s="3">
        <v>9144.57</v>
      </c>
    </row>
    <row r="308" spans="1:7" ht="14.5">
      <c r="A308" s="3">
        <v>52</v>
      </c>
      <c r="B308" s="4" t="s">
        <v>7</v>
      </c>
      <c r="C308" s="3">
        <v>27.4</v>
      </c>
      <c r="D308" s="3">
        <v>0</v>
      </c>
      <c r="E308" s="4" t="s">
        <v>11</v>
      </c>
      <c r="F308" s="4" t="s">
        <v>9</v>
      </c>
      <c r="G308" s="3">
        <v>24393.62</v>
      </c>
    </row>
    <row r="309" spans="1:7" ht="14.5">
      <c r="A309" s="3">
        <v>52</v>
      </c>
      <c r="B309" s="4" t="s">
        <v>10</v>
      </c>
      <c r="C309" s="3">
        <v>38.4</v>
      </c>
      <c r="D309" s="3">
        <v>2</v>
      </c>
      <c r="E309" s="4" t="s">
        <v>8</v>
      </c>
      <c r="F309" s="4" t="s">
        <v>13</v>
      </c>
      <c r="G309" s="3">
        <v>11396.9</v>
      </c>
    </row>
    <row r="310" spans="1:7" ht="14.5">
      <c r="A310" s="3">
        <v>52</v>
      </c>
      <c r="B310" s="4" t="s">
        <v>7</v>
      </c>
      <c r="C310" s="3">
        <v>34.1</v>
      </c>
      <c r="D310" s="3">
        <v>0</v>
      </c>
      <c r="E310" s="4" t="s">
        <v>8</v>
      </c>
      <c r="F310" s="4" t="s">
        <v>14</v>
      </c>
      <c r="G310" s="3">
        <v>9140.9500000000007</v>
      </c>
    </row>
    <row r="311" spans="1:7" ht="14.5">
      <c r="A311" s="3">
        <v>52</v>
      </c>
      <c r="B311" s="4" t="s">
        <v>10</v>
      </c>
      <c r="C311" s="3">
        <v>46.8</v>
      </c>
      <c r="D311" s="3">
        <v>5</v>
      </c>
      <c r="E311" s="4" t="s">
        <v>8</v>
      </c>
      <c r="F311" s="4" t="s">
        <v>14</v>
      </c>
      <c r="G311" s="3">
        <v>12592.53</v>
      </c>
    </row>
    <row r="312" spans="1:7" ht="14.5">
      <c r="A312" s="3">
        <v>52</v>
      </c>
      <c r="B312" s="4" t="s">
        <v>10</v>
      </c>
      <c r="C312" s="3">
        <v>31.7</v>
      </c>
      <c r="D312" s="3">
        <v>2</v>
      </c>
      <c r="E312" s="4" t="s">
        <v>8</v>
      </c>
      <c r="F312" s="4" t="s">
        <v>9</v>
      </c>
      <c r="G312" s="3">
        <v>11187.66</v>
      </c>
    </row>
    <row r="313" spans="1:7" ht="14.5">
      <c r="A313" s="3">
        <v>52</v>
      </c>
      <c r="B313" s="4" t="s">
        <v>7</v>
      </c>
      <c r="C313" s="3">
        <v>30.2</v>
      </c>
      <c r="D313" s="3">
        <v>1</v>
      </c>
      <c r="E313" s="4" t="s">
        <v>8</v>
      </c>
      <c r="F313" s="4" t="s">
        <v>12</v>
      </c>
      <c r="G313" s="3">
        <v>9724.5300000000007</v>
      </c>
    </row>
    <row r="314" spans="1:7" ht="14.5">
      <c r="A314" s="3">
        <v>52</v>
      </c>
      <c r="B314" s="4" t="s">
        <v>10</v>
      </c>
      <c r="C314" s="3">
        <v>37.5</v>
      </c>
      <c r="D314" s="3">
        <v>2</v>
      </c>
      <c r="E314" s="4" t="s">
        <v>8</v>
      </c>
      <c r="F314" s="4" t="s">
        <v>9</v>
      </c>
      <c r="G314" s="3">
        <v>33471.97</v>
      </c>
    </row>
    <row r="315" spans="1:7" ht="14.5">
      <c r="A315" s="3">
        <v>52</v>
      </c>
      <c r="B315" s="4" t="s">
        <v>10</v>
      </c>
      <c r="C315" s="3">
        <v>25.3</v>
      </c>
      <c r="D315" s="3">
        <v>2</v>
      </c>
      <c r="E315" s="4" t="s">
        <v>11</v>
      </c>
      <c r="F315" s="4" t="s">
        <v>14</v>
      </c>
      <c r="G315" s="3">
        <v>24667.42</v>
      </c>
    </row>
    <row r="316" spans="1:7" ht="14.5">
      <c r="A316" s="3">
        <v>52</v>
      </c>
      <c r="B316" s="4" t="s">
        <v>7</v>
      </c>
      <c r="C316" s="3">
        <v>36.799999999999997</v>
      </c>
      <c r="D316" s="3">
        <v>2</v>
      </c>
      <c r="E316" s="4" t="s">
        <v>8</v>
      </c>
      <c r="F316" s="4" t="s">
        <v>9</v>
      </c>
      <c r="G316" s="3">
        <v>26467.1</v>
      </c>
    </row>
    <row r="317" spans="1:7" ht="14.5">
      <c r="A317" s="3">
        <v>52</v>
      </c>
      <c r="B317" s="4" t="s">
        <v>7</v>
      </c>
      <c r="C317" s="3">
        <v>47.7</v>
      </c>
      <c r="D317" s="3">
        <v>1</v>
      </c>
      <c r="E317" s="4" t="s">
        <v>8</v>
      </c>
      <c r="F317" s="4" t="s">
        <v>14</v>
      </c>
      <c r="G317" s="3">
        <v>9748.91</v>
      </c>
    </row>
    <row r="318" spans="1:7" ht="14.5">
      <c r="A318" s="3">
        <v>52</v>
      </c>
      <c r="B318" s="4" t="s">
        <v>10</v>
      </c>
      <c r="C318" s="3">
        <v>30.9</v>
      </c>
      <c r="D318" s="3">
        <v>0</v>
      </c>
      <c r="E318" s="4" t="s">
        <v>8</v>
      </c>
      <c r="F318" s="4" t="s">
        <v>13</v>
      </c>
      <c r="G318" s="3">
        <v>23045.57</v>
      </c>
    </row>
    <row r="319" spans="1:7" ht="14.5">
      <c r="A319" s="3">
        <v>52</v>
      </c>
      <c r="B319" s="4" t="s">
        <v>10</v>
      </c>
      <c r="C319" s="3">
        <v>18.3</v>
      </c>
      <c r="D319" s="3">
        <v>0</v>
      </c>
      <c r="E319" s="4" t="s">
        <v>8</v>
      </c>
      <c r="F319" s="4" t="s">
        <v>9</v>
      </c>
      <c r="G319" s="3">
        <v>9991.0400000000009</v>
      </c>
    </row>
    <row r="320" spans="1:7" ht="14.5">
      <c r="A320" s="3">
        <v>52</v>
      </c>
      <c r="B320" s="4" t="s">
        <v>10</v>
      </c>
      <c r="C320" s="3">
        <v>24.9</v>
      </c>
      <c r="D320" s="3">
        <v>0</v>
      </c>
      <c r="E320" s="4" t="s">
        <v>8</v>
      </c>
      <c r="F320" s="4" t="s">
        <v>14</v>
      </c>
      <c r="G320" s="3">
        <v>27117.99</v>
      </c>
    </row>
    <row r="321" spans="1:7" ht="14.5">
      <c r="A321" s="3">
        <v>52</v>
      </c>
      <c r="B321" s="4" t="s">
        <v>7</v>
      </c>
      <c r="C321" s="3">
        <v>32.799999999999997</v>
      </c>
      <c r="D321" s="3">
        <v>3</v>
      </c>
      <c r="E321" s="4" t="s">
        <v>8</v>
      </c>
      <c r="F321" s="4" t="s">
        <v>9</v>
      </c>
      <c r="G321" s="3">
        <v>11289.11</v>
      </c>
    </row>
    <row r="322" spans="1:7" ht="14.5">
      <c r="A322" s="3">
        <v>52</v>
      </c>
      <c r="B322" s="4" t="s">
        <v>10</v>
      </c>
      <c r="C322" s="3">
        <v>24.1</v>
      </c>
      <c r="D322" s="3">
        <v>1</v>
      </c>
      <c r="E322" s="4" t="s">
        <v>11</v>
      </c>
      <c r="F322" s="4" t="s">
        <v>9</v>
      </c>
      <c r="G322" s="3">
        <v>23887.66</v>
      </c>
    </row>
    <row r="323" spans="1:7" ht="14.5">
      <c r="A323" s="3">
        <v>52</v>
      </c>
      <c r="B323" s="4" t="s">
        <v>10</v>
      </c>
      <c r="C323" s="3">
        <v>33.299999999999997</v>
      </c>
      <c r="D323" s="3">
        <v>2</v>
      </c>
      <c r="E323" s="4" t="s">
        <v>8</v>
      </c>
      <c r="F323" s="4" t="s">
        <v>12</v>
      </c>
      <c r="G323" s="3">
        <v>10806.84</v>
      </c>
    </row>
    <row r="324" spans="1:7" ht="14.5">
      <c r="A324" s="3">
        <v>52</v>
      </c>
      <c r="B324" s="4" t="s">
        <v>7</v>
      </c>
      <c r="C324" s="3">
        <v>34.5</v>
      </c>
      <c r="D324" s="3">
        <v>3</v>
      </c>
      <c r="E324" s="4" t="s">
        <v>11</v>
      </c>
      <c r="F324" s="4" t="s">
        <v>9</v>
      </c>
      <c r="G324" s="3">
        <v>60021.4</v>
      </c>
    </row>
    <row r="325" spans="1:7" ht="14.5">
      <c r="A325" s="3">
        <v>52</v>
      </c>
      <c r="B325" s="4" t="s">
        <v>7</v>
      </c>
      <c r="C325" s="3">
        <v>41.8</v>
      </c>
      <c r="D325" s="3">
        <v>2</v>
      </c>
      <c r="E325" s="4" t="s">
        <v>11</v>
      </c>
      <c r="F325" s="4" t="s">
        <v>14</v>
      </c>
      <c r="G325" s="3">
        <v>47269.85</v>
      </c>
    </row>
    <row r="326" spans="1:7" ht="14.5">
      <c r="A326" s="3">
        <v>52</v>
      </c>
      <c r="B326" s="4" t="s">
        <v>10</v>
      </c>
      <c r="C326" s="3">
        <v>23.2</v>
      </c>
      <c r="D326" s="3">
        <v>0</v>
      </c>
      <c r="E326" s="4" t="s">
        <v>8</v>
      </c>
      <c r="F326" s="4" t="s">
        <v>13</v>
      </c>
      <c r="G326" s="3">
        <v>10197.77</v>
      </c>
    </row>
    <row r="327" spans="1:7" ht="14.5">
      <c r="A327" s="3">
        <v>52</v>
      </c>
      <c r="B327" s="4" t="s">
        <v>7</v>
      </c>
      <c r="C327" s="3">
        <v>38.6</v>
      </c>
      <c r="D327" s="3">
        <v>2</v>
      </c>
      <c r="E327" s="4" t="s">
        <v>8</v>
      </c>
      <c r="F327" s="4" t="s">
        <v>12</v>
      </c>
      <c r="G327" s="3">
        <v>10325.209999999999</v>
      </c>
    </row>
    <row r="328" spans="1:7" ht="14.5">
      <c r="A328" s="3">
        <v>52</v>
      </c>
      <c r="B328" s="4" t="s">
        <v>10</v>
      </c>
      <c r="C328" s="3">
        <v>44.7</v>
      </c>
      <c r="D328" s="3">
        <v>3</v>
      </c>
      <c r="E328" s="4" t="s">
        <v>8</v>
      </c>
      <c r="F328" s="4" t="s">
        <v>12</v>
      </c>
      <c r="G328" s="3">
        <v>11411.69</v>
      </c>
    </row>
    <row r="329" spans="1:7" ht="14.5">
      <c r="A329" s="3">
        <v>51</v>
      </c>
      <c r="B329" s="4" t="s">
        <v>10</v>
      </c>
      <c r="C329" s="3">
        <v>37.700000000000003</v>
      </c>
      <c r="D329" s="3">
        <v>1</v>
      </c>
      <c r="E329" s="4" t="s">
        <v>8</v>
      </c>
      <c r="F329" s="4" t="s">
        <v>14</v>
      </c>
      <c r="G329" s="3">
        <v>9877.61</v>
      </c>
    </row>
    <row r="330" spans="1:7" ht="14.5">
      <c r="A330" s="3">
        <v>51</v>
      </c>
      <c r="B330" s="4" t="s">
        <v>10</v>
      </c>
      <c r="C330" s="3">
        <v>18.100000000000001</v>
      </c>
      <c r="D330" s="3">
        <v>0</v>
      </c>
      <c r="E330" s="4" t="s">
        <v>8</v>
      </c>
      <c r="F330" s="4" t="s">
        <v>9</v>
      </c>
      <c r="G330" s="3">
        <v>9644.25</v>
      </c>
    </row>
    <row r="331" spans="1:7" ht="14.5">
      <c r="A331" s="3">
        <v>51</v>
      </c>
      <c r="B331" s="4" t="s">
        <v>7</v>
      </c>
      <c r="C331" s="3">
        <v>24.4</v>
      </c>
      <c r="D331" s="3">
        <v>4</v>
      </c>
      <c r="E331" s="4" t="s">
        <v>8</v>
      </c>
      <c r="F331" s="4" t="s">
        <v>9</v>
      </c>
      <c r="G331" s="3">
        <v>11520.1</v>
      </c>
    </row>
    <row r="332" spans="1:7" ht="14.5">
      <c r="A332" s="3">
        <v>51</v>
      </c>
      <c r="B332" s="4" t="s">
        <v>10</v>
      </c>
      <c r="C332" s="3">
        <v>21.6</v>
      </c>
      <c r="D332" s="3">
        <v>1</v>
      </c>
      <c r="E332" s="4" t="s">
        <v>8</v>
      </c>
      <c r="F332" s="4" t="s">
        <v>14</v>
      </c>
      <c r="G332" s="3">
        <v>9855.1299999999992</v>
      </c>
    </row>
    <row r="333" spans="1:7" ht="14.5">
      <c r="A333" s="3">
        <v>51</v>
      </c>
      <c r="B333" s="4" t="s">
        <v>10</v>
      </c>
      <c r="C333" s="3">
        <v>20.6</v>
      </c>
      <c r="D333" s="3">
        <v>0</v>
      </c>
      <c r="E333" s="4" t="s">
        <v>8</v>
      </c>
      <c r="F333" s="4" t="s">
        <v>12</v>
      </c>
      <c r="G333" s="3">
        <v>9264.7999999999993</v>
      </c>
    </row>
    <row r="334" spans="1:7" ht="14.5">
      <c r="A334" s="3">
        <v>51</v>
      </c>
      <c r="B334" s="4" t="s">
        <v>10</v>
      </c>
      <c r="C334" s="3">
        <v>39.5</v>
      </c>
      <c r="D334" s="3">
        <v>1</v>
      </c>
      <c r="E334" s="4" t="s">
        <v>8</v>
      </c>
      <c r="F334" s="4" t="s">
        <v>12</v>
      </c>
      <c r="G334" s="3">
        <v>9880.07</v>
      </c>
    </row>
    <row r="335" spans="1:7" ht="14.5">
      <c r="A335" s="3">
        <v>51</v>
      </c>
      <c r="B335" s="4" t="s">
        <v>7</v>
      </c>
      <c r="C335" s="3">
        <v>23.2</v>
      </c>
      <c r="D335" s="3">
        <v>1</v>
      </c>
      <c r="E335" s="4" t="s">
        <v>11</v>
      </c>
      <c r="F335" s="4" t="s">
        <v>14</v>
      </c>
      <c r="G335" s="3">
        <v>22218.11</v>
      </c>
    </row>
    <row r="336" spans="1:7" ht="14.5">
      <c r="A336" s="3">
        <v>51</v>
      </c>
      <c r="B336" s="4" t="s">
        <v>7</v>
      </c>
      <c r="C336" s="3">
        <v>22.4</v>
      </c>
      <c r="D336" s="3">
        <v>0</v>
      </c>
      <c r="E336" s="4" t="s">
        <v>8</v>
      </c>
      <c r="F336" s="4" t="s">
        <v>13</v>
      </c>
      <c r="G336" s="3">
        <v>9361.33</v>
      </c>
    </row>
    <row r="337" spans="1:7" ht="14.5">
      <c r="A337" s="3">
        <v>51</v>
      </c>
      <c r="B337" s="4" t="s">
        <v>10</v>
      </c>
      <c r="C337" s="3">
        <v>33.9</v>
      </c>
      <c r="D337" s="3">
        <v>0</v>
      </c>
      <c r="E337" s="4" t="s">
        <v>8</v>
      </c>
      <c r="F337" s="4" t="s">
        <v>13</v>
      </c>
      <c r="G337" s="3">
        <v>9866.2999999999993</v>
      </c>
    </row>
    <row r="338" spans="1:7" ht="14.5">
      <c r="A338" s="3">
        <v>51</v>
      </c>
      <c r="B338" s="4" t="s">
        <v>10</v>
      </c>
      <c r="C338" s="3">
        <v>25.8</v>
      </c>
      <c r="D338" s="3">
        <v>1</v>
      </c>
      <c r="E338" s="4" t="s">
        <v>8</v>
      </c>
      <c r="F338" s="4" t="s">
        <v>12</v>
      </c>
      <c r="G338" s="3">
        <v>9861.0300000000007</v>
      </c>
    </row>
    <row r="339" spans="1:7" ht="14.5">
      <c r="A339" s="3">
        <v>51</v>
      </c>
      <c r="B339" s="4" t="s">
        <v>7</v>
      </c>
      <c r="C339" s="3">
        <v>31.6</v>
      </c>
      <c r="D339" s="3">
        <v>0</v>
      </c>
      <c r="E339" s="4" t="s">
        <v>8</v>
      </c>
      <c r="F339" s="4" t="s">
        <v>9</v>
      </c>
      <c r="G339" s="3">
        <v>9174.14</v>
      </c>
    </row>
    <row r="340" spans="1:7" ht="14.5">
      <c r="A340" s="3">
        <v>51</v>
      </c>
      <c r="B340" s="4" t="s">
        <v>10</v>
      </c>
      <c r="C340" s="3">
        <v>34.1</v>
      </c>
      <c r="D340" s="3">
        <v>0</v>
      </c>
      <c r="E340" s="4" t="s">
        <v>8</v>
      </c>
      <c r="F340" s="4" t="s">
        <v>14</v>
      </c>
      <c r="G340" s="3">
        <v>9283.56</v>
      </c>
    </row>
    <row r="341" spans="1:7" ht="14.5">
      <c r="A341" s="3">
        <v>51</v>
      </c>
      <c r="B341" s="4" t="s">
        <v>7</v>
      </c>
      <c r="C341" s="3">
        <v>39.700000000000003</v>
      </c>
      <c r="D341" s="3">
        <v>1</v>
      </c>
      <c r="E341" s="4" t="s">
        <v>8</v>
      </c>
      <c r="F341" s="4" t="s">
        <v>12</v>
      </c>
      <c r="G341" s="3">
        <v>9391.35</v>
      </c>
    </row>
    <row r="342" spans="1:7" ht="14.5">
      <c r="A342" s="3">
        <v>51</v>
      </c>
      <c r="B342" s="4" t="s">
        <v>10</v>
      </c>
      <c r="C342" s="3">
        <v>38.1</v>
      </c>
      <c r="D342" s="3">
        <v>0</v>
      </c>
      <c r="E342" s="4" t="s">
        <v>11</v>
      </c>
      <c r="F342" s="4" t="s">
        <v>14</v>
      </c>
      <c r="G342" s="3">
        <v>44400.41</v>
      </c>
    </row>
    <row r="343" spans="1:7" ht="14.5">
      <c r="A343" s="3">
        <v>51</v>
      </c>
      <c r="B343" s="4" t="s">
        <v>10</v>
      </c>
      <c r="C343" s="3">
        <v>36.700000000000003</v>
      </c>
      <c r="D343" s="3">
        <v>2</v>
      </c>
      <c r="E343" s="4" t="s">
        <v>8</v>
      </c>
      <c r="F343" s="4" t="s">
        <v>9</v>
      </c>
      <c r="G343" s="3">
        <v>10848.13</v>
      </c>
    </row>
    <row r="344" spans="1:7" ht="14.5">
      <c r="A344" s="3">
        <v>51</v>
      </c>
      <c r="B344" s="4" t="s">
        <v>10</v>
      </c>
      <c r="C344" s="3">
        <v>40.700000000000003</v>
      </c>
      <c r="D344" s="3">
        <v>0</v>
      </c>
      <c r="E344" s="4" t="s">
        <v>8</v>
      </c>
      <c r="F344" s="4" t="s">
        <v>13</v>
      </c>
      <c r="G344" s="3">
        <v>9875.68</v>
      </c>
    </row>
    <row r="345" spans="1:7" ht="14.5">
      <c r="A345" s="3">
        <v>51</v>
      </c>
      <c r="B345" s="4" t="s">
        <v>7</v>
      </c>
      <c r="C345" s="3">
        <v>33.299999999999997</v>
      </c>
      <c r="D345" s="3">
        <v>3</v>
      </c>
      <c r="E345" s="4" t="s">
        <v>8</v>
      </c>
      <c r="F345" s="4" t="s">
        <v>14</v>
      </c>
      <c r="G345" s="3">
        <v>10560.49</v>
      </c>
    </row>
    <row r="346" spans="1:7" ht="14.5">
      <c r="A346" s="3">
        <v>51</v>
      </c>
      <c r="B346" s="4" t="s">
        <v>7</v>
      </c>
      <c r="C346" s="3">
        <v>36</v>
      </c>
      <c r="D346" s="3">
        <v>1</v>
      </c>
      <c r="E346" s="4" t="s">
        <v>8</v>
      </c>
      <c r="F346" s="4" t="s">
        <v>14</v>
      </c>
      <c r="G346" s="3">
        <v>9386.16</v>
      </c>
    </row>
    <row r="347" spans="1:7" ht="14.5">
      <c r="A347" s="3">
        <v>51</v>
      </c>
      <c r="B347" s="4" t="s">
        <v>10</v>
      </c>
      <c r="C347" s="3">
        <v>34.200000000000003</v>
      </c>
      <c r="D347" s="3">
        <v>1</v>
      </c>
      <c r="E347" s="4" t="s">
        <v>8</v>
      </c>
      <c r="F347" s="4" t="s">
        <v>12</v>
      </c>
      <c r="G347" s="3">
        <v>9872.7000000000007</v>
      </c>
    </row>
    <row r="348" spans="1:7" ht="14.5">
      <c r="A348" s="3">
        <v>51</v>
      </c>
      <c r="B348" s="4" t="s">
        <v>7</v>
      </c>
      <c r="C348" s="3">
        <v>25.4</v>
      </c>
      <c r="D348" s="3">
        <v>0</v>
      </c>
      <c r="E348" s="4" t="s">
        <v>8</v>
      </c>
      <c r="F348" s="4" t="s">
        <v>12</v>
      </c>
      <c r="G348" s="3">
        <v>8782.4699999999993</v>
      </c>
    </row>
    <row r="349" spans="1:7" ht="14.5">
      <c r="A349" s="3">
        <v>51</v>
      </c>
      <c r="B349" s="4" t="s">
        <v>10</v>
      </c>
      <c r="C349" s="3">
        <v>37.1</v>
      </c>
      <c r="D349" s="3">
        <v>3</v>
      </c>
      <c r="E349" s="4" t="s">
        <v>11</v>
      </c>
      <c r="F349" s="4" t="s">
        <v>13</v>
      </c>
      <c r="G349" s="3">
        <v>46255.11</v>
      </c>
    </row>
    <row r="350" spans="1:7" ht="14.5">
      <c r="A350" s="3">
        <v>51</v>
      </c>
      <c r="B350" s="4" t="s">
        <v>7</v>
      </c>
      <c r="C350" s="3">
        <v>42.9</v>
      </c>
      <c r="D350" s="3">
        <v>2</v>
      </c>
      <c r="E350" s="4" t="s">
        <v>11</v>
      </c>
      <c r="F350" s="4" t="s">
        <v>14</v>
      </c>
      <c r="G350" s="3">
        <v>47462.89</v>
      </c>
    </row>
    <row r="351" spans="1:7" ht="14.5">
      <c r="A351" s="3">
        <v>51</v>
      </c>
      <c r="B351" s="4" t="s">
        <v>7</v>
      </c>
      <c r="C351" s="3">
        <v>24.8</v>
      </c>
      <c r="D351" s="3">
        <v>2</v>
      </c>
      <c r="E351" s="4" t="s">
        <v>11</v>
      </c>
      <c r="F351" s="4" t="s">
        <v>9</v>
      </c>
      <c r="G351" s="3">
        <v>23967.38</v>
      </c>
    </row>
    <row r="352" spans="1:7" ht="14.5">
      <c r="A352" s="3">
        <v>51</v>
      </c>
      <c r="B352" s="4" t="s">
        <v>7</v>
      </c>
      <c r="C352" s="3">
        <v>27.7</v>
      </c>
      <c r="D352" s="3">
        <v>1</v>
      </c>
      <c r="E352" s="4" t="s">
        <v>8</v>
      </c>
      <c r="F352" s="4" t="s">
        <v>13</v>
      </c>
      <c r="G352" s="3">
        <v>9957.7199999999993</v>
      </c>
    </row>
    <row r="353" spans="1:7" ht="14.5">
      <c r="A353" s="3">
        <v>51</v>
      </c>
      <c r="B353" s="4" t="s">
        <v>7</v>
      </c>
      <c r="C353" s="3">
        <v>37</v>
      </c>
      <c r="D353" s="3">
        <v>0</v>
      </c>
      <c r="E353" s="4" t="s">
        <v>8</v>
      </c>
      <c r="F353" s="4" t="s">
        <v>12</v>
      </c>
      <c r="G353" s="3">
        <v>8798.59</v>
      </c>
    </row>
    <row r="354" spans="1:7" ht="14.5">
      <c r="A354" s="3">
        <v>51</v>
      </c>
      <c r="B354" s="4" t="s">
        <v>10</v>
      </c>
      <c r="C354" s="3">
        <v>35</v>
      </c>
      <c r="D354" s="3">
        <v>2</v>
      </c>
      <c r="E354" s="4" t="s">
        <v>11</v>
      </c>
      <c r="F354" s="4" t="s">
        <v>13</v>
      </c>
      <c r="G354" s="3">
        <v>44641.2</v>
      </c>
    </row>
    <row r="355" spans="1:7" ht="14.5">
      <c r="A355" s="3">
        <v>51</v>
      </c>
      <c r="B355" s="4" t="s">
        <v>7</v>
      </c>
      <c r="C355" s="3">
        <v>32.299999999999997</v>
      </c>
      <c r="D355" s="3">
        <v>1</v>
      </c>
      <c r="E355" s="4" t="s">
        <v>8</v>
      </c>
      <c r="F355" s="4" t="s">
        <v>13</v>
      </c>
      <c r="G355" s="3">
        <v>9964.06</v>
      </c>
    </row>
    <row r="356" spans="1:7" ht="14.5">
      <c r="A356" s="3">
        <v>51</v>
      </c>
      <c r="B356" s="4" t="s">
        <v>10</v>
      </c>
      <c r="C356" s="3">
        <v>36.4</v>
      </c>
      <c r="D356" s="3">
        <v>3</v>
      </c>
      <c r="E356" s="4" t="s">
        <v>8</v>
      </c>
      <c r="F356" s="4" t="s">
        <v>9</v>
      </c>
      <c r="G356" s="3">
        <v>11436.74</v>
      </c>
    </row>
    <row r="357" spans="1:7" ht="14.5">
      <c r="A357" s="3">
        <v>51</v>
      </c>
      <c r="B357" s="4" t="s">
        <v>7</v>
      </c>
      <c r="C357" s="3">
        <v>30</v>
      </c>
      <c r="D357" s="3">
        <v>1</v>
      </c>
      <c r="E357" s="4" t="s">
        <v>8</v>
      </c>
      <c r="F357" s="4" t="s">
        <v>14</v>
      </c>
      <c r="G357" s="3">
        <v>9377.9</v>
      </c>
    </row>
    <row r="358" spans="1:7" ht="14.5">
      <c r="A358" s="3">
        <v>50</v>
      </c>
      <c r="B358" s="4" t="s">
        <v>10</v>
      </c>
      <c r="C358" s="3">
        <v>27.8</v>
      </c>
      <c r="D358" s="3">
        <v>3</v>
      </c>
      <c r="E358" s="4" t="s">
        <v>8</v>
      </c>
      <c r="F358" s="4" t="s">
        <v>14</v>
      </c>
      <c r="G358" s="3">
        <v>19749.38</v>
      </c>
    </row>
    <row r="359" spans="1:7" ht="14.5">
      <c r="A359" s="3">
        <v>50</v>
      </c>
      <c r="B359" s="4" t="s">
        <v>7</v>
      </c>
      <c r="C359" s="3">
        <v>31.8</v>
      </c>
      <c r="D359" s="3">
        <v>0</v>
      </c>
      <c r="E359" s="4" t="s">
        <v>11</v>
      </c>
      <c r="F359" s="4" t="s">
        <v>13</v>
      </c>
      <c r="G359" s="3">
        <v>41097.160000000003</v>
      </c>
    </row>
    <row r="360" spans="1:7" ht="14.5">
      <c r="A360" s="3">
        <v>50</v>
      </c>
      <c r="B360" s="4" t="s">
        <v>7</v>
      </c>
      <c r="C360" s="3">
        <v>34.200000000000003</v>
      </c>
      <c r="D360" s="3">
        <v>2</v>
      </c>
      <c r="E360" s="4" t="s">
        <v>11</v>
      </c>
      <c r="F360" s="4" t="s">
        <v>12</v>
      </c>
      <c r="G360" s="3">
        <v>42856.84</v>
      </c>
    </row>
    <row r="361" spans="1:7" ht="14.5">
      <c r="A361" s="3">
        <v>50</v>
      </c>
      <c r="B361" s="4" t="s">
        <v>7</v>
      </c>
      <c r="C361" s="3">
        <v>27.5</v>
      </c>
      <c r="D361" s="3">
        <v>1</v>
      </c>
      <c r="E361" s="4" t="s">
        <v>8</v>
      </c>
      <c r="F361" s="4" t="s">
        <v>13</v>
      </c>
      <c r="G361" s="3">
        <v>9617.66</v>
      </c>
    </row>
    <row r="362" spans="1:7" ht="14.5">
      <c r="A362" s="3">
        <v>50</v>
      </c>
      <c r="B362" s="4" t="s">
        <v>7</v>
      </c>
      <c r="C362" s="3">
        <v>26.6</v>
      </c>
      <c r="D362" s="3">
        <v>0</v>
      </c>
      <c r="E362" s="4" t="s">
        <v>8</v>
      </c>
      <c r="F362" s="4" t="s">
        <v>12</v>
      </c>
      <c r="G362" s="3">
        <v>8444.4699999999993</v>
      </c>
    </row>
    <row r="363" spans="1:7" ht="14.5">
      <c r="A363" s="3">
        <v>50</v>
      </c>
      <c r="B363" s="4" t="s">
        <v>7</v>
      </c>
      <c r="C363" s="3">
        <v>32.200000000000003</v>
      </c>
      <c r="D363" s="3">
        <v>0</v>
      </c>
      <c r="E363" s="4" t="s">
        <v>8</v>
      </c>
      <c r="F363" s="4" t="s">
        <v>9</v>
      </c>
      <c r="G363" s="3">
        <v>8835.26</v>
      </c>
    </row>
    <row r="364" spans="1:7" ht="14.5">
      <c r="A364" s="3">
        <v>50</v>
      </c>
      <c r="B364" s="4" t="s">
        <v>7</v>
      </c>
      <c r="C364" s="3">
        <v>32.299999999999997</v>
      </c>
      <c r="D364" s="3">
        <v>1</v>
      </c>
      <c r="E364" s="4" t="s">
        <v>11</v>
      </c>
      <c r="F364" s="4" t="s">
        <v>13</v>
      </c>
      <c r="G364" s="3">
        <v>41919.1</v>
      </c>
    </row>
    <row r="365" spans="1:7" ht="14.5">
      <c r="A365" s="3">
        <v>50</v>
      </c>
      <c r="B365" s="4" t="s">
        <v>10</v>
      </c>
      <c r="C365" s="3">
        <v>25.6</v>
      </c>
      <c r="D365" s="3">
        <v>0</v>
      </c>
      <c r="E365" s="4" t="s">
        <v>8</v>
      </c>
      <c r="F365" s="4" t="s">
        <v>12</v>
      </c>
      <c r="G365" s="3">
        <v>8932.08</v>
      </c>
    </row>
    <row r="366" spans="1:7" ht="14.5">
      <c r="A366" s="3">
        <v>50</v>
      </c>
      <c r="B366" s="4" t="s">
        <v>7</v>
      </c>
      <c r="C366" s="3">
        <v>25.4</v>
      </c>
      <c r="D366" s="3">
        <v>2</v>
      </c>
      <c r="E366" s="4" t="s">
        <v>8</v>
      </c>
      <c r="F366" s="4" t="s">
        <v>9</v>
      </c>
      <c r="G366" s="3">
        <v>30284.639999999999</v>
      </c>
    </row>
    <row r="367" spans="1:7" ht="14.5">
      <c r="A367" s="3">
        <v>50</v>
      </c>
      <c r="B367" s="4" t="s">
        <v>10</v>
      </c>
      <c r="C367" s="3">
        <v>27.4</v>
      </c>
      <c r="D367" s="3">
        <v>0</v>
      </c>
      <c r="E367" s="4" t="s">
        <v>8</v>
      </c>
      <c r="F367" s="4" t="s">
        <v>13</v>
      </c>
      <c r="G367" s="3">
        <v>25656.58</v>
      </c>
    </row>
    <row r="368" spans="1:7" ht="14.5">
      <c r="A368" s="3">
        <v>50</v>
      </c>
      <c r="B368" s="4" t="s">
        <v>7</v>
      </c>
      <c r="C368" s="3">
        <v>44.8</v>
      </c>
      <c r="D368" s="3">
        <v>1</v>
      </c>
      <c r="E368" s="4" t="s">
        <v>8</v>
      </c>
      <c r="F368" s="4" t="s">
        <v>14</v>
      </c>
      <c r="G368" s="3">
        <v>9058.73</v>
      </c>
    </row>
    <row r="369" spans="1:7" ht="14.5">
      <c r="A369" s="3">
        <v>50</v>
      </c>
      <c r="B369" s="4" t="s">
        <v>10</v>
      </c>
      <c r="C369" s="3">
        <v>44.7</v>
      </c>
      <c r="D369" s="3">
        <v>0</v>
      </c>
      <c r="E369" s="4" t="s">
        <v>8</v>
      </c>
      <c r="F369" s="4" t="s">
        <v>13</v>
      </c>
      <c r="G369" s="3">
        <v>9541.7000000000007</v>
      </c>
    </row>
    <row r="370" spans="1:7" ht="14.5">
      <c r="A370" s="3">
        <v>50</v>
      </c>
      <c r="B370" s="4" t="s">
        <v>10</v>
      </c>
      <c r="C370" s="3">
        <v>23.5</v>
      </c>
      <c r="D370" s="3">
        <v>2</v>
      </c>
      <c r="E370" s="4" t="s">
        <v>8</v>
      </c>
      <c r="F370" s="4" t="s">
        <v>14</v>
      </c>
      <c r="G370" s="3">
        <v>10107.219999999999</v>
      </c>
    </row>
    <row r="371" spans="1:7" ht="14.5">
      <c r="A371" s="3">
        <v>50</v>
      </c>
      <c r="B371" s="4" t="s">
        <v>10</v>
      </c>
      <c r="C371" s="3">
        <v>27.1</v>
      </c>
      <c r="D371" s="3">
        <v>1</v>
      </c>
      <c r="E371" s="4" t="s">
        <v>8</v>
      </c>
      <c r="F371" s="4" t="s">
        <v>13</v>
      </c>
      <c r="G371" s="3">
        <v>10106.129999999999</v>
      </c>
    </row>
    <row r="372" spans="1:7" ht="14.5">
      <c r="A372" s="3">
        <v>50</v>
      </c>
      <c r="B372" s="4" t="s">
        <v>7</v>
      </c>
      <c r="C372" s="3">
        <v>26.4</v>
      </c>
      <c r="D372" s="3">
        <v>0</v>
      </c>
      <c r="E372" s="4" t="s">
        <v>8</v>
      </c>
      <c r="F372" s="4" t="s">
        <v>9</v>
      </c>
      <c r="G372" s="3">
        <v>8827.2099999999991</v>
      </c>
    </row>
    <row r="373" spans="1:7" ht="14.5">
      <c r="A373" s="3">
        <v>50</v>
      </c>
      <c r="B373" s="4" t="s">
        <v>10</v>
      </c>
      <c r="C373" s="3">
        <v>30.1</v>
      </c>
      <c r="D373" s="3">
        <v>1</v>
      </c>
      <c r="E373" s="4" t="s">
        <v>8</v>
      </c>
      <c r="F373" s="4" t="s">
        <v>9</v>
      </c>
      <c r="G373" s="3">
        <v>9910.36</v>
      </c>
    </row>
    <row r="374" spans="1:7" ht="14.5">
      <c r="A374" s="3">
        <v>50</v>
      </c>
      <c r="B374" s="4" t="s">
        <v>10</v>
      </c>
      <c r="C374" s="3">
        <v>27.6</v>
      </c>
      <c r="D374" s="3">
        <v>1</v>
      </c>
      <c r="E374" s="4" t="s">
        <v>11</v>
      </c>
      <c r="F374" s="4" t="s">
        <v>12</v>
      </c>
      <c r="G374" s="3">
        <v>24520.26</v>
      </c>
    </row>
    <row r="375" spans="1:7" ht="14.5">
      <c r="A375" s="3">
        <v>50</v>
      </c>
      <c r="B375" s="4" t="s">
        <v>7</v>
      </c>
      <c r="C375" s="3">
        <v>36.200000000000003</v>
      </c>
      <c r="D375" s="3">
        <v>0</v>
      </c>
      <c r="E375" s="4" t="s">
        <v>8</v>
      </c>
      <c r="F375" s="4" t="s">
        <v>12</v>
      </c>
      <c r="G375" s="3">
        <v>8457.82</v>
      </c>
    </row>
    <row r="376" spans="1:7" ht="14.5">
      <c r="A376" s="3">
        <v>50</v>
      </c>
      <c r="B376" s="4" t="s">
        <v>7</v>
      </c>
      <c r="C376" s="3">
        <v>32.1</v>
      </c>
      <c r="D376" s="3">
        <v>2</v>
      </c>
      <c r="E376" s="4" t="s">
        <v>8</v>
      </c>
      <c r="F376" s="4" t="s">
        <v>13</v>
      </c>
      <c r="G376" s="3">
        <v>25333.33</v>
      </c>
    </row>
    <row r="377" spans="1:7" ht="14.5">
      <c r="A377" s="3">
        <v>50</v>
      </c>
      <c r="B377" s="4" t="s">
        <v>10</v>
      </c>
      <c r="C377" s="3">
        <v>46.1</v>
      </c>
      <c r="D377" s="3">
        <v>1</v>
      </c>
      <c r="E377" s="4" t="s">
        <v>8</v>
      </c>
      <c r="F377" s="4" t="s">
        <v>14</v>
      </c>
      <c r="G377" s="3">
        <v>9549.57</v>
      </c>
    </row>
    <row r="378" spans="1:7" ht="14.5">
      <c r="A378" s="3">
        <v>50</v>
      </c>
      <c r="B378" s="4" t="s">
        <v>10</v>
      </c>
      <c r="C378" s="3">
        <v>28.2</v>
      </c>
      <c r="D378" s="3">
        <v>3</v>
      </c>
      <c r="E378" s="4" t="s">
        <v>8</v>
      </c>
      <c r="F378" s="4" t="s">
        <v>14</v>
      </c>
      <c r="G378" s="3">
        <v>10702.64</v>
      </c>
    </row>
    <row r="379" spans="1:7" ht="14.5">
      <c r="A379" s="3">
        <v>50</v>
      </c>
      <c r="B379" s="4" t="s">
        <v>10</v>
      </c>
      <c r="C379" s="3">
        <v>31.6</v>
      </c>
      <c r="D379" s="3">
        <v>2</v>
      </c>
      <c r="E379" s="4" t="s">
        <v>8</v>
      </c>
      <c r="F379" s="4" t="s">
        <v>12</v>
      </c>
      <c r="G379" s="3">
        <v>10118.42</v>
      </c>
    </row>
    <row r="380" spans="1:7" ht="14.5">
      <c r="A380" s="3">
        <v>50</v>
      </c>
      <c r="B380" s="4" t="s">
        <v>10</v>
      </c>
      <c r="C380" s="3">
        <v>33.700000000000003</v>
      </c>
      <c r="D380" s="3">
        <v>4</v>
      </c>
      <c r="E380" s="4" t="s">
        <v>8</v>
      </c>
      <c r="F380" s="4" t="s">
        <v>12</v>
      </c>
      <c r="G380" s="3">
        <v>11299.34</v>
      </c>
    </row>
    <row r="381" spans="1:7" ht="14.5">
      <c r="A381" s="3">
        <v>50</v>
      </c>
      <c r="B381" s="4" t="s">
        <v>10</v>
      </c>
      <c r="C381" s="3">
        <v>26.2</v>
      </c>
      <c r="D381" s="3">
        <v>2</v>
      </c>
      <c r="E381" s="4" t="s">
        <v>8</v>
      </c>
      <c r="F381" s="4" t="s">
        <v>9</v>
      </c>
      <c r="G381" s="3">
        <v>10493.95</v>
      </c>
    </row>
    <row r="382" spans="1:7" ht="14.5">
      <c r="A382" s="3">
        <v>50</v>
      </c>
      <c r="B382" s="4" t="s">
        <v>10</v>
      </c>
      <c r="C382" s="3">
        <v>28.1</v>
      </c>
      <c r="D382" s="3">
        <v>3</v>
      </c>
      <c r="E382" s="4" t="s">
        <v>8</v>
      </c>
      <c r="F382" s="4" t="s">
        <v>9</v>
      </c>
      <c r="G382" s="3">
        <v>11085.59</v>
      </c>
    </row>
    <row r="383" spans="1:7" ht="14.5">
      <c r="A383" s="3">
        <v>50</v>
      </c>
      <c r="B383" s="4" t="s">
        <v>7</v>
      </c>
      <c r="C383" s="3">
        <v>37.1</v>
      </c>
      <c r="D383" s="3">
        <v>1</v>
      </c>
      <c r="E383" s="4" t="s">
        <v>8</v>
      </c>
      <c r="F383" s="4" t="s">
        <v>14</v>
      </c>
      <c r="G383" s="3">
        <v>9048.0300000000007</v>
      </c>
    </row>
    <row r="384" spans="1:7" ht="14.5">
      <c r="A384" s="3">
        <v>50</v>
      </c>
      <c r="B384" s="4" t="s">
        <v>7</v>
      </c>
      <c r="C384" s="3">
        <v>32.299999999999997</v>
      </c>
      <c r="D384" s="3">
        <v>2</v>
      </c>
      <c r="E384" s="4" t="s">
        <v>8</v>
      </c>
      <c r="F384" s="4" t="s">
        <v>12</v>
      </c>
      <c r="G384" s="3">
        <v>9630.4</v>
      </c>
    </row>
    <row r="385" spans="1:7" ht="14.5">
      <c r="A385" s="3">
        <v>50</v>
      </c>
      <c r="B385" s="4" t="s">
        <v>7</v>
      </c>
      <c r="C385" s="3">
        <v>25.3</v>
      </c>
      <c r="D385" s="3">
        <v>0</v>
      </c>
      <c r="E385" s="4" t="s">
        <v>8</v>
      </c>
      <c r="F385" s="4" t="s">
        <v>14</v>
      </c>
      <c r="G385" s="3">
        <v>8442.67</v>
      </c>
    </row>
    <row r="386" spans="1:7" ht="14.5">
      <c r="A386" s="3">
        <v>50</v>
      </c>
      <c r="B386" s="4" t="s">
        <v>7</v>
      </c>
      <c r="C386" s="3">
        <v>31</v>
      </c>
      <c r="D386" s="3">
        <v>3</v>
      </c>
      <c r="E386" s="4" t="s">
        <v>8</v>
      </c>
      <c r="F386" s="4" t="s">
        <v>9</v>
      </c>
      <c r="G386" s="3">
        <v>10600.55</v>
      </c>
    </row>
    <row r="387" spans="1:7" ht="14.5">
      <c r="A387" s="3">
        <v>49</v>
      </c>
      <c r="B387" s="4" t="s">
        <v>10</v>
      </c>
      <c r="C387" s="3">
        <v>27.2</v>
      </c>
      <c r="D387" s="3">
        <v>0</v>
      </c>
      <c r="E387" s="4" t="s">
        <v>8</v>
      </c>
      <c r="F387" s="4" t="s">
        <v>14</v>
      </c>
      <c r="G387" s="3">
        <v>8601.33</v>
      </c>
    </row>
    <row r="388" spans="1:7" ht="14.5">
      <c r="A388" s="3">
        <v>49</v>
      </c>
      <c r="B388" s="4" t="s">
        <v>7</v>
      </c>
      <c r="C388" s="3">
        <v>30.3</v>
      </c>
      <c r="D388" s="3">
        <v>0</v>
      </c>
      <c r="E388" s="4" t="s">
        <v>8</v>
      </c>
      <c r="F388" s="4" t="s">
        <v>12</v>
      </c>
      <c r="G388" s="3">
        <v>8116.68</v>
      </c>
    </row>
    <row r="389" spans="1:7" ht="14.5">
      <c r="A389" s="3">
        <v>49</v>
      </c>
      <c r="B389" s="4" t="s">
        <v>7</v>
      </c>
      <c r="C389" s="3">
        <v>25.8</v>
      </c>
      <c r="D389" s="3">
        <v>1</v>
      </c>
      <c r="E389" s="4" t="s">
        <v>8</v>
      </c>
      <c r="F389" s="4" t="s">
        <v>13</v>
      </c>
      <c r="G389" s="3">
        <v>9282.48</v>
      </c>
    </row>
    <row r="390" spans="1:7" ht="14.5">
      <c r="A390" s="3">
        <v>49</v>
      </c>
      <c r="B390" s="4" t="s">
        <v>7</v>
      </c>
      <c r="C390" s="3">
        <v>35.9</v>
      </c>
      <c r="D390" s="3">
        <v>0</v>
      </c>
      <c r="E390" s="4" t="s">
        <v>8</v>
      </c>
      <c r="F390" s="4" t="s">
        <v>14</v>
      </c>
      <c r="G390" s="3">
        <v>8124.41</v>
      </c>
    </row>
    <row r="391" spans="1:7" ht="14.5">
      <c r="A391" s="3">
        <v>49</v>
      </c>
      <c r="B391" s="4" t="s">
        <v>10</v>
      </c>
      <c r="C391" s="3">
        <v>41.5</v>
      </c>
      <c r="D391" s="3">
        <v>4</v>
      </c>
      <c r="E391" s="4" t="s">
        <v>8</v>
      </c>
      <c r="F391" s="4" t="s">
        <v>14</v>
      </c>
      <c r="G391" s="3">
        <v>10977.21</v>
      </c>
    </row>
    <row r="392" spans="1:7" ht="14.5">
      <c r="A392" s="3">
        <v>49</v>
      </c>
      <c r="B392" s="4" t="s">
        <v>10</v>
      </c>
      <c r="C392" s="3">
        <v>30.8</v>
      </c>
      <c r="D392" s="3">
        <v>1</v>
      </c>
      <c r="E392" s="4" t="s">
        <v>8</v>
      </c>
      <c r="F392" s="4" t="s">
        <v>13</v>
      </c>
      <c r="G392" s="3">
        <v>9778.35</v>
      </c>
    </row>
    <row r="393" spans="1:7" ht="14.5">
      <c r="A393" s="3">
        <v>49</v>
      </c>
      <c r="B393" s="4" t="s">
        <v>7</v>
      </c>
      <c r="C393" s="3">
        <v>31.4</v>
      </c>
      <c r="D393" s="3">
        <v>1</v>
      </c>
      <c r="E393" s="4" t="s">
        <v>8</v>
      </c>
      <c r="F393" s="4" t="s">
        <v>13</v>
      </c>
      <c r="G393" s="3">
        <v>9290.14</v>
      </c>
    </row>
    <row r="394" spans="1:7" ht="14.5">
      <c r="A394" s="3">
        <v>49</v>
      </c>
      <c r="B394" s="4" t="s">
        <v>7</v>
      </c>
      <c r="C394" s="3">
        <v>32.299999999999997</v>
      </c>
      <c r="D394" s="3">
        <v>3</v>
      </c>
      <c r="E394" s="4" t="s">
        <v>8</v>
      </c>
      <c r="F394" s="4" t="s">
        <v>9</v>
      </c>
      <c r="G394" s="3">
        <v>10269.459999999999</v>
      </c>
    </row>
    <row r="395" spans="1:7" ht="14.5">
      <c r="A395" s="3">
        <v>49</v>
      </c>
      <c r="B395" s="4" t="s">
        <v>10</v>
      </c>
      <c r="C395" s="3">
        <v>36.6</v>
      </c>
      <c r="D395" s="3">
        <v>3</v>
      </c>
      <c r="E395" s="4" t="s">
        <v>8</v>
      </c>
      <c r="F395" s="4" t="s">
        <v>14</v>
      </c>
      <c r="G395" s="3">
        <v>10381.48</v>
      </c>
    </row>
    <row r="396" spans="1:7" ht="14.5">
      <c r="A396" s="3">
        <v>49</v>
      </c>
      <c r="B396" s="4" t="s">
        <v>7</v>
      </c>
      <c r="C396" s="3">
        <v>37.5</v>
      </c>
      <c r="D396" s="3">
        <v>2</v>
      </c>
      <c r="E396" s="4" t="s">
        <v>8</v>
      </c>
      <c r="F396" s="4" t="s">
        <v>14</v>
      </c>
      <c r="G396" s="3">
        <v>9304.7000000000007</v>
      </c>
    </row>
    <row r="397" spans="1:7" ht="14.5">
      <c r="A397" s="3">
        <v>49</v>
      </c>
      <c r="B397" s="4" t="s">
        <v>7</v>
      </c>
      <c r="C397" s="3">
        <v>25.8</v>
      </c>
      <c r="D397" s="3">
        <v>2</v>
      </c>
      <c r="E397" s="4" t="s">
        <v>11</v>
      </c>
      <c r="F397" s="4" t="s">
        <v>9</v>
      </c>
      <c r="G397" s="3">
        <v>23807.24</v>
      </c>
    </row>
    <row r="398" spans="1:7" ht="14.5">
      <c r="A398" s="3">
        <v>49</v>
      </c>
      <c r="B398" s="4" t="s">
        <v>10</v>
      </c>
      <c r="C398" s="3">
        <v>31.9</v>
      </c>
      <c r="D398" s="3">
        <v>5</v>
      </c>
      <c r="E398" s="4" t="s">
        <v>8</v>
      </c>
      <c r="F398" s="4" t="s">
        <v>12</v>
      </c>
      <c r="G398" s="3">
        <v>11552.9</v>
      </c>
    </row>
    <row r="399" spans="1:7" ht="14.5">
      <c r="A399" s="3">
        <v>49</v>
      </c>
      <c r="B399" s="4" t="s">
        <v>7</v>
      </c>
      <c r="C399" s="3">
        <v>25.6</v>
      </c>
      <c r="D399" s="3">
        <v>2</v>
      </c>
      <c r="E399" s="4" t="s">
        <v>11</v>
      </c>
      <c r="F399" s="4" t="s">
        <v>12</v>
      </c>
      <c r="G399" s="3">
        <v>23306.55</v>
      </c>
    </row>
    <row r="400" spans="1:7" ht="14.5">
      <c r="A400" s="3">
        <v>49</v>
      </c>
      <c r="B400" s="4" t="s">
        <v>10</v>
      </c>
      <c r="C400" s="3">
        <v>21.3</v>
      </c>
      <c r="D400" s="3">
        <v>1</v>
      </c>
      <c r="E400" s="4" t="s">
        <v>8</v>
      </c>
      <c r="F400" s="4" t="s">
        <v>12</v>
      </c>
      <c r="G400" s="3">
        <v>9182.17</v>
      </c>
    </row>
    <row r="401" spans="1:7" ht="14.5">
      <c r="A401" s="3">
        <v>49</v>
      </c>
      <c r="B401" s="4" t="s">
        <v>10</v>
      </c>
      <c r="C401" s="3">
        <v>42.7</v>
      </c>
      <c r="D401" s="3">
        <v>2</v>
      </c>
      <c r="E401" s="4" t="s">
        <v>8</v>
      </c>
      <c r="F401" s="4" t="s">
        <v>14</v>
      </c>
      <c r="G401" s="3">
        <v>9800.89</v>
      </c>
    </row>
    <row r="402" spans="1:7" ht="14.5">
      <c r="A402" s="3">
        <v>49</v>
      </c>
      <c r="B402" s="4" t="s">
        <v>7</v>
      </c>
      <c r="C402" s="3">
        <v>28.7</v>
      </c>
      <c r="D402" s="3">
        <v>1</v>
      </c>
      <c r="E402" s="4" t="s">
        <v>8</v>
      </c>
      <c r="F402" s="4" t="s">
        <v>12</v>
      </c>
      <c r="G402" s="3">
        <v>8703.4599999999991</v>
      </c>
    </row>
    <row r="403" spans="1:7" ht="14.5">
      <c r="A403" s="3">
        <v>49</v>
      </c>
      <c r="B403" s="4" t="s">
        <v>10</v>
      </c>
      <c r="C403" s="3">
        <v>23.2</v>
      </c>
      <c r="D403" s="3">
        <v>2</v>
      </c>
      <c r="E403" s="4" t="s">
        <v>8</v>
      </c>
      <c r="F403" s="4" t="s">
        <v>9</v>
      </c>
      <c r="G403" s="3">
        <v>10156.780000000001</v>
      </c>
    </row>
    <row r="404" spans="1:7" ht="14.5">
      <c r="A404" s="3">
        <v>49</v>
      </c>
      <c r="B404" s="4" t="s">
        <v>7</v>
      </c>
      <c r="C404" s="3">
        <v>28.7</v>
      </c>
      <c r="D404" s="3">
        <v>3</v>
      </c>
      <c r="E404" s="4" t="s">
        <v>8</v>
      </c>
      <c r="F404" s="4" t="s">
        <v>9</v>
      </c>
      <c r="G404" s="3">
        <v>10264.44</v>
      </c>
    </row>
    <row r="405" spans="1:7" ht="14.5">
      <c r="A405" s="3">
        <v>49</v>
      </c>
      <c r="B405" s="4" t="s">
        <v>10</v>
      </c>
      <c r="C405" s="3">
        <v>22.6</v>
      </c>
      <c r="D405" s="3">
        <v>1</v>
      </c>
      <c r="E405" s="4" t="s">
        <v>8</v>
      </c>
      <c r="F405" s="4" t="s">
        <v>9</v>
      </c>
      <c r="G405" s="3">
        <v>9566.99</v>
      </c>
    </row>
    <row r="406" spans="1:7" ht="14.5">
      <c r="A406" s="3">
        <v>49</v>
      </c>
      <c r="B406" s="4" t="s">
        <v>10</v>
      </c>
      <c r="C406" s="3">
        <v>34.799999999999997</v>
      </c>
      <c r="D406" s="3">
        <v>1</v>
      </c>
      <c r="E406" s="4" t="s">
        <v>8</v>
      </c>
      <c r="F406" s="4" t="s">
        <v>9</v>
      </c>
      <c r="G406" s="3">
        <v>9583.89</v>
      </c>
    </row>
    <row r="407" spans="1:7" ht="14.5">
      <c r="A407" s="3">
        <v>49</v>
      </c>
      <c r="B407" s="4" t="s">
        <v>10</v>
      </c>
      <c r="C407" s="3">
        <v>23.8</v>
      </c>
      <c r="D407" s="3">
        <v>3</v>
      </c>
      <c r="E407" s="4" t="s">
        <v>11</v>
      </c>
      <c r="F407" s="4" t="s">
        <v>13</v>
      </c>
      <c r="G407" s="3">
        <v>24106.91</v>
      </c>
    </row>
    <row r="408" spans="1:7" ht="14.5">
      <c r="A408" s="3">
        <v>49</v>
      </c>
      <c r="B408" s="4" t="s">
        <v>10</v>
      </c>
      <c r="C408" s="3">
        <v>27.1</v>
      </c>
      <c r="D408" s="3">
        <v>1</v>
      </c>
      <c r="E408" s="4" t="s">
        <v>8</v>
      </c>
      <c r="F408" s="4" t="s">
        <v>12</v>
      </c>
      <c r="G408" s="3">
        <v>26140.36</v>
      </c>
    </row>
    <row r="409" spans="1:7" ht="14.5">
      <c r="A409" s="3">
        <v>49</v>
      </c>
      <c r="B409" s="4" t="s">
        <v>7</v>
      </c>
      <c r="C409" s="3">
        <v>22.5</v>
      </c>
      <c r="D409" s="3">
        <v>0</v>
      </c>
      <c r="E409" s="4" t="s">
        <v>8</v>
      </c>
      <c r="F409" s="4" t="s">
        <v>13</v>
      </c>
      <c r="G409" s="3">
        <v>8688.86</v>
      </c>
    </row>
    <row r="410" spans="1:7" ht="14.5">
      <c r="A410" s="3">
        <v>49</v>
      </c>
      <c r="B410" s="4" t="s">
        <v>7</v>
      </c>
      <c r="C410" s="3">
        <v>36.9</v>
      </c>
      <c r="D410" s="3">
        <v>0</v>
      </c>
      <c r="E410" s="4" t="s">
        <v>8</v>
      </c>
      <c r="F410" s="4" t="s">
        <v>14</v>
      </c>
      <c r="G410" s="3">
        <v>8125.78</v>
      </c>
    </row>
    <row r="411" spans="1:7" ht="14.5">
      <c r="A411" s="3">
        <v>49</v>
      </c>
      <c r="B411" s="4" t="s">
        <v>7</v>
      </c>
      <c r="C411" s="3">
        <v>30.9</v>
      </c>
      <c r="D411" s="3">
        <v>0</v>
      </c>
      <c r="E411" s="4" t="s">
        <v>11</v>
      </c>
      <c r="F411" s="4" t="s">
        <v>12</v>
      </c>
      <c r="G411" s="3">
        <v>39727.61</v>
      </c>
    </row>
    <row r="412" spans="1:7" ht="14.5">
      <c r="A412" s="3">
        <v>49</v>
      </c>
      <c r="B412" s="4" t="s">
        <v>7</v>
      </c>
      <c r="C412" s="3">
        <v>29.8</v>
      </c>
      <c r="D412" s="3">
        <v>1</v>
      </c>
      <c r="E412" s="4" t="s">
        <v>8</v>
      </c>
      <c r="F412" s="4" t="s">
        <v>13</v>
      </c>
      <c r="G412" s="3">
        <v>9288.0300000000007</v>
      </c>
    </row>
    <row r="413" spans="1:7" ht="14.5">
      <c r="A413" s="3">
        <v>49</v>
      </c>
      <c r="B413" s="4" t="s">
        <v>10</v>
      </c>
      <c r="C413" s="3">
        <v>29.9</v>
      </c>
      <c r="D413" s="3">
        <v>0</v>
      </c>
      <c r="E413" s="4" t="s">
        <v>8</v>
      </c>
      <c r="F413" s="4" t="s">
        <v>9</v>
      </c>
      <c r="G413" s="3">
        <v>8988.16</v>
      </c>
    </row>
    <row r="414" spans="1:7" ht="14.5">
      <c r="A414" s="3">
        <v>49</v>
      </c>
      <c r="B414" s="4" t="s">
        <v>10</v>
      </c>
      <c r="C414" s="3">
        <v>33.299999999999997</v>
      </c>
      <c r="D414" s="3">
        <v>2</v>
      </c>
      <c r="E414" s="4" t="s">
        <v>8</v>
      </c>
      <c r="F414" s="4" t="s">
        <v>13</v>
      </c>
      <c r="G414" s="3">
        <v>10370.91</v>
      </c>
    </row>
    <row r="415" spans="1:7" ht="14.5">
      <c r="A415" s="3">
        <v>48</v>
      </c>
      <c r="B415" s="4" t="s">
        <v>7</v>
      </c>
      <c r="C415" s="3">
        <v>28</v>
      </c>
      <c r="D415" s="3">
        <v>1</v>
      </c>
      <c r="E415" s="4" t="s">
        <v>11</v>
      </c>
      <c r="F415" s="4" t="s">
        <v>12</v>
      </c>
      <c r="G415" s="3">
        <v>23568.27</v>
      </c>
    </row>
    <row r="416" spans="1:7" ht="14.5">
      <c r="A416" s="3">
        <v>48</v>
      </c>
      <c r="B416" s="4" t="s">
        <v>10</v>
      </c>
      <c r="C416" s="3">
        <v>41.2</v>
      </c>
      <c r="D416" s="3">
        <v>4</v>
      </c>
      <c r="E416" s="4" t="s">
        <v>8</v>
      </c>
      <c r="F416" s="4" t="s">
        <v>9</v>
      </c>
      <c r="G416" s="3">
        <v>11033.66</v>
      </c>
    </row>
    <row r="417" spans="1:7" ht="14.5">
      <c r="A417" s="3">
        <v>48</v>
      </c>
      <c r="B417" s="4" t="s">
        <v>7</v>
      </c>
      <c r="C417" s="3">
        <v>29.7</v>
      </c>
      <c r="D417" s="3">
        <v>0</v>
      </c>
      <c r="E417" s="4" t="s">
        <v>8</v>
      </c>
      <c r="F417" s="4" t="s">
        <v>14</v>
      </c>
      <c r="G417" s="3">
        <v>7789.64</v>
      </c>
    </row>
    <row r="418" spans="1:7" ht="14.5">
      <c r="A418" s="3">
        <v>48</v>
      </c>
      <c r="B418" s="4" t="s">
        <v>7</v>
      </c>
      <c r="C418" s="3">
        <v>24.4</v>
      </c>
      <c r="D418" s="3">
        <v>0</v>
      </c>
      <c r="E418" s="4" t="s">
        <v>11</v>
      </c>
      <c r="F418" s="4" t="s">
        <v>14</v>
      </c>
      <c r="G418" s="3">
        <v>21223.68</v>
      </c>
    </row>
    <row r="419" spans="1:7" ht="14.5">
      <c r="A419" s="3">
        <v>48</v>
      </c>
      <c r="B419" s="4" t="s">
        <v>10</v>
      </c>
      <c r="C419" s="3">
        <v>32.200000000000003</v>
      </c>
      <c r="D419" s="3">
        <v>1</v>
      </c>
      <c r="E419" s="4" t="s">
        <v>8</v>
      </c>
      <c r="F419" s="4" t="s">
        <v>14</v>
      </c>
      <c r="G419" s="3">
        <v>8871.15</v>
      </c>
    </row>
    <row r="420" spans="1:7" ht="14.5">
      <c r="A420" s="3">
        <v>48</v>
      </c>
      <c r="B420" s="4" t="s">
        <v>10</v>
      </c>
      <c r="C420" s="3">
        <v>28.9</v>
      </c>
      <c r="D420" s="3">
        <v>1</v>
      </c>
      <c r="E420" s="4" t="s">
        <v>8</v>
      </c>
      <c r="F420" s="4" t="s">
        <v>9</v>
      </c>
      <c r="G420" s="3">
        <v>9249.5</v>
      </c>
    </row>
    <row r="421" spans="1:7" ht="14.5">
      <c r="A421" s="3">
        <v>48</v>
      </c>
      <c r="B421" s="4" t="s">
        <v>10</v>
      </c>
      <c r="C421" s="3">
        <v>32.299999999999997</v>
      </c>
      <c r="D421" s="3">
        <v>2</v>
      </c>
      <c r="E421" s="4" t="s">
        <v>8</v>
      </c>
      <c r="F421" s="4" t="s">
        <v>13</v>
      </c>
      <c r="G421" s="3">
        <v>10043.25</v>
      </c>
    </row>
    <row r="422" spans="1:7" ht="14.5">
      <c r="A422" s="3">
        <v>48</v>
      </c>
      <c r="B422" s="4" t="s">
        <v>7</v>
      </c>
      <c r="C422" s="3">
        <v>35.6</v>
      </c>
      <c r="D422" s="3">
        <v>4</v>
      </c>
      <c r="E422" s="4" t="s">
        <v>8</v>
      </c>
      <c r="F422" s="4" t="s">
        <v>13</v>
      </c>
      <c r="G422" s="3">
        <v>10736.87</v>
      </c>
    </row>
    <row r="423" spans="1:7" ht="14.5">
      <c r="A423" s="3">
        <v>48</v>
      </c>
      <c r="B423" s="4" t="s">
        <v>7</v>
      </c>
      <c r="C423" s="3">
        <v>31.4</v>
      </c>
      <c r="D423" s="3">
        <v>1</v>
      </c>
      <c r="E423" s="4" t="s">
        <v>8</v>
      </c>
      <c r="F423" s="4" t="s">
        <v>13</v>
      </c>
      <c r="G423" s="3">
        <v>8964.06</v>
      </c>
    </row>
    <row r="424" spans="1:7" ht="14.5">
      <c r="A424" s="3">
        <v>48</v>
      </c>
      <c r="B424" s="4" t="s">
        <v>7</v>
      </c>
      <c r="C424" s="3">
        <v>30.2</v>
      </c>
      <c r="D424" s="3">
        <v>2</v>
      </c>
      <c r="E424" s="4" t="s">
        <v>8</v>
      </c>
      <c r="F424" s="4" t="s">
        <v>12</v>
      </c>
      <c r="G424" s="3">
        <v>8968.33</v>
      </c>
    </row>
    <row r="425" spans="1:7" ht="14.5">
      <c r="A425" s="3">
        <v>48</v>
      </c>
      <c r="B425" s="4" t="s">
        <v>7</v>
      </c>
      <c r="C425" s="3">
        <v>34.299999999999997</v>
      </c>
      <c r="D425" s="3">
        <v>3</v>
      </c>
      <c r="E425" s="4" t="s">
        <v>8</v>
      </c>
      <c r="F425" s="4" t="s">
        <v>12</v>
      </c>
      <c r="G425" s="3">
        <v>9563.0300000000007</v>
      </c>
    </row>
    <row r="426" spans="1:7" ht="14.5">
      <c r="A426" s="3">
        <v>48</v>
      </c>
      <c r="B426" s="4" t="s">
        <v>7</v>
      </c>
      <c r="C426" s="3">
        <v>40.6</v>
      </c>
      <c r="D426" s="3">
        <v>2</v>
      </c>
      <c r="E426" s="4" t="s">
        <v>11</v>
      </c>
      <c r="F426" s="4" t="s">
        <v>9</v>
      </c>
      <c r="G426" s="3">
        <v>45702.02</v>
      </c>
    </row>
    <row r="427" spans="1:7" ht="14.5">
      <c r="A427" s="3">
        <v>48</v>
      </c>
      <c r="B427" s="4" t="s">
        <v>7</v>
      </c>
      <c r="C427" s="3">
        <v>30.8</v>
      </c>
      <c r="D427" s="3">
        <v>3</v>
      </c>
      <c r="E427" s="4" t="s">
        <v>8</v>
      </c>
      <c r="F427" s="4" t="s">
        <v>13</v>
      </c>
      <c r="G427" s="3">
        <v>10141.14</v>
      </c>
    </row>
    <row r="428" spans="1:7" ht="14.5">
      <c r="A428" s="3">
        <v>48</v>
      </c>
      <c r="B428" s="4" t="s">
        <v>10</v>
      </c>
      <c r="C428" s="3">
        <v>31.1</v>
      </c>
      <c r="D428" s="3">
        <v>0</v>
      </c>
      <c r="E428" s="4" t="s">
        <v>8</v>
      </c>
      <c r="F428" s="4" t="s">
        <v>14</v>
      </c>
      <c r="G428" s="3">
        <v>8280.6200000000008</v>
      </c>
    </row>
    <row r="429" spans="1:7" ht="14.5">
      <c r="A429" s="3">
        <v>48</v>
      </c>
      <c r="B429" s="4" t="s">
        <v>10</v>
      </c>
      <c r="C429" s="3">
        <v>35.9</v>
      </c>
      <c r="D429" s="3">
        <v>1</v>
      </c>
      <c r="E429" s="4" t="s">
        <v>8</v>
      </c>
      <c r="F429" s="4" t="s">
        <v>13</v>
      </c>
      <c r="G429" s="3">
        <v>26392.26</v>
      </c>
    </row>
    <row r="430" spans="1:7" ht="14.5">
      <c r="A430" s="3">
        <v>48</v>
      </c>
      <c r="B430" s="4" t="s">
        <v>10</v>
      </c>
      <c r="C430" s="3">
        <v>27.3</v>
      </c>
      <c r="D430" s="3">
        <v>1</v>
      </c>
      <c r="E430" s="4" t="s">
        <v>8</v>
      </c>
      <c r="F430" s="4" t="s">
        <v>13</v>
      </c>
      <c r="G430" s="3">
        <v>9447.25</v>
      </c>
    </row>
    <row r="431" spans="1:7" ht="14.5">
      <c r="A431" s="3">
        <v>48</v>
      </c>
      <c r="B431" s="4" t="s">
        <v>10</v>
      </c>
      <c r="C431" s="3">
        <v>33.1</v>
      </c>
      <c r="D431" s="3">
        <v>0</v>
      </c>
      <c r="E431" s="4" t="s">
        <v>11</v>
      </c>
      <c r="F431" s="4" t="s">
        <v>14</v>
      </c>
      <c r="G431" s="3">
        <v>40974.160000000003</v>
      </c>
    </row>
    <row r="432" spans="1:7" ht="14.5">
      <c r="A432" s="3">
        <v>48</v>
      </c>
      <c r="B432" s="4" t="s">
        <v>7</v>
      </c>
      <c r="C432" s="3">
        <v>36.700000000000003</v>
      </c>
      <c r="D432" s="3">
        <v>1</v>
      </c>
      <c r="E432" s="4" t="s">
        <v>8</v>
      </c>
      <c r="F432" s="4" t="s">
        <v>9</v>
      </c>
      <c r="G432" s="3">
        <v>28468.92</v>
      </c>
    </row>
    <row r="433" spans="1:7" ht="14.5">
      <c r="A433" s="3">
        <v>48</v>
      </c>
      <c r="B433" s="4" t="s">
        <v>7</v>
      </c>
      <c r="C433" s="3">
        <v>40.200000000000003</v>
      </c>
      <c r="D433" s="3">
        <v>0</v>
      </c>
      <c r="E433" s="4" t="s">
        <v>8</v>
      </c>
      <c r="F433" s="4" t="s">
        <v>14</v>
      </c>
      <c r="G433" s="3">
        <v>7804.16</v>
      </c>
    </row>
    <row r="434" spans="1:7" ht="14.5">
      <c r="A434" s="3">
        <v>48</v>
      </c>
      <c r="B434" s="4" t="s">
        <v>7</v>
      </c>
      <c r="C434" s="3">
        <v>29.6</v>
      </c>
      <c r="D434" s="3">
        <v>0</v>
      </c>
      <c r="E434" s="4" t="s">
        <v>8</v>
      </c>
      <c r="F434" s="4" t="s">
        <v>12</v>
      </c>
      <c r="G434" s="3">
        <v>21232.18</v>
      </c>
    </row>
    <row r="435" spans="1:7" ht="14.5">
      <c r="A435" s="3">
        <v>48</v>
      </c>
      <c r="B435" s="4" t="s">
        <v>10</v>
      </c>
      <c r="C435" s="3">
        <v>22.8</v>
      </c>
      <c r="D435" s="3">
        <v>0</v>
      </c>
      <c r="E435" s="4" t="s">
        <v>8</v>
      </c>
      <c r="F435" s="4" t="s">
        <v>12</v>
      </c>
      <c r="G435" s="3">
        <v>8269.0400000000009</v>
      </c>
    </row>
    <row r="436" spans="1:7" ht="14.5">
      <c r="A436" s="3">
        <v>48</v>
      </c>
      <c r="B436" s="4" t="s">
        <v>7</v>
      </c>
      <c r="C436" s="3">
        <v>32.299999999999997</v>
      </c>
      <c r="D436" s="3">
        <v>1</v>
      </c>
      <c r="E436" s="4" t="s">
        <v>8</v>
      </c>
      <c r="F436" s="4" t="s">
        <v>9</v>
      </c>
      <c r="G436" s="3">
        <v>8765.25</v>
      </c>
    </row>
    <row r="437" spans="1:7" ht="14.5">
      <c r="A437" s="3">
        <v>48</v>
      </c>
      <c r="B437" s="4" t="s">
        <v>10</v>
      </c>
      <c r="C437" s="3">
        <v>28.9</v>
      </c>
      <c r="D437" s="3">
        <v>0</v>
      </c>
      <c r="E437" s="4" t="s">
        <v>8</v>
      </c>
      <c r="F437" s="4" t="s">
        <v>12</v>
      </c>
      <c r="G437" s="3">
        <v>8277.52</v>
      </c>
    </row>
    <row r="438" spans="1:7" ht="14.5">
      <c r="A438" s="3">
        <v>48</v>
      </c>
      <c r="B438" s="4" t="s">
        <v>7</v>
      </c>
      <c r="C438" s="3">
        <v>37.299999999999997</v>
      </c>
      <c r="D438" s="3">
        <v>2</v>
      </c>
      <c r="E438" s="4" t="s">
        <v>8</v>
      </c>
      <c r="F438" s="4" t="s">
        <v>14</v>
      </c>
      <c r="G438" s="3">
        <v>8978.19</v>
      </c>
    </row>
    <row r="439" spans="1:7" ht="14.5">
      <c r="A439" s="3">
        <v>48</v>
      </c>
      <c r="B439" s="4" t="s">
        <v>10</v>
      </c>
      <c r="C439" s="3">
        <v>25.9</v>
      </c>
      <c r="D439" s="3">
        <v>3</v>
      </c>
      <c r="E439" s="4" t="s">
        <v>11</v>
      </c>
      <c r="F439" s="4" t="s">
        <v>14</v>
      </c>
      <c r="G439" s="3">
        <v>24180.93</v>
      </c>
    </row>
    <row r="440" spans="1:7" ht="14.5">
      <c r="A440" s="3">
        <v>48</v>
      </c>
      <c r="B440" s="4" t="s">
        <v>10</v>
      </c>
      <c r="C440" s="3">
        <v>27.9</v>
      </c>
      <c r="D440" s="3">
        <v>4</v>
      </c>
      <c r="E440" s="4" t="s">
        <v>8</v>
      </c>
      <c r="F440" s="4" t="s">
        <v>9</v>
      </c>
      <c r="G440" s="3">
        <v>11015.17</v>
      </c>
    </row>
    <row r="441" spans="1:7" ht="14.5">
      <c r="A441" s="3">
        <v>48</v>
      </c>
      <c r="B441" s="4" t="s">
        <v>10</v>
      </c>
      <c r="C441" s="3">
        <v>27.4</v>
      </c>
      <c r="D441" s="3">
        <v>1</v>
      </c>
      <c r="E441" s="4" t="s">
        <v>8</v>
      </c>
      <c r="F441" s="4" t="s">
        <v>13</v>
      </c>
      <c r="G441" s="3">
        <v>9447.3799999999992</v>
      </c>
    </row>
    <row r="442" spans="1:7" ht="14.5">
      <c r="A442" s="3">
        <v>48</v>
      </c>
      <c r="B442" s="4" t="s">
        <v>10</v>
      </c>
      <c r="C442" s="3">
        <v>36.6</v>
      </c>
      <c r="D442" s="3">
        <v>0</v>
      </c>
      <c r="E442" s="4" t="s">
        <v>8</v>
      </c>
      <c r="F442" s="4" t="s">
        <v>9</v>
      </c>
      <c r="G442" s="3">
        <v>8671.19</v>
      </c>
    </row>
    <row r="443" spans="1:7" ht="14.5">
      <c r="A443" s="3">
        <v>48</v>
      </c>
      <c r="B443" s="4" t="s">
        <v>10</v>
      </c>
      <c r="C443" s="3">
        <v>33.299999999999997</v>
      </c>
      <c r="D443" s="3">
        <v>0</v>
      </c>
      <c r="E443" s="4" t="s">
        <v>8</v>
      </c>
      <c r="F443" s="4" t="s">
        <v>14</v>
      </c>
      <c r="G443" s="3">
        <v>8283.68</v>
      </c>
    </row>
    <row r="444" spans="1:7" ht="14.5">
      <c r="A444" s="3">
        <v>47</v>
      </c>
      <c r="B444" s="4" t="s">
        <v>10</v>
      </c>
      <c r="C444" s="3">
        <v>33.9</v>
      </c>
      <c r="D444" s="3">
        <v>3</v>
      </c>
      <c r="E444" s="4" t="s">
        <v>8</v>
      </c>
      <c r="F444" s="4" t="s">
        <v>9</v>
      </c>
      <c r="G444" s="3">
        <v>10115.01</v>
      </c>
    </row>
    <row r="445" spans="1:7" ht="14.5">
      <c r="A445" s="3">
        <v>47</v>
      </c>
      <c r="B445" s="4" t="s">
        <v>7</v>
      </c>
      <c r="C445" s="3">
        <v>28.2</v>
      </c>
      <c r="D445" s="3">
        <v>4</v>
      </c>
      <c r="E445" s="4" t="s">
        <v>8</v>
      </c>
      <c r="F445" s="4" t="s">
        <v>13</v>
      </c>
      <c r="G445" s="3">
        <v>10407.09</v>
      </c>
    </row>
    <row r="446" spans="1:7" ht="14.5">
      <c r="A446" s="3">
        <v>47</v>
      </c>
      <c r="B446" s="4" t="s">
        <v>7</v>
      </c>
      <c r="C446" s="3">
        <v>25.5</v>
      </c>
      <c r="D446" s="3">
        <v>2</v>
      </c>
      <c r="E446" s="4" t="s">
        <v>8</v>
      </c>
      <c r="F446" s="4" t="s">
        <v>13</v>
      </c>
      <c r="G446" s="3">
        <v>9225.26</v>
      </c>
    </row>
    <row r="447" spans="1:7" ht="14.5">
      <c r="A447" s="3">
        <v>47</v>
      </c>
      <c r="B447" s="4" t="s">
        <v>10</v>
      </c>
      <c r="C447" s="3">
        <v>26.6</v>
      </c>
      <c r="D447" s="3">
        <v>2</v>
      </c>
      <c r="E447" s="4" t="s">
        <v>8</v>
      </c>
      <c r="F447" s="4" t="s">
        <v>13</v>
      </c>
      <c r="G447" s="3">
        <v>9715.84</v>
      </c>
    </row>
    <row r="448" spans="1:7" ht="14.5">
      <c r="A448" s="3">
        <v>47</v>
      </c>
      <c r="B448" s="4" t="s">
        <v>7</v>
      </c>
      <c r="C448" s="3">
        <v>25.4</v>
      </c>
      <c r="D448" s="3">
        <v>1</v>
      </c>
      <c r="E448" s="4" t="s">
        <v>11</v>
      </c>
      <c r="F448" s="4" t="s">
        <v>14</v>
      </c>
      <c r="G448" s="3">
        <v>21978.68</v>
      </c>
    </row>
    <row r="449" spans="1:7" ht="14.5">
      <c r="A449" s="3">
        <v>47</v>
      </c>
      <c r="B449" s="4" t="s">
        <v>7</v>
      </c>
      <c r="C449" s="3">
        <v>29.8</v>
      </c>
      <c r="D449" s="3">
        <v>3</v>
      </c>
      <c r="E449" s="4" t="s">
        <v>8</v>
      </c>
      <c r="F449" s="4" t="s">
        <v>9</v>
      </c>
      <c r="G449" s="3">
        <v>9620.33</v>
      </c>
    </row>
    <row r="450" spans="1:7" ht="14.5">
      <c r="A450" s="3">
        <v>47</v>
      </c>
      <c r="B450" s="4" t="s">
        <v>7</v>
      </c>
      <c r="C450" s="3">
        <v>47.5</v>
      </c>
      <c r="D450" s="3">
        <v>1</v>
      </c>
      <c r="E450" s="4" t="s">
        <v>8</v>
      </c>
      <c r="F450" s="4" t="s">
        <v>14</v>
      </c>
      <c r="G450" s="3">
        <v>8083.92</v>
      </c>
    </row>
    <row r="451" spans="1:7" ht="14.5">
      <c r="A451" s="3">
        <v>47</v>
      </c>
      <c r="B451" s="4" t="s">
        <v>10</v>
      </c>
      <c r="C451" s="3">
        <v>23.6</v>
      </c>
      <c r="D451" s="3">
        <v>1</v>
      </c>
      <c r="E451" s="4" t="s">
        <v>8</v>
      </c>
      <c r="F451" s="4" t="s">
        <v>12</v>
      </c>
      <c r="G451" s="3">
        <v>8539.67</v>
      </c>
    </row>
    <row r="452" spans="1:7" ht="14.5">
      <c r="A452" s="3">
        <v>47</v>
      </c>
      <c r="B452" s="4" t="s">
        <v>10</v>
      </c>
      <c r="C452" s="3">
        <v>33.299999999999997</v>
      </c>
      <c r="D452" s="3">
        <v>0</v>
      </c>
      <c r="E452" s="4" t="s">
        <v>8</v>
      </c>
      <c r="F452" s="4" t="s">
        <v>13</v>
      </c>
      <c r="G452" s="3">
        <v>20878.78</v>
      </c>
    </row>
    <row r="453" spans="1:7" ht="14.5">
      <c r="A453" s="3">
        <v>47</v>
      </c>
      <c r="B453" s="4" t="s">
        <v>7</v>
      </c>
      <c r="C453" s="3">
        <v>19.600000000000001</v>
      </c>
      <c r="D453" s="3">
        <v>1</v>
      </c>
      <c r="E453" s="4" t="s">
        <v>8</v>
      </c>
      <c r="F453" s="4" t="s">
        <v>9</v>
      </c>
      <c r="G453" s="3">
        <v>8428.07</v>
      </c>
    </row>
    <row r="454" spans="1:7" ht="14.5">
      <c r="A454" s="3">
        <v>47</v>
      </c>
      <c r="B454" s="4" t="s">
        <v>10</v>
      </c>
      <c r="C454" s="3">
        <v>29.4</v>
      </c>
      <c r="D454" s="3">
        <v>1</v>
      </c>
      <c r="E454" s="4" t="s">
        <v>8</v>
      </c>
      <c r="F454" s="4" t="s">
        <v>14</v>
      </c>
      <c r="G454" s="3">
        <v>8547.69</v>
      </c>
    </row>
    <row r="455" spans="1:7" ht="14.5">
      <c r="A455" s="3">
        <v>47</v>
      </c>
      <c r="B455" s="4" t="s">
        <v>10</v>
      </c>
      <c r="C455" s="3">
        <v>36.6</v>
      </c>
      <c r="D455" s="3">
        <v>1</v>
      </c>
      <c r="E455" s="4" t="s">
        <v>11</v>
      </c>
      <c r="F455" s="4" t="s">
        <v>14</v>
      </c>
      <c r="G455" s="3">
        <v>42969.85</v>
      </c>
    </row>
    <row r="456" spans="1:7" ht="14.5">
      <c r="A456" s="3">
        <v>47</v>
      </c>
      <c r="B456" s="4" t="s">
        <v>10</v>
      </c>
      <c r="C456" s="3">
        <v>24.1</v>
      </c>
      <c r="D456" s="3">
        <v>1</v>
      </c>
      <c r="E456" s="4" t="s">
        <v>8</v>
      </c>
      <c r="F456" s="4" t="s">
        <v>12</v>
      </c>
      <c r="G456" s="3">
        <v>26236.58</v>
      </c>
    </row>
    <row r="457" spans="1:7" ht="14.5">
      <c r="A457" s="3">
        <v>47</v>
      </c>
      <c r="B457" s="4" t="s">
        <v>7</v>
      </c>
      <c r="C457" s="3">
        <v>36.200000000000003</v>
      </c>
      <c r="D457" s="3">
        <v>1</v>
      </c>
      <c r="E457" s="4" t="s">
        <v>8</v>
      </c>
      <c r="F457" s="4" t="s">
        <v>12</v>
      </c>
      <c r="G457" s="3">
        <v>8068.19</v>
      </c>
    </row>
    <row r="458" spans="1:7" ht="14.5">
      <c r="A458" s="3">
        <v>47</v>
      </c>
      <c r="B458" s="4" t="s">
        <v>10</v>
      </c>
      <c r="C458" s="3">
        <v>29.5</v>
      </c>
      <c r="D458" s="3">
        <v>1</v>
      </c>
      <c r="E458" s="4" t="s">
        <v>8</v>
      </c>
      <c r="F458" s="4" t="s">
        <v>9</v>
      </c>
      <c r="G458" s="3">
        <v>8930.93</v>
      </c>
    </row>
    <row r="459" spans="1:7" ht="14.5">
      <c r="A459" s="3">
        <v>47</v>
      </c>
      <c r="B459" s="4" t="s">
        <v>10</v>
      </c>
      <c r="C459" s="3">
        <v>36</v>
      </c>
      <c r="D459" s="3">
        <v>1</v>
      </c>
      <c r="E459" s="4" t="s">
        <v>8</v>
      </c>
      <c r="F459" s="4" t="s">
        <v>12</v>
      </c>
      <c r="G459" s="3">
        <v>8556.91</v>
      </c>
    </row>
    <row r="460" spans="1:7" ht="14.5">
      <c r="A460" s="3">
        <v>47</v>
      </c>
      <c r="B460" s="4" t="s">
        <v>10</v>
      </c>
      <c r="C460" s="3">
        <v>27.8</v>
      </c>
      <c r="D460" s="3">
        <v>0</v>
      </c>
      <c r="E460" s="4" t="s">
        <v>11</v>
      </c>
      <c r="F460" s="4" t="s">
        <v>14</v>
      </c>
      <c r="G460" s="3">
        <v>23065.42</v>
      </c>
    </row>
    <row r="461" spans="1:7" ht="14.5">
      <c r="A461" s="3">
        <v>47</v>
      </c>
      <c r="B461" s="4" t="s">
        <v>7</v>
      </c>
      <c r="C461" s="3">
        <v>32.299999999999997</v>
      </c>
      <c r="D461" s="3">
        <v>1</v>
      </c>
      <c r="E461" s="4" t="s">
        <v>8</v>
      </c>
      <c r="F461" s="4" t="s">
        <v>12</v>
      </c>
      <c r="G461" s="3">
        <v>8062.76</v>
      </c>
    </row>
    <row r="462" spans="1:7" ht="14.5">
      <c r="A462" s="3">
        <v>47</v>
      </c>
      <c r="B462" s="4" t="s">
        <v>10</v>
      </c>
      <c r="C462" s="3">
        <v>26.1</v>
      </c>
      <c r="D462" s="3">
        <v>1</v>
      </c>
      <c r="E462" s="4" t="s">
        <v>11</v>
      </c>
      <c r="F462" s="4" t="s">
        <v>13</v>
      </c>
      <c r="G462" s="3">
        <v>23401.31</v>
      </c>
    </row>
    <row r="463" spans="1:7" ht="14.5">
      <c r="A463" s="3">
        <v>47</v>
      </c>
      <c r="B463" s="4" t="s">
        <v>7</v>
      </c>
      <c r="C463" s="3">
        <v>38.9</v>
      </c>
      <c r="D463" s="3">
        <v>2</v>
      </c>
      <c r="E463" s="4" t="s">
        <v>11</v>
      </c>
      <c r="F463" s="4" t="s">
        <v>14</v>
      </c>
      <c r="G463" s="3">
        <v>44202.65</v>
      </c>
    </row>
    <row r="464" spans="1:7" ht="14.5">
      <c r="A464" s="3">
        <v>47</v>
      </c>
      <c r="B464" s="4" t="s">
        <v>7</v>
      </c>
      <c r="C464" s="3">
        <v>19.2</v>
      </c>
      <c r="D464" s="3">
        <v>1</v>
      </c>
      <c r="E464" s="4" t="s">
        <v>8</v>
      </c>
      <c r="F464" s="4" t="s">
        <v>13</v>
      </c>
      <c r="G464" s="3">
        <v>8627.5400000000009</v>
      </c>
    </row>
    <row r="465" spans="1:7" ht="14.5">
      <c r="A465" s="3">
        <v>47</v>
      </c>
      <c r="B465" s="4" t="s">
        <v>7</v>
      </c>
      <c r="C465" s="3">
        <v>28.2</v>
      </c>
      <c r="D465" s="3">
        <v>3</v>
      </c>
      <c r="E465" s="4" t="s">
        <v>11</v>
      </c>
      <c r="F465" s="4" t="s">
        <v>9</v>
      </c>
      <c r="G465" s="3">
        <v>24915.22</v>
      </c>
    </row>
    <row r="466" spans="1:7" ht="14.5">
      <c r="A466" s="3">
        <v>47</v>
      </c>
      <c r="B466" s="4" t="s">
        <v>7</v>
      </c>
      <c r="C466" s="3">
        <v>36.1</v>
      </c>
      <c r="D466" s="3">
        <v>1</v>
      </c>
      <c r="E466" s="4" t="s">
        <v>11</v>
      </c>
      <c r="F466" s="4" t="s">
        <v>14</v>
      </c>
      <c r="G466" s="3">
        <v>42211.14</v>
      </c>
    </row>
    <row r="467" spans="1:7" ht="14.5">
      <c r="A467" s="3">
        <v>47</v>
      </c>
      <c r="B467" s="4" t="s">
        <v>10</v>
      </c>
      <c r="C467" s="3">
        <v>45.3</v>
      </c>
      <c r="D467" s="3">
        <v>1</v>
      </c>
      <c r="E467" s="4" t="s">
        <v>8</v>
      </c>
      <c r="F467" s="4" t="s">
        <v>14</v>
      </c>
      <c r="G467" s="3">
        <v>8569.86</v>
      </c>
    </row>
    <row r="468" spans="1:7" ht="14.5">
      <c r="A468" s="3">
        <v>47</v>
      </c>
      <c r="B468" s="4" t="s">
        <v>7</v>
      </c>
      <c r="C468" s="3">
        <v>29.8</v>
      </c>
      <c r="D468" s="3">
        <v>3</v>
      </c>
      <c r="E468" s="4" t="s">
        <v>11</v>
      </c>
      <c r="F468" s="4" t="s">
        <v>12</v>
      </c>
      <c r="G468" s="3">
        <v>25309.49</v>
      </c>
    </row>
    <row r="469" spans="1:7" ht="14.5">
      <c r="A469" s="3">
        <v>47</v>
      </c>
      <c r="B469" s="4" t="s">
        <v>10</v>
      </c>
      <c r="C469" s="3">
        <v>32</v>
      </c>
      <c r="D469" s="3">
        <v>1</v>
      </c>
      <c r="E469" s="4" t="s">
        <v>8</v>
      </c>
      <c r="F469" s="4" t="s">
        <v>12</v>
      </c>
      <c r="G469" s="3">
        <v>8551.35</v>
      </c>
    </row>
    <row r="470" spans="1:7" ht="14.5">
      <c r="A470" s="3">
        <v>47</v>
      </c>
      <c r="B470" s="4" t="s">
        <v>7</v>
      </c>
      <c r="C470" s="3">
        <v>36.200000000000003</v>
      </c>
      <c r="D470" s="3">
        <v>0</v>
      </c>
      <c r="E470" s="4" t="s">
        <v>11</v>
      </c>
      <c r="F470" s="4" t="s">
        <v>14</v>
      </c>
      <c r="G470" s="3">
        <v>41676.080000000002</v>
      </c>
    </row>
    <row r="471" spans="1:7" ht="14.5">
      <c r="A471" s="3">
        <v>47</v>
      </c>
      <c r="B471" s="4" t="s">
        <v>10</v>
      </c>
      <c r="C471" s="3">
        <v>27.6</v>
      </c>
      <c r="D471" s="3">
        <v>2</v>
      </c>
      <c r="E471" s="4" t="s">
        <v>11</v>
      </c>
      <c r="F471" s="4" t="s">
        <v>9</v>
      </c>
      <c r="G471" s="3">
        <v>24535.7</v>
      </c>
    </row>
    <row r="472" spans="1:7" ht="14.5">
      <c r="A472" s="3">
        <v>47</v>
      </c>
      <c r="B472" s="4" t="s">
        <v>10</v>
      </c>
      <c r="C472" s="3">
        <v>24.3</v>
      </c>
      <c r="D472" s="3">
        <v>0</v>
      </c>
      <c r="E472" s="4" t="s">
        <v>8</v>
      </c>
      <c r="F472" s="4" t="s">
        <v>13</v>
      </c>
      <c r="G472" s="3">
        <v>8534.67</v>
      </c>
    </row>
    <row r="473" spans="1:7" ht="14.5">
      <c r="A473" s="3">
        <v>46</v>
      </c>
      <c r="B473" s="4" t="s">
        <v>10</v>
      </c>
      <c r="C473" s="3">
        <v>33.4</v>
      </c>
      <c r="D473" s="3">
        <v>1</v>
      </c>
      <c r="E473" s="4" t="s">
        <v>8</v>
      </c>
      <c r="F473" s="4" t="s">
        <v>14</v>
      </c>
      <c r="G473" s="3">
        <v>8240.59</v>
      </c>
    </row>
    <row r="474" spans="1:7" ht="14.5">
      <c r="A474" s="3">
        <v>46</v>
      </c>
      <c r="B474" s="4" t="s">
        <v>10</v>
      </c>
      <c r="C474" s="3">
        <v>27.7</v>
      </c>
      <c r="D474" s="3">
        <v>0</v>
      </c>
      <c r="E474" s="4" t="s">
        <v>8</v>
      </c>
      <c r="F474" s="4" t="s">
        <v>9</v>
      </c>
      <c r="G474" s="3">
        <v>8026.67</v>
      </c>
    </row>
    <row r="475" spans="1:7" ht="14.5">
      <c r="A475" s="3">
        <v>46</v>
      </c>
      <c r="B475" s="4" t="s">
        <v>7</v>
      </c>
      <c r="C475" s="3">
        <v>30.5</v>
      </c>
      <c r="D475" s="3">
        <v>3</v>
      </c>
      <c r="E475" s="4" t="s">
        <v>11</v>
      </c>
      <c r="F475" s="4" t="s">
        <v>9</v>
      </c>
      <c r="G475" s="3">
        <v>40720.550000000003</v>
      </c>
    </row>
    <row r="476" spans="1:7" ht="14.5">
      <c r="A476" s="3">
        <v>46</v>
      </c>
      <c r="B476" s="4" t="s">
        <v>10</v>
      </c>
      <c r="C476" s="3">
        <v>28.9</v>
      </c>
      <c r="D476" s="3">
        <v>2</v>
      </c>
      <c r="E476" s="4" t="s">
        <v>8</v>
      </c>
      <c r="F476" s="4" t="s">
        <v>12</v>
      </c>
      <c r="G476" s="3">
        <v>8823.2800000000007</v>
      </c>
    </row>
    <row r="477" spans="1:7" ht="14.5">
      <c r="A477" s="3">
        <v>46</v>
      </c>
      <c r="B477" s="4" t="s">
        <v>7</v>
      </c>
      <c r="C477" s="3">
        <v>22.3</v>
      </c>
      <c r="D477" s="3">
        <v>0</v>
      </c>
      <c r="E477" s="4" t="s">
        <v>8</v>
      </c>
      <c r="F477" s="4" t="s">
        <v>12</v>
      </c>
      <c r="G477" s="3">
        <v>7147.11</v>
      </c>
    </row>
    <row r="478" spans="1:7" ht="14.5">
      <c r="A478" s="3">
        <v>46</v>
      </c>
      <c r="B478" s="4" t="s">
        <v>7</v>
      </c>
      <c r="C478" s="3">
        <v>42.4</v>
      </c>
      <c r="D478" s="3">
        <v>3</v>
      </c>
      <c r="E478" s="4" t="s">
        <v>11</v>
      </c>
      <c r="F478" s="4" t="s">
        <v>14</v>
      </c>
      <c r="G478" s="3">
        <v>46151.12</v>
      </c>
    </row>
    <row r="479" spans="1:7" ht="14.5">
      <c r="A479" s="3">
        <v>46</v>
      </c>
      <c r="B479" s="4" t="s">
        <v>7</v>
      </c>
      <c r="C479" s="3">
        <v>26.6</v>
      </c>
      <c r="D479" s="3">
        <v>1</v>
      </c>
      <c r="E479" s="4" t="s">
        <v>8</v>
      </c>
      <c r="F479" s="4" t="s">
        <v>14</v>
      </c>
      <c r="G479" s="3">
        <v>7742.11</v>
      </c>
    </row>
    <row r="480" spans="1:7" ht="14.5">
      <c r="A480" s="3">
        <v>46</v>
      </c>
      <c r="B480" s="4" t="s">
        <v>10</v>
      </c>
      <c r="C480" s="3">
        <v>48.1</v>
      </c>
      <c r="D480" s="3">
        <v>2</v>
      </c>
      <c r="E480" s="4" t="s">
        <v>8</v>
      </c>
      <c r="F480" s="4" t="s">
        <v>13</v>
      </c>
      <c r="G480" s="3">
        <v>9432.93</v>
      </c>
    </row>
    <row r="481" spans="1:7" ht="14.5">
      <c r="A481" s="3">
        <v>46</v>
      </c>
      <c r="B481" s="4" t="s">
        <v>10</v>
      </c>
      <c r="C481" s="3">
        <v>27.7</v>
      </c>
      <c r="D481" s="3">
        <v>1</v>
      </c>
      <c r="E481" s="4" t="s">
        <v>8</v>
      </c>
      <c r="F481" s="4" t="s">
        <v>14</v>
      </c>
      <c r="G481" s="3">
        <v>8232.64</v>
      </c>
    </row>
    <row r="482" spans="1:7" ht="14.5">
      <c r="A482" s="3">
        <v>46</v>
      </c>
      <c r="B482" s="4" t="s">
        <v>7</v>
      </c>
      <c r="C482" s="3">
        <v>33.299999999999997</v>
      </c>
      <c r="D482" s="3">
        <v>1</v>
      </c>
      <c r="E482" s="4" t="s">
        <v>8</v>
      </c>
      <c r="F482" s="4" t="s">
        <v>13</v>
      </c>
      <c r="G482" s="3">
        <v>8334.4599999999991</v>
      </c>
    </row>
    <row r="483" spans="1:7" ht="14.5">
      <c r="A483" s="3">
        <v>46</v>
      </c>
      <c r="B483" s="4" t="s">
        <v>7</v>
      </c>
      <c r="C483" s="3">
        <v>27.6</v>
      </c>
      <c r="D483" s="3">
        <v>0</v>
      </c>
      <c r="E483" s="4" t="s">
        <v>8</v>
      </c>
      <c r="F483" s="4" t="s">
        <v>12</v>
      </c>
      <c r="G483" s="3">
        <v>24603.05</v>
      </c>
    </row>
    <row r="484" spans="1:7" ht="14.5">
      <c r="A484" s="3">
        <v>46</v>
      </c>
      <c r="B484" s="4" t="s">
        <v>7</v>
      </c>
      <c r="C484" s="3">
        <v>43.9</v>
      </c>
      <c r="D484" s="3">
        <v>3</v>
      </c>
      <c r="E484" s="4" t="s">
        <v>8</v>
      </c>
      <c r="F484" s="4" t="s">
        <v>14</v>
      </c>
      <c r="G484" s="3">
        <v>8944.1200000000008</v>
      </c>
    </row>
    <row r="485" spans="1:7" ht="14.5">
      <c r="A485" s="3">
        <v>46</v>
      </c>
      <c r="B485" s="4" t="s">
        <v>10</v>
      </c>
      <c r="C485" s="3">
        <v>32.299999999999997</v>
      </c>
      <c r="D485" s="3">
        <v>2</v>
      </c>
      <c r="E485" s="4" t="s">
        <v>8</v>
      </c>
      <c r="F485" s="4" t="s">
        <v>13</v>
      </c>
      <c r="G485" s="3">
        <v>9411.01</v>
      </c>
    </row>
    <row r="486" spans="1:7" ht="14.5">
      <c r="A486" s="3">
        <v>46</v>
      </c>
      <c r="B486" s="4" t="s">
        <v>7</v>
      </c>
      <c r="C486" s="3">
        <v>19.899999999999999</v>
      </c>
      <c r="D486" s="3">
        <v>0</v>
      </c>
      <c r="E486" s="4" t="s">
        <v>8</v>
      </c>
      <c r="F486" s="4" t="s">
        <v>9</v>
      </c>
      <c r="G486" s="3">
        <v>7526.71</v>
      </c>
    </row>
    <row r="487" spans="1:7" ht="14.5">
      <c r="A487" s="3">
        <v>46</v>
      </c>
      <c r="B487" s="4" t="s">
        <v>7</v>
      </c>
      <c r="C487" s="3">
        <v>39.4</v>
      </c>
      <c r="D487" s="3">
        <v>1</v>
      </c>
      <c r="E487" s="4" t="s">
        <v>8</v>
      </c>
      <c r="F487" s="4" t="s">
        <v>13</v>
      </c>
      <c r="G487" s="3">
        <v>8342.91</v>
      </c>
    </row>
    <row r="488" spans="1:7" ht="14.5">
      <c r="A488" s="3">
        <v>46</v>
      </c>
      <c r="B488" s="4" t="s">
        <v>10</v>
      </c>
      <c r="C488" s="3">
        <v>30.2</v>
      </c>
      <c r="D488" s="3">
        <v>2</v>
      </c>
      <c r="E488" s="4" t="s">
        <v>8</v>
      </c>
      <c r="F488" s="4" t="s">
        <v>12</v>
      </c>
      <c r="G488" s="3">
        <v>8825.09</v>
      </c>
    </row>
    <row r="489" spans="1:7" ht="14.5">
      <c r="A489" s="3">
        <v>46</v>
      </c>
      <c r="B489" s="4" t="s">
        <v>10</v>
      </c>
      <c r="C489" s="3">
        <v>28.1</v>
      </c>
      <c r="D489" s="3">
        <v>1</v>
      </c>
      <c r="E489" s="4" t="s">
        <v>8</v>
      </c>
      <c r="F489" s="4" t="s">
        <v>14</v>
      </c>
      <c r="G489" s="3">
        <v>8233.1</v>
      </c>
    </row>
    <row r="490" spans="1:7" ht="14.5">
      <c r="A490" s="3">
        <v>46</v>
      </c>
      <c r="B490" s="4" t="s">
        <v>7</v>
      </c>
      <c r="C490" s="3">
        <v>33.4</v>
      </c>
      <c r="D490" s="3">
        <v>1</v>
      </c>
      <c r="E490" s="4" t="s">
        <v>8</v>
      </c>
      <c r="F490" s="4" t="s">
        <v>13</v>
      </c>
      <c r="G490" s="3">
        <v>8334.59</v>
      </c>
    </row>
    <row r="491" spans="1:7" ht="14.5">
      <c r="A491" s="3">
        <v>46</v>
      </c>
      <c r="B491" s="4" t="s">
        <v>10</v>
      </c>
      <c r="C491" s="3">
        <v>20</v>
      </c>
      <c r="D491" s="3">
        <v>2</v>
      </c>
      <c r="E491" s="4" t="s">
        <v>8</v>
      </c>
      <c r="F491" s="4" t="s">
        <v>9</v>
      </c>
      <c r="G491" s="3">
        <v>9193.84</v>
      </c>
    </row>
    <row r="492" spans="1:7" ht="14.5">
      <c r="A492" s="3">
        <v>46</v>
      </c>
      <c r="B492" s="4" t="s">
        <v>10</v>
      </c>
      <c r="C492" s="3">
        <v>33.700000000000003</v>
      </c>
      <c r="D492" s="3">
        <v>1</v>
      </c>
      <c r="E492" s="4" t="s">
        <v>8</v>
      </c>
      <c r="F492" s="4" t="s">
        <v>13</v>
      </c>
      <c r="G492" s="3">
        <v>8823.99</v>
      </c>
    </row>
    <row r="493" spans="1:7" ht="14.5">
      <c r="A493" s="3">
        <v>46</v>
      </c>
      <c r="B493" s="4" t="s">
        <v>10</v>
      </c>
      <c r="C493" s="3">
        <v>30.8</v>
      </c>
      <c r="D493" s="3">
        <v>3</v>
      </c>
      <c r="E493" s="4" t="s">
        <v>8</v>
      </c>
      <c r="F493" s="4" t="s">
        <v>12</v>
      </c>
      <c r="G493" s="3">
        <v>9414.92</v>
      </c>
    </row>
    <row r="494" spans="1:7" ht="14.5">
      <c r="A494" s="3">
        <v>46</v>
      </c>
      <c r="B494" s="4" t="s">
        <v>10</v>
      </c>
      <c r="C494" s="3">
        <v>35.5</v>
      </c>
      <c r="D494" s="3">
        <v>0</v>
      </c>
      <c r="E494" s="4" t="s">
        <v>11</v>
      </c>
      <c r="F494" s="4" t="s">
        <v>13</v>
      </c>
      <c r="G494" s="3">
        <v>42111.66</v>
      </c>
    </row>
    <row r="495" spans="1:7" ht="14.5">
      <c r="A495" s="3">
        <v>46</v>
      </c>
      <c r="B495" s="4" t="s">
        <v>7</v>
      </c>
      <c r="C495" s="3">
        <v>25.8</v>
      </c>
      <c r="D495" s="3">
        <v>5</v>
      </c>
      <c r="E495" s="4" t="s">
        <v>8</v>
      </c>
      <c r="F495" s="4" t="s">
        <v>12</v>
      </c>
      <c r="G495" s="3">
        <v>10096.969999999999</v>
      </c>
    </row>
    <row r="496" spans="1:7" ht="14.5">
      <c r="A496" s="3">
        <v>46</v>
      </c>
      <c r="B496" s="4" t="s">
        <v>7</v>
      </c>
      <c r="C496" s="3">
        <v>24.8</v>
      </c>
      <c r="D496" s="3">
        <v>3</v>
      </c>
      <c r="E496" s="4" t="s">
        <v>8</v>
      </c>
      <c r="F496" s="4" t="s">
        <v>13</v>
      </c>
      <c r="G496" s="3">
        <v>9500.57</v>
      </c>
    </row>
    <row r="497" spans="1:7" ht="14.5">
      <c r="A497" s="3">
        <v>46</v>
      </c>
      <c r="B497" s="4" t="s">
        <v>10</v>
      </c>
      <c r="C497" s="3">
        <v>23.7</v>
      </c>
      <c r="D497" s="3">
        <v>1</v>
      </c>
      <c r="E497" s="4" t="s">
        <v>11</v>
      </c>
      <c r="F497" s="4" t="s">
        <v>9</v>
      </c>
      <c r="G497" s="3">
        <v>21677.279999999999</v>
      </c>
    </row>
    <row r="498" spans="1:7" ht="14.5">
      <c r="A498" s="3">
        <v>46</v>
      </c>
      <c r="B498" s="4" t="s">
        <v>7</v>
      </c>
      <c r="C498" s="3">
        <v>38.200000000000003</v>
      </c>
      <c r="D498" s="3">
        <v>2</v>
      </c>
      <c r="E498" s="4" t="s">
        <v>8</v>
      </c>
      <c r="F498" s="4" t="s">
        <v>14</v>
      </c>
      <c r="G498" s="3">
        <v>8347.16</v>
      </c>
    </row>
    <row r="499" spans="1:7" ht="14.5">
      <c r="A499" s="3">
        <v>46</v>
      </c>
      <c r="B499" s="4" t="s">
        <v>7</v>
      </c>
      <c r="C499" s="3">
        <v>40.4</v>
      </c>
      <c r="D499" s="3">
        <v>2</v>
      </c>
      <c r="E499" s="4" t="s">
        <v>8</v>
      </c>
      <c r="F499" s="4" t="s">
        <v>9</v>
      </c>
      <c r="G499" s="3">
        <v>8733.23</v>
      </c>
    </row>
    <row r="500" spans="1:7" ht="14.5">
      <c r="A500" s="3">
        <v>46</v>
      </c>
      <c r="B500" s="4" t="s">
        <v>10</v>
      </c>
      <c r="C500" s="3">
        <v>34.6</v>
      </c>
      <c r="D500" s="3">
        <v>1</v>
      </c>
      <c r="E500" s="4" t="s">
        <v>11</v>
      </c>
      <c r="F500" s="4" t="s">
        <v>12</v>
      </c>
      <c r="G500" s="3">
        <v>41661.599999999999</v>
      </c>
    </row>
    <row r="501" spans="1:7" ht="14.5">
      <c r="A501" s="3">
        <v>46</v>
      </c>
      <c r="B501" s="4" t="s">
        <v>7</v>
      </c>
      <c r="C501" s="3">
        <v>25.7</v>
      </c>
      <c r="D501" s="3">
        <v>3</v>
      </c>
      <c r="E501" s="4" t="s">
        <v>8</v>
      </c>
      <c r="F501" s="4" t="s">
        <v>9</v>
      </c>
      <c r="G501" s="3">
        <v>9301.89</v>
      </c>
    </row>
    <row r="502" spans="1:7" ht="14.5">
      <c r="A502" s="3">
        <v>45</v>
      </c>
      <c r="B502" s="4" t="s">
        <v>10</v>
      </c>
      <c r="C502" s="3">
        <v>38.299999999999997</v>
      </c>
      <c r="D502" s="3">
        <v>0</v>
      </c>
      <c r="E502" s="4" t="s">
        <v>8</v>
      </c>
      <c r="F502" s="4" t="s">
        <v>13</v>
      </c>
      <c r="G502" s="3">
        <v>7935.29</v>
      </c>
    </row>
    <row r="503" spans="1:7" ht="14.5">
      <c r="A503" s="3">
        <v>45</v>
      </c>
      <c r="B503" s="4" t="s">
        <v>7</v>
      </c>
      <c r="C503" s="3">
        <v>22.9</v>
      </c>
      <c r="D503" s="3">
        <v>2</v>
      </c>
      <c r="E503" s="4" t="s">
        <v>11</v>
      </c>
      <c r="F503" s="4" t="s">
        <v>9</v>
      </c>
      <c r="G503" s="3">
        <v>21098.55</v>
      </c>
    </row>
    <row r="504" spans="1:7" ht="14.5">
      <c r="A504" s="3">
        <v>45</v>
      </c>
      <c r="B504" s="4" t="s">
        <v>10</v>
      </c>
      <c r="C504" s="3">
        <v>28.6</v>
      </c>
      <c r="D504" s="3">
        <v>2</v>
      </c>
      <c r="E504" s="4" t="s">
        <v>8</v>
      </c>
      <c r="F504" s="4" t="s">
        <v>14</v>
      </c>
      <c r="G504" s="3">
        <v>8516.83</v>
      </c>
    </row>
    <row r="505" spans="1:7" ht="14.5">
      <c r="A505" s="3">
        <v>45</v>
      </c>
      <c r="B505" s="4" t="s">
        <v>10</v>
      </c>
      <c r="C505" s="3">
        <v>30.9</v>
      </c>
      <c r="D505" s="3">
        <v>2</v>
      </c>
      <c r="E505" s="4" t="s">
        <v>8</v>
      </c>
      <c r="F505" s="4" t="s">
        <v>12</v>
      </c>
      <c r="G505" s="3">
        <v>8520.0300000000007</v>
      </c>
    </row>
    <row r="506" spans="1:7" ht="14.5">
      <c r="A506" s="3">
        <v>45</v>
      </c>
      <c r="B506" s="4" t="s">
        <v>7</v>
      </c>
      <c r="C506" s="3">
        <v>30.2</v>
      </c>
      <c r="D506" s="3">
        <v>1</v>
      </c>
      <c r="E506" s="4" t="s">
        <v>8</v>
      </c>
      <c r="F506" s="4" t="s">
        <v>12</v>
      </c>
      <c r="G506" s="3">
        <v>7441.05</v>
      </c>
    </row>
    <row r="507" spans="1:7" ht="14.5">
      <c r="A507" s="3">
        <v>45</v>
      </c>
      <c r="B507" s="4" t="s">
        <v>7</v>
      </c>
      <c r="C507" s="3">
        <v>36.5</v>
      </c>
      <c r="D507" s="3">
        <v>2</v>
      </c>
      <c r="E507" s="4" t="s">
        <v>11</v>
      </c>
      <c r="F507" s="4" t="s">
        <v>9</v>
      </c>
      <c r="G507" s="3">
        <v>42760.5</v>
      </c>
    </row>
    <row r="508" spans="1:7" ht="14.5">
      <c r="A508" s="3">
        <v>45</v>
      </c>
      <c r="B508" s="4" t="s">
        <v>7</v>
      </c>
      <c r="C508" s="3">
        <v>24.3</v>
      </c>
      <c r="D508" s="3">
        <v>5</v>
      </c>
      <c r="E508" s="4" t="s">
        <v>8</v>
      </c>
      <c r="F508" s="4" t="s">
        <v>14</v>
      </c>
      <c r="G508" s="3">
        <v>9788.8700000000008</v>
      </c>
    </row>
    <row r="509" spans="1:7" ht="14.5">
      <c r="A509" s="3">
        <v>45</v>
      </c>
      <c r="B509" s="4" t="s">
        <v>10</v>
      </c>
      <c r="C509" s="3">
        <v>33.1</v>
      </c>
      <c r="D509" s="3">
        <v>0</v>
      </c>
      <c r="E509" s="4" t="s">
        <v>8</v>
      </c>
      <c r="F509" s="4" t="s">
        <v>12</v>
      </c>
      <c r="G509" s="3">
        <v>7345.08</v>
      </c>
    </row>
    <row r="510" spans="1:7" ht="14.5">
      <c r="A510" s="3">
        <v>45</v>
      </c>
      <c r="B510" s="4" t="s">
        <v>7</v>
      </c>
      <c r="C510" s="3">
        <v>28.7</v>
      </c>
      <c r="D510" s="3">
        <v>2</v>
      </c>
      <c r="E510" s="4" t="s">
        <v>8</v>
      </c>
      <c r="F510" s="4" t="s">
        <v>12</v>
      </c>
      <c r="G510" s="3">
        <v>8027.97</v>
      </c>
    </row>
    <row r="511" spans="1:7" ht="14.5">
      <c r="A511" s="3">
        <v>45</v>
      </c>
      <c r="B511" s="4" t="s">
        <v>7</v>
      </c>
      <c r="C511" s="3">
        <v>30.5</v>
      </c>
      <c r="D511" s="3">
        <v>2</v>
      </c>
      <c r="E511" s="4" t="s">
        <v>8</v>
      </c>
      <c r="F511" s="4" t="s">
        <v>9</v>
      </c>
      <c r="G511" s="3">
        <v>8413.4599999999991</v>
      </c>
    </row>
    <row r="512" spans="1:7" ht="14.5">
      <c r="A512" s="3">
        <v>45</v>
      </c>
      <c r="B512" s="4" t="s">
        <v>10</v>
      </c>
      <c r="C512" s="3">
        <v>36.299999999999997</v>
      </c>
      <c r="D512" s="3">
        <v>2</v>
      </c>
      <c r="E512" s="4" t="s">
        <v>8</v>
      </c>
      <c r="F512" s="4" t="s">
        <v>14</v>
      </c>
      <c r="G512" s="3">
        <v>8527.5300000000007</v>
      </c>
    </row>
    <row r="513" spans="1:7" ht="14.5">
      <c r="A513" s="3">
        <v>45</v>
      </c>
      <c r="B513" s="4" t="s">
        <v>7</v>
      </c>
      <c r="C513" s="3">
        <v>21.4</v>
      </c>
      <c r="D513" s="3">
        <v>0</v>
      </c>
      <c r="E513" s="4" t="s">
        <v>8</v>
      </c>
      <c r="F513" s="4" t="s">
        <v>9</v>
      </c>
      <c r="G513" s="3">
        <v>7222.79</v>
      </c>
    </row>
    <row r="514" spans="1:7" ht="14.5">
      <c r="A514" s="3">
        <v>45</v>
      </c>
      <c r="B514" s="4" t="s">
        <v>7</v>
      </c>
      <c r="C514" s="3">
        <v>24</v>
      </c>
      <c r="D514" s="3">
        <v>2</v>
      </c>
      <c r="E514" s="4" t="s">
        <v>8</v>
      </c>
      <c r="F514" s="4" t="s">
        <v>13</v>
      </c>
      <c r="G514" s="3">
        <v>8604.48</v>
      </c>
    </row>
    <row r="515" spans="1:7" ht="14.5">
      <c r="A515" s="3">
        <v>45</v>
      </c>
      <c r="B515" s="4" t="s">
        <v>10</v>
      </c>
      <c r="C515" s="3">
        <v>25.2</v>
      </c>
      <c r="D515" s="3">
        <v>2</v>
      </c>
      <c r="E515" s="4" t="s">
        <v>8</v>
      </c>
      <c r="F515" s="4" t="s">
        <v>13</v>
      </c>
      <c r="G515" s="3">
        <v>9095.07</v>
      </c>
    </row>
    <row r="516" spans="1:7" ht="14.5">
      <c r="A516" s="3">
        <v>45</v>
      </c>
      <c r="B516" s="4" t="s">
        <v>7</v>
      </c>
      <c r="C516" s="3">
        <v>39.799999999999997</v>
      </c>
      <c r="D516" s="3">
        <v>0</v>
      </c>
      <c r="E516" s="4" t="s">
        <v>8</v>
      </c>
      <c r="F516" s="4" t="s">
        <v>13</v>
      </c>
      <c r="G516" s="3">
        <v>7448.4</v>
      </c>
    </row>
    <row r="517" spans="1:7" ht="14.5">
      <c r="A517" s="3">
        <v>45</v>
      </c>
      <c r="B517" s="4" t="s">
        <v>10</v>
      </c>
      <c r="C517" s="3">
        <v>35.799999999999997</v>
      </c>
      <c r="D517" s="3">
        <v>0</v>
      </c>
      <c r="E517" s="4" t="s">
        <v>8</v>
      </c>
      <c r="F517" s="4" t="s">
        <v>9</v>
      </c>
      <c r="G517" s="3">
        <v>7731.86</v>
      </c>
    </row>
    <row r="518" spans="1:7" ht="14.5">
      <c r="A518" s="3">
        <v>45</v>
      </c>
      <c r="B518" s="4" t="s">
        <v>7</v>
      </c>
      <c r="C518" s="3">
        <v>33.700000000000003</v>
      </c>
      <c r="D518" s="3">
        <v>1</v>
      </c>
      <c r="E518" s="4" t="s">
        <v>8</v>
      </c>
      <c r="F518" s="4" t="s">
        <v>12</v>
      </c>
      <c r="G518" s="3">
        <v>7445.92</v>
      </c>
    </row>
    <row r="519" spans="1:7" ht="14.5">
      <c r="A519" s="3">
        <v>45</v>
      </c>
      <c r="B519" s="4" t="s">
        <v>7</v>
      </c>
      <c r="C519" s="3">
        <v>22.9</v>
      </c>
      <c r="D519" s="3">
        <v>0</v>
      </c>
      <c r="E519" s="4" t="s">
        <v>11</v>
      </c>
      <c r="F519" s="4" t="s">
        <v>13</v>
      </c>
      <c r="G519" s="3">
        <v>35069.370000000003</v>
      </c>
    </row>
    <row r="520" spans="1:7" ht="14.5">
      <c r="A520" s="3">
        <v>45</v>
      </c>
      <c r="B520" s="4" t="s">
        <v>10</v>
      </c>
      <c r="C520" s="3">
        <v>35.299999999999997</v>
      </c>
      <c r="D520" s="3">
        <v>0</v>
      </c>
      <c r="E520" s="4" t="s">
        <v>8</v>
      </c>
      <c r="F520" s="4" t="s">
        <v>12</v>
      </c>
      <c r="G520" s="3">
        <v>7348.14</v>
      </c>
    </row>
    <row r="521" spans="1:7" ht="14.5">
      <c r="A521" s="3">
        <v>45</v>
      </c>
      <c r="B521" s="4" t="s">
        <v>10</v>
      </c>
      <c r="C521" s="3">
        <v>40</v>
      </c>
      <c r="D521" s="3">
        <v>3</v>
      </c>
      <c r="E521" s="4" t="s">
        <v>8</v>
      </c>
      <c r="F521" s="4" t="s">
        <v>13</v>
      </c>
      <c r="G521" s="3">
        <v>9704.67</v>
      </c>
    </row>
    <row r="522" spans="1:7" ht="14.5">
      <c r="A522" s="3">
        <v>45</v>
      </c>
      <c r="B522" s="4" t="s">
        <v>10</v>
      </c>
      <c r="C522" s="3">
        <v>27.6</v>
      </c>
      <c r="D522" s="3">
        <v>1</v>
      </c>
      <c r="E522" s="4" t="s">
        <v>8</v>
      </c>
      <c r="F522" s="4" t="s">
        <v>9</v>
      </c>
      <c r="G522" s="3">
        <v>28340.19</v>
      </c>
    </row>
    <row r="523" spans="1:7" ht="14.5">
      <c r="A523" s="3">
        <v>45</v>
      </c>
      <c r="B523" s="4" t="s">
        <v>10</v>
      </c>
      <c r="C523" s="3">
        <v>30.5</v>
      </c>
      <c r="D523" s="3">
        <v>1</v>
      </c>
      <c r="E523" s="4" t="s">
        <v>11</v>
      </c>
      <c r="F523" s="4" t="s">
        <v>9</v>
      </c>
      <c r="G523" s="3">
        <v>39725.519999999997</v>
      </c>
    </row>
    <row r="524" spans="1:7" ht="14.5">
      <c r="A524" s="3">
        <v>45</v>
      </c>
      <c r="B524" s="4" t="s">
        <v>10</v>
      </c>
      <c r="C524" s="3">
        <v>31.8</v>
      </c>
      <c r="D524" s="3">
        <v>0</v>
      </c>
      <c r="E524" s="4" t="s">
        <v>8</v>
      </c>
      <c r="F524" s="4" t="s">
        <v>14</v>
      </c>
      <c r="G524" s="3">
        <v>17929.3</v>
      </c>
    </row>
    <row r="525" spans="1:7" ht="14.5">
      <c r="A525" s="3">
        <v>45</v>
      </c>
      <c r="B525" s="4" t="s">
        <v>7</v>
      </c>
      <c r="C525" s="3">
        <v>20.399999999999999</v>
      </c>
      <c r="D525" s="3">
        <v>3</v>
      </c>
      <c r="E525" s="4" t="s">
        <v>8</v>
      </c>
      <c r="F525" s="4" t="s">
        <v>14</v>
      </c>
      <c r="G525" s="3">
        <v>8605.36</v>
      </c>
    </row>
    <row r="526" spans="1:7" ht="14.5">
      <c r="A526" s="3">
        <v>45</v>
      </c>
      <c r="B526" s="4" t="s">
        <v>7</v>
      </c>
      <c r="C526" s="3">
        <v>23.6</v>
      </c>
      <c r="D526" s="3">
        <v>2</v>
      </c>
      <c r="E526" s="4" t="s">
        <v>8</v>
      </c>
      <c r="F526" s="4" t="s">
        <v>13</v>
      </c>
      <c r="G526" s="3">
        <v>8603.82</v>
      </c>
    </row>
    <row r="527" spans="1:7" ht="14.5">
      <c r="A527" s="3">
        <v>45</v>
      </c>
      <c r="B527" s="4" t="s">
        <v>10</v>
      </c>
      <c r="C527" s="3">
        <v>27.8</v>
      </c>
      <c r="D527" s="3">
        <v>2</v>
      </c>
      <c r="E527" s="4" t="s">
        <v>8</v>
      </c>
      <c r="F527" s="4" t="s">
        <v>14</v>
      </c>
      <c r="G527" s="3">
        <v>8515.76</v>
      </c>
    </row>
    <row r="528" spans="1:7" ht="14.5">
      <c r="A528" s="3">
        <v>45</v>
      </c>
      <c r="B528" s="4" t="s">
        <v>10</v>
      </c>
      <c r="C528" s="3">
        <v>25.7</v>
      </c>
      <c r="D528" s="3">
        <v>3</v>
      </c>
      <c r="E528" s="4" t="s">
        <v>8</v>
      </c>
      <c r="F528" s="4" t="s">
        <v>12</v>
      </c>
      <c r="G528" s="3">
        <v>9101.7999999999993</v>
      </c>
    </row>
    <row r="529" spans="1:7" ht="14.5">
      <c r="A529" s="3">
        <v>45</v>
      </c>
      <c r="B529" s="4" t="s">
        <v>7</v>
      </c>
      <c r="C529" s="3">
        <v>27.5</v>
      </c>
      <c r="D529" s="3">
        <v>3</v>
      </c>
      <c r="E529" s="4" t="s">
        <v>8</v>
      </c>
      <c r="F529" s="4" t="s">
        <v>12</v>
      </c>
      <c r="G529" s="3">
        <v>8615.2999999999993</v>
      </c>
    </row>
    <row r="530" spans="1:7" ht="14.5">
      <c r="A530" s="3">
        <v>45</v>
      </c>
      <c r="B530" s="4" t="s">
        <v>7</v>
      </c>
      <c r="C530" s="3">
        <v>30.4</v>
      </c>
      <c r="D530" s="3">
        <v>0</v>
      </c>
      <c r="E530" s="4" t="s">
        <v>11</v>
      </c>
      <c r="F530" s="4" t="s">
        <v>14</v>
      </c>
      <c r="G530" s="3">
        <v>62592.87</v>
      </c>
    </row>
    <row r="531" spans="1:7" ht="14.5">
      <c r="A531" s="3">
        <v>44</v>
      </c>
      <c r="B531" s="4" t="s">
        <v>7</v>
      </c>
      <c r="C531" s="3">
        <v>27.4</v>
      </c>
      <c r="D531" s="3">
        <v>2</v>
      </c>
      <c r="E531" s="4" t="s">
        <v>8</v>
      </c>
      <c r="F531" s="4" t="s">
        <v>12</v>
      </c>
      <c r="G531" s="3">
        <v>7726.85</v>
      </c>
    </row>
    <row r="532" spans="1:7" ht="14.5">
      <c r="A532" s="3">
        <v>44</v>
      </c>
      <c r="B532" s="4" t="s">
        <v>7</v>
      </c>
      <c r="C532" s="3">
        <v>37.1</v>
      </c>
      <c r="D532" s="3">
        <v>2</v>
      </c>
      <c r="E532" s="4" t="s">
        <v>8</v>
      </c>
      <c r="F532" s="4" t="s">
        <v>12</v>
      </c>
      <c r="G532" s="3">
        <v>7740.34</v>
      </c>
    </row>
    <row r="533" spans="1:7" ht="14.5">
      <c r="A533" s="3">
        <v>44</v>
      </c>
      <c r="B533" s="4" t="s">
        <v>7</v>
      </c>
      <c r="C533" s="3">
        <v>31.4</v>
      </c>
      <c r="D533" s="3">
        <v>1</v>
      </c>
      <c r="E533" s="4" t="s">
        <v>11</v>
      </c>
      <c r="F533" s="4" t="s">
        <v>13</v>
      </c>
      <c r="G533" s="3">
        <v>39556.49</v>
      </c>
    </row>
    <row r="534" spans="1:7" ht="14.5">
      <c r="A534" s="3">
        <v>44</v>
      </c>
      <c r="B534" s="4" t="s">
        <v>7</v>
      </c>
      <c r="C534" s="3">
        <v>39.5</v>
      </c>
      <c r="D534" s="3">
        <v>0</v>
      </c>
      <c r="E534" s="4" t="s">
        <v>8</v>
      </c>
      <c r="F534" s="4" t="s">
        <v>9</v>
      </c>
      <c r="G534" s="3">
        <v>6948.7</v>
      </c>
    </row>
    <row r="535" spans="1:7" ht="14.5">
      <c r="A535" s="3">
        <v>44</v>
      </c>
      <c r="B535" s="4" t="s">
        <v>10</v>
      </c>
      <c r="C535" s="3">
        <v>26.4</v>
      </c>
      <c r="D535" s="3">
        <v>0</v>
      </c>
      <c r="E535" s="4" t="s">
        <v>8</v>
      </c>
      <c r="F535" s="4" t="s">
        <v>9</v>
      </c>
      <c r="G535" s="3">
        <v>7419.48</v>
      </c>
    </row>
    <row r="536" spans="1:7" ht="14.5">
      <c r="A536" s="3">
        <v>44</v>
      </c>
      <c r="B536" s="4" t="s">
        <v>7</v>
      </c>
      <c r="C536" s="3">
        <v>30.7</v>
      </c>
      <c r="D536" s="3">
        <v>2</v>
      </c>
      <c r="E536" s="4" t="s">
        <v>8</v>
      </c>
      <c r="F536" s="4" t="s">
        <v>14</v>
      </c>
      <c r="G536" s="3">
        <v>7731.43</v>
      </c>
    </row>
    <row r="537" spans="1:7" ht="14.5">
      <c r="A537" s="3">
        <v>44</v>
      </c>
      <c r="B537" s="4" t="s">
        <v>7</v>
      </c>
      <c r="C537" s="3">
        <v>38.1</v>
      </c>
      <c r="D537" s="3">
        <v>1</v>
      </c>
      <c r="E537" s="4" t="s">
        <v>8</v>
      </c>
      <c r="F537" s="4" t="s">
        <v>14</v>
      </c>
      <c r="G537" s="3">
        <v>7152.67</v>
      </c>
    </row>
    <row r="538" spans="1:7" ht="14.5">
      <c r="A538" s="3">
        <v>44</v>
      </c>
      <c r="B538" s="4" t="s">
        <v>10</v>
      </c>
      <c r="C538" s="3">
        <v>27.6</v>
      </c>
      <c r="D538" s="3">
        <v>0</v>
      </c>
      <c r="E538" s="4" t="s">
        <v>8</v>
      </c>
      <c r="F538" s="4" t="s">
        <v>9</v>
      </c>
      <c r="G538" s="3">
        <v>7421.19</v>
      </c>
    </row>
    <row r="539" spans="1:7" ht="14.5">
      <c r="A539" s="3">
        <v>44</v>
      </c>
      <c r="B539" s="4" t="s">
        <v>7</v>
      </c>
      <c r="C539" s="3">
        <v>32</v>
      </c>
      <c r="D539" s="3">
        <v>2</v>
      </c>
      <c r="E539" s="4" t="s">
        <v>8</v>
      </c>
      <c r="F539" s="4" t="s">
        <v>9</v>
      </c>
      <c r="G539" s="3">
        <v>8116.27</v>
      </c>
    </row>
    <row r="540" spans="1:7" ht="14.5">
      <c r="A540" s="3">
        <v>44</v>
      </c>
      <c r="B540" s="4" t="s">
        <v>7</v>
      </c>
      <c r="C540" s="3">
        <v>22.1</v>
      </c>
      <c r="D540" s="3">
        <v>2</v>
      </c>
      <c r="E540" s="4" t="s">
        <v>8</v>
      </c>
      <c r="F540" s="4" t="s">
        <v>13</v>
      </c>
      <c r="G540" s="3">
        <v>8302.5400000000009</v>
      </c>
    </row>
    <row r="541" spans="1:7" ht="14.5">
      <c r="A541" s="3">
        <v>44</v>
      </c>
      <c r="B541" s="4" t="s">
        <v>10</v>
      </c>
      <c r="C541" s="3">
        <v>20.2</v>
      </c>
      <c r="D541" s="3">
        <v>1</v>
      </c>
      <c r="E541" s="4" t="s">
        <v>11</v>
      </c>
      <c r="F541" s="4" t="s">
        <v>13</v>
      </c>
      <c r="G541" s="3">
        <v>19594.810000000001</v>
      </c>
    </row>
    <row r="542" spans="1:7" ht="14.5">
      <c r="A542" s="3">
        <v>44</v>
      </c>
      <c r="B542" s="4" t="s">
        <v>10</v>
      </c>
      <c r="C542" s="3">
        <v>38.1</v>
      </c>
      <c r="D542" s="3">
        <v>0</v>
      </c>
      <c r="E542" s="4" t="s">
        <v>11</v>
      </c>
      <c r="F542" s="4" t="s">
        <v>14</v>
      </c>
      <c r="G542" s="3">
        <v>48885.14</v>
      </c>
    </row>
    <row r="543" spans="1:7" ht="14.5">
      <c r="A543" s="3">
        <v>44</v>
      </c>
      <c r="B543" s="4" t="s">
        <v>10</v>
      </c>
      <c r="C543" s="3">
        <v>24</v>
      </c>
      <c r="D543" s="3">
        <v>2</v>
      </c>
      <c r="E543" s="4" t="s">
        <v>8</v>
      </c>
      <c r="F543" s="4" t="s">
        <v>14</v>
      </c>
      <c r="G543" s="3">
        <v>8211.1</v>
      </c>
    </row>
    <row r="544" spans="1:7" ht="14.5">
      <c r="A544" s="3">
        <v>44</v>
      </c>
      <c r="B544" s="4" t="s">
        <v>10</v>
      </c>
      <c r="C544" s="3">
        <v>39</v>
      </c>
      <c r="D544" s="3">
        <v>0</v>
      </c>
      <c r="E544" s="4" t="s">
        <v>11</v>
      </c>
      <c r="F544" s="4" t="s">
        <v>9</v>
      </c>
      <c r="G544" s="3">
        <v>42983.46</v>
      </c>
    </row>
    <row r="545" spans="1:7" ht="14.5">
      <c r="A545" s="3">
        <v>44</v>
      </c>
      <c r="B545" s="4" t="s">
        <v>10</v>
      </c>
      <c r="C545" s="3">
        <v>43.9</v>
      </c>
      <c r="D545" s="3">
        <v>2</v>
      </c>
      <c r="E545" s="4" t="s">
        <v>11</v>
      </c>
      <c r="F545" s="4" t="s">
        <v>14</v>
      </c>
      <c r="G545" s="3">
        <v>46200.99</v>
      </c>
    </row>
    <row r="546" spans="1:7" ht="14.5">
      <c r="A546" s="3">
        <v>44</v>
      </c>
      <c r="B546" s="4" t="s">
        <v>10</v>
      </c>
      <c r="C546" s="3">
        <v>36.5</v>
      </c>
      <c r="D546" s="3">
        <v>0</v>
      </c>
      <c r="E546" s="4" t="s">
        <v>8</v>
      </c>
      <c r="F546" s="4" t="s">
        <v>13</v>
      </c>
      <c r="G546" s="3">
        <v>12797.21</v>
      </c>
    </row>
    <row r="547" spans="1:7" ht="14.5">
      <c r="A547" s="3">
        <v>44</v>
      </c>
      <c r="B547" s="4" t="s">
        <v>10</v>
      </c>
      <c r="C547" s="3">
        <v>29.8</v>
      </c>
      <c r="D547" s="3">
        <v>2</v>
      </c>
      <c r="E547" s="4" t="s">
        <v>8</v>
      </c>
      <c r="F547" s="4" t="s">
        <v>14</v>
      </c>
      <c r="G547" s="3">
        <v>8219.2000000000007</v>
      </c>
    </row>
    <row r="548" spans="1:7" ht="14.5">
      <c r="A548" s="3">
        <v>44</v>
      </c>
      <c r="B548" s="4" t="s">
        <v>7</v>
      </c>
      <c r="C548" s="3">
        <v>21.9</v>
      </c>
      <c r="D548" s="3">
        <v>3</v>
      </c>
      <c r="E548" s="4" t="s">
        <v>8</v>
      </c>
      <c r="F548" s="4" t="s">
        <v>13</v>
      </c>
      <c r="G548" s="3">
        <v>8891.14</v>
      </c>
    </row>
    <row r="549" spans="1:7" ht="14.5">
      <c r="A549" s="3">
        <v>44</v>
      </c>
      <c r="B549" s="4" t="s">
        <v>10</v>
      </c>
      <c r="C549" s="3">
        <v>32.299999999999997</v>
      </c>
      <c r="D549" s="3">
        <v>1</v>
      </c>
      <c r="E549" s="4" t="s">
        <v>8</v>
      </c>
      <c r="F549" s="4" t="s">
        <v>14</v>
      </c>
      <c r="G549" s="3">
        <v>7633.72</v>
      </c>
    </row>
    <row r="550" spans="1:7" ht="14.5">
      <c r="A550" s="3">
        <v>44</v>
      </c>
      <c r="B550" s="4" t="s">
        <v>10</v>
      </c>
      <c r="C550" s="3">
        <v>27.5</v>
      </c>
      <c r="D550" s="3">
        <v>1</v>
      </c>
      <c r="E550" s="4" t="s">
        <v>8</v>
      </c>
      <c r="F550" s="4" t="s">
        <v>12</v>
      </c>
      <c r="G550" s="3">
        <v>7626.99</v>
      </c>
    </row>
    <row r="551" spans="1:7" ht="14.5">
      <c r="A551" s="3">
        <v>44</v>
      </c>
      <c r="B551" s="4" t="s">
        <v>7</v>
      </c>
      <c r="C551" s="3">
        <v>29.7</v>
      </c>
      <c r="D551" s="3">
        <v>2</v>
      </c>
      <c r="E551" s="4" t="s">
        <v>8</v>
      </c>
      <c r="F551" s="4" t="s">
        <v>13</v>
      </c>
      <c r="G551" s="3">
        <v>32108.66</v>
      </c>
    </row>
    <row r="552" spans="1:7" ht="14.5">
      <c r="A552" s="3">
        <v>44</v>
      </c>
      <c r="B552" s="4" t="s">
        <v>7</v>
      </c>
      <c r="C552" s="3">
        <v>30.2</v>
      </c>
      <c r="D552" s="3">
        <v>2</v>
      </c>
      <c r="E552" s="4" t="s">
        <v>11</v>
      </c>
      <c r="F552" s="4" t="s">
        <v>12</v>
      </c>
      <c r="G552" s="3">
        <v>38998.550000000003</v>
      </c>
    </row>
    <row r="553" spans="1:7" ht="14.5">
      <c r="A553" s="3">
        <v>44</v>
      </c>
      <c r="B553" s="4" t="s">
        <v>7</v>
      </c>
      <c r="C553" s="3">
        <v>25.4</v>
      </c>
      <c r="D553" s="3">
        <v>1</v>
      </c>
      <c r="E553" s="4" t="s">
        <v>8</v>
      </c>
      <c r="F553" s="4" t="s">
        <v>9</v>
      </c>
      <c r="G553" s="3">
        <v>7518.03</v>
      </c>
    </row>
    <row r="554" spans="1:7" ht="14.5">
      <c r="A554" s="3">
        <v>44</v>
      </c>
      <c r="B554" s="4" t="s">
        <v>10</v>
      </c>
      <c r="C554" s="3">
        <v>25.8</v>
      </c>
      <c r="D554" s="3">
        <v>1</v>
      </c>
      <c r="E554" s="4" t="s">
        <v>8</v>
      </c>
      <c r="F554" s="4" t="s">
        <v>12</v>
      </c>
      <c r="G554" s="3">
        <v>7624.63</v>
      </c>
    </row>
    <row r="555" spans="1:7" ht="14.5">
      <c r="A555" s="3">
        <v>44</v>
      </c>
      <c r="B555" s="4" t="s">
        <v>10</v>
      </c>
      <c r="C555" s="3">
        <v>37</v>
      </c>
      <c r="D555" s="3">
        <v>1</v>
      </c>
      <c r="E555" s="4" t="s">
        <v>8</v>
      </c>
      <c r="F555" s="4" t="s">
        <v>9</v>
      </c>
      <c r="G555" s="3">
        <v>8023.14</v>
      </c>
    </row>
    <row r="556" spans="1:7" ht="14.5">
      <c r="A556" s="3">
        <v>44</v>
      </c>
      <c r="B556" s="4" t="s">
        <v>10</v>
      </c>
      <c r="C556" s="3">
        <v>25</v>
      </c>
      <c r="D556" s="3">
        <v>1</v>
      </c>
      <c r="E556" s="4" t="s">
        <v>8</v>
      </c>
      <c r="F556" s="4" t="s">
        <v>12</v>
      </c>
      <c r="G556" s="3">
        <v>7623.52</v>
      </c>
    </row>
    <row r="557" spans="1:7" ht="14.5">
      <c r="A557" s="3">
        <v>44</v>
      </c>
      <c r="B557" s="4" t="s">
        <v>7</v>
      </c>
      <c r="C557" s="3">
        <v>34.299999999999997</v>
      </c>
      <c r="D557" s="3">
        <v>1</v>
      </c>
      <c r="E557" s="4" t="s">
        <v>8</v>
      </c>
      <c r="F557" s="4" t="s">
        <v>14</v>
      </c>
      <c r="G557" s="3">
        <v>7147.47</v>
      </c>
    </row>
    <row r="558" spans="1:7" ht="14.5">
      <c r="A558" s="3">
        <v>43</v>
      </c>
      <c r="B558" s="4" t="s">
        <v>7</v>
      </c>
      <c r="C558" s="3">
        <v>27.4</v>
      </c>
      <c r="D558" s="3">
        <v>3</v>
      </c>
      <c r="E558" s="4" t="s">
        <v>8</v>
      </c>
      <c r="F558" s="4" t="s">
        <v>13</v>
      </c>
      <c r="G558" s="3">
        <v>8606.2199999999993</v>
      </c>
    </row>
    <row r="559" spans="1:7" ht="14.5">
      <c r="A559" s="3">
        <v>43</v>
      </c>
      <c r="B559" s="4" t="s">
        <v>7</v>
      </c>
      <c r="C559" s="3">
        <v>36</v>
      </c>
      <c r="D559" s="3">
        <v>3</v>
      </c>
      <c r="E559" s="4" t="s">
        <v>11</v>
      </c>
      <c r="F559" s="4" t="s">
        <v>14</v>
      </c>
      <c r="G559" s="3">
        <v>42124.52</v>
      </c>
    </row>
    <row r="560" spans="1:7" ht="14.5">
      <c r="A560" s="3">
        <v>43</v>
      </c>
      <c r="B560" s="4" t="s">
        <v>10</v>
      </c>
      <c r="C560" s="3">
        <v>35.700000000000003</v>
      </c>
      <c r="D560" s="3">
        <v>2</v>
      </c>
      <c r="E560" s="4" t="s">
        <v>8</v>
      </c>
      <c r="F560" s="4" t="s">
        <v>13</v>
      </c>
      <c r="G560" s="3">
        <v>19144.580000000002</v>
      </c>
    </row>
    <row r="561" spans="1:7" ht="14.5">
      <c r="A561" s="3">
        <v>43</v>
      </c>
      <c r="B561" s="4" t="s">
        <v>10</v>
      </c>
      <c r="C561" s="3">
        <v>34.4</v>
      </c>
      <c r="D561" s="3">
        <v>3</v>
      </c>
      <c r="E561" s="4" t="s">
        <v>8</v>
      </c>
      <c r="F561" s="4" t="s">
        <v>12</v>
      </c>
      <c r="G561" s="3">
        <v>8522</v>
      </c>
    </row>
    <row r="562" spans="1:7" ht="14.5">
      <c r="A562" s="3">
        <v>43</v>
      </c>
      <c r="B562" s="4" t="s">
        <v>10</v>
      </c>
      <c r="C562" s="3">
        <v>35.6</v>
      </c>
      <c r="D562" s="3">
        <v>1</v>
      </c>
      <c r="E562" s="4" t="s">
        <v>8</v>
      </c>
      <c r="F562" s="4" t="s">
        <v>14</v>
      </c>
      <c r="G562" s="3">
        <v>7345.73</v>
      </c>
    </row>
    <row r="563" spans="1:7" ht="14.5">
      <c r="A563" s="3">
        <v>43</v>
      </c>
      <c r="B563" s="4" t="s">
        <v>7</v>
      </c>
      <c r="C563" s="3">
        <v>26</v>
      </c>
      <c r="D563" s="3">
        <v>0</v>
      </c>
      <c r="E563" s="4" t="s">
        <v>8</v>
      </c>
      <c r="F563" s="4" t="s">
        <v>13</v>
      </c>
      <c r="G563" s="3">
        <v>6837.37</v>
      </c>
    </row>
    <row r="564" spans="1:7" ht="14.5">
      <c r="A564" s="3">
        <v>43</v>
      </c>
      <c r="B564" s="4" t="s">
        <v>10</v>
      </c>
      <c r="C564" s="3">
        <v>46.2</v>
      </c>
      <c r="D564" s="3">
        <v>0</v>
      </c>
      <c r="E564" s="4" t="s">
        <v>11</v>
      </c>
      <c r="F564" s="4" t="s">
        <v>14</v>
      </c>
      <c r="G564" s="3">
        <v>45863.21</v>
      </c>
    </row>
    <row r="565" spans="1:7" ht="14.5">
      <c r="A565" s="3">
        <v>43</v>
      </c>
      <c r="B565" s="4" t="s">
        <v>7</v>
      </c>
      <c r="C565" s="3">
        <v>32.6</v>
      </c>
      <c r="D565" s="3">
        <v>2</v>
      </c>
      <c r="E565" s="4" t="s">
        <v>8</v>
      </c>
      <c r="F565" s="4" t="s">
        <v>12</v>
      </c>
      <c r="G565" s="3">
        <v>7441.5</v>
      </c>
    </row>
    <row r="566" spans="1:7" ht="14.5">
      <c r="A566" s="3">
        <v>43</v>
      </c>
      <c r="B566" s="4" t="s">
        <v>7</v>
      </c>
      <c r="C566" s="3">
        <v>35.299999999999997</v>
      </c>
      <c r="D566" s="3">
        <v>2</v>
      </c>
      <c r="E566" s="4" t="s">
        <v>8</v>
      </c>
      <c r="F566" s="4" t="s">
        <v>14</v>
      </c>
      <c r="G566" s="3">
        <v>18806.150000000001</v>
      </c>
    </row>
    <row r="567" spans="1:7" ht="14.5">
      <c r="A567" s="3">
        <v>43</v>
      </c>
      <c r="B567" s="4" t="s">
        <v>7</v>
      </c>
      <c r="C567" s="3">
        <v>38.1</v>
      </c>
      <c r="D567" s="3">
        <v>2</v>
      </c>
      <c r="E567" s="4" t="s">
        <v>11</v>
      </c>
      <c r="F567" s="4" t="s">
        <v>14</v>
      </c>
      <c r="G567" s="3">
        <v>42560.43</v>
      </c>
    </row>
    <row r="568" spans="1:7" ht="14.5">
      <c r="A568" s="3">
        <v>43</v>
      </c>
      <c r="B568" s="4" t="s">
        <v>10</v>
      </c>
      <c r="C568" s="3">
        <v>30.7</v>
      </c>
      <c r="D568" s="3">
        <v>2</v>
      </c>
      <c r="E568" s="4" t="s">
        <v>8</v>
      </c>
      <c r="F568" s="4" t="s">
        <v>9</v>
      </c>
      <c r="G568" s="3">
        <v>8310.84</v>
      </c>
    </row>
    <row r="569" spans="1:7" ht="14.5">
      <c r="A569" s="3">
        <v>43</v>
      </c>
      <c r="B569" s="4" t="s">
        <v>7</v>
      </c>
      <c r="C569" s="3">
        <v>30.1</v>
      </c>
      <c r="D569" s="3">
        <v>1</v>
      </c>
      <c r="E569" s="4" t="s">
        <v>8</v>
      </c>
      <c r="F569" s="4" t="s">
        <v>12</v>
      </c>
      <c r="G569" s="3">
        <v>6849.03</v>
      </c>
    </row>
    <row r="570" spans="1:7" ht="14.5">
      <c r="A570" s="3">
        <v>43</v>
      </c>
      <c r="B570" s="4" t="s">
        <v>10</v>
      </c>
      <c r="C570" s="3">
        <v>20</v>
      </c>
      <c r="D570" s="3">
        <v>2</v>
      </c>
      <c r="E570" s="4" t="s">
        <v>11</v>
      </c>
      <c r="F570" s="4" t="s">
        <v>13</v>
      </c>
      <c r="G570" s="3">
        <v>19798.05</v>
      </c>
    </row>
    <row r="571" spans="1:7" ht="14.5">
      <c r="A571" s="3">
        <v>43</v>
      </c>
      <c r="B571" s="4" t="s">
        <v>10</v>
      </c>
      <c r="C571" s="3">
        <v>26.9</v>
      </c>
      <c r="D571" s="3">
        <v>0</v>
      </c>
      <c r="E571" s="4" t="s">
        <v>11</v>
      </c>
      <c r="F571" s="4" t="s">
        <v>9</v>
      </c>
      <c r="G571" s="3">
        <v>21774.32</v>
      </c>
    </row>
    <row r="572" spans="1:7" ht="14.5">
      <c r="A572" s="3">
        <v>43</v>
      </c>
      <c r="B572" s="4" t="s">
        <v>7</v>
      </c>
      <c r="C572" s="3">
        <v>23.2</v>
      </c>
      <c r="D572" s="3">
        <v>0</v>
      </c>
      <c r="E572" s="4" t="s">
        <v>8</v>
      </c>
      <c r="F572" s="4" t="s">
        <v>12</v>
      </c>
      <c r="G572" s="3">
        <v>6250.44</v>
      </c>
    </row>
    <row r="573" spans="1:7" ht="14.5">
      <c r="A573" s="3">
        <v>43</v>
      </c>
      <c r="B573" s="4" t="s">
        <v>7</v>
      </c>
      <c r="C573" s="3">
        <v>35</v>
      </c>
      <c r="D573" s="3">
        <v>1</v>
      </c>
      <c r="E573" s="4" t="s">
        <v>11</v>
      </c>
      <c r="F573" s="4" t="s">
        <v>13</v>
      </c>
      <c r="G573" s="3">
        <v>41034.22</v>
      </c>
    </row>
    <row r="574" spans="1:7" ht="14.5">
      <c r="A574" s="3">
        <v>43</v>
      </c>
      <c r="B574" s="4" t="s">
        <v>7</v>
      </c>
      <c r="C574" s="3">
        <v>30.1</v>
      </c>
      <c r="D574" s="3">
        <v>3</v>
      </c>
      <c r="E574" s="4" t="s">
        <v>8</v>
      </c>
      <c r="F574" s="4" t="s">
        <v>9</v>
      </c>
      <c r="G574" s="3">
        <v>8410.0499999999993</v>
      </c>
    </row>
    <row r="575" spans="1:7" ht="14.5">
      <c r="A575" s="3">
        <v>43</v>
      </c>
      <c r="B575" s="4" t="s">
        <v>7</v>
      </c>
      <c r="C575" s="3">
        <v>20.100000000000001</v>
      </c>
      <c r="D575" s="3">
        <v>2</v>
      </c>
      <c r="E575" s="4" t="s">
        <v>11</v>
      </c>
      <c r="F575" s="4" t="s">
        <v>14</v>
      </c>
      <c r="G575" s="3">
        <v>18767.740000000002</v>
      </c>
    </row>
    <row r="576" spans="1:7" ht="14.5">
      <c r="A576" s="3">
        <v>43</v>
      </c>
      <c r="B576" s="4" t="s">
        <v>10</v>
      </c>
      <c r="C576" s="3">
        <v>24.7</v>
      </c>
      <c r="D576" s="3">
        <v>2</v>
      </c>
      <c r="E576" s="4" t="s">
        <v>11</v>
      </c>
      <c r="F576" s="4" t="s">
        <v>9</v>
      </c>
      <c r="G576" s="3">
        <v>21880.82</v>
      </c>
    </row>
    <row r="577" spans="1:7" ht="14.5">
      <c r="A577" s="3">
        <v>43</v>
      </c>
      <c r="B577" s="4" t="s">
        <v>10</v>
      </c>
      <c r="C577" s="3">
        <v>25.1</v>
      </c>
      <c r="D577" s="3">
        <v>0</v>
      </c>
      <c r="E577" s="4" t="s">
        <v>8</v>
      </c>
      <c r="F577" s="4" t="s">
        <v>13</v>
      </c>
      <c r="G577" s="3">
        <v>7325.05</v>
      </c>
    </row>
    <row r="578" spans="1:7" ht="14.5">
      <c r="A578" s="3">
        <v>43</v>
      </c>
      <c r="B578" s="4" t="s">
        <v>10</v>
      </c>
      <c r="C578" s="3">
        <v>32.6</v>
      </c>
      <c r="D578" s="3">
        <v>3</v>
      </c>
      <c r="E578" s="4" t="s">
        <v>11</v>
      </c>
      <c r="F578" s="4" t="s">
        <v>14</v>
      </c>
      <c r="G578" s="3">
        <v>40941.29</v>
      </c>
    </row>
    <row r="579" spans="1:7" ht="14.5">
      <c r="A579" s="3">
        <v>43</v>
      </c>
      <c r="B579" s="4" t="s">
        <v>10</v>
      </c>
      <c r="C579" s="3">
        <v>34.6</v>
      </c>
      <c r="D579" s="3">
        <v>1</v>
      </c>
      <c r="E579" s="4" t="s">
        <v>8</v>
      </c>
      <c r="F579" s="4" t="s">
        <v>9</v>
      </c>
      <c r="G579" s="3">
        <v>7727.25</v>
      </c>
    </row>
    <row r="580" spans="1:7" ht="14.5">
      <c r="A580" s="3">
        <v>43</v>
      </c>
      <c r="B580" s="4" t="s">
        <v>10</v>
      </c>
      <c r="C580" s="3">
        <v>26.7</v>
      </c>
      <c r="D580" s="3">
        <v>2</v>
      </c>
      <c r="E580" s="4" t="s">
        <v>11</v>
      </c>
      <c r="F580" s="4" t="s">
        <v>12</v>
      </c>
      <c r="G580" s="3">
        <v>22478.6</v>
      </c>
    </row>
    <row r="581" spans="1:7" ht="14.5">
      <c r="A581" s="3">
        <v>43</v>
      </c>
      <c r="B581" s="4" t="s">
        <v>10</v>
      </c>
      <c r="C581" s="3">
        <v>25.3</v>
      </c>
      <c r="D581" s="3">
        <v>1</v>
      </c>
      <c r="E581" s="4" t="s">
        <v>11</v>
      </c>
      <c r="F581" s="4" t="s">
        <v>13</v>
      </c>
      <c r="G581" s="3">
        <v>21771.34</v>
      </c>
    </row>
    <row r="582" spans="1:7" ht="14.5">
      <c r="A582" s="3">
        <v>43</v>
      </c>
      <c r="B582" s="4" t="s">
        <v>10</v>
      </c>
      <c r="C582" s="3">
        <v>29.9</v>
      </c>
      <c r="D582" s="3">
        <v>1</v>
      </c>
      <c r="E582" s="4" t="s">
        <v>8</v>
      </c>
      <c r="F582" s="4" t="s">
        <v>12</v>
      </c>
      <c r="G582" s="3">
        <v>7337.75</v>
      </c>
    </row>
    <row r="583" spans="1:7" ht="14.5">
      <c r="A583" s="3">
        <v>43</v>
      </c>
      <c r="B583" s="4" t="s">
        <v>7</v>
      </c>
      <c r="C583" s="3">
        <v>25.5</v>
      </c>
      <c r="D583" s="3">
        <v>5</v>
      </c>
      <c r="E583" s="4" t="s">
        <v>8</v>
      </c>
      <c r="F583" s="4" t="s">
        <v>14</v>
      </c>
      <c r="G583" s="3">
        <v>14478.33</v>
      </c>
    </row>
    <row r="584" spans="1:7" ht="14.5">
      <c r="A584" s="3">
        <v>43</v>
      </c>
      <c r="B584" s="4" t="s">
        <v>7</v>
      </c>
      <c r="C584" s="3">
        <v>27.8</v>
      </c>
      <c r="D584" s="3">
        <v>0</v>
      </c>
      <c r="E584" s="4" t="s">
        <v>11</v>
      </c>
      <c r="F584" s="4" t="s">
        <v>12</v>
      </c>
      <c r="G584" s="3">
        <v>37829.72</v>
      </c>
    </row>
    <row r="585" spans="1:7" ht="14.5">
      <c r="A585" s="3">
        <v>42</v>
      </c>
      <c r="B585" s="4" t="s">
        <v>10</v>
      </c>
      <c r="C585" s="3">
        <v>23.4</v>
      </c>
      <c r="D585" s="3">
        <v>0</v>
      </c>
      <c r="E585" s="4" t="s">
        <v>11</v>
      </c>
      <c r="F585" s="4" t="s">
        <v>13</v>
      </c>
      <c r="G585" s="3">
        <v>19964.75</v>
      </c>
    </row>
    <row r="586" spans="1:7" ht="14.5">
      <c r="A586" s="3">
        <v>42</v>
      </c>
      <c r="B586" s="4" t="s">
        <v>10</v>
      </c>
      <c r="C586" s="3">
        <v>26.6</v>
      </c>
      <c r="D586" s="3">
        <v>0</v>
      </c>
      <c r="E586" s="4" t="s">
        <v>11</v>
      </c>
      <c r="F586" s="4" t="s">
        <v>9</v>
      </c>
      <c r="G586" s="3">
        <v>21348.71</v>
      </c>
    </row>
    <row r="587" spans="1:7" ht="14.5">
      <c r="A587" s="3">
        <v>42</v>
      </c>
      <c r="B587" s="4" t="s">
        <v>7</v>
      </c>
      <c r="C587" s="3">
        <v>24.6</v>
      </c>
      <c r="D587" s="3">
        <v>0</v>
      </c>
      <c r="E587" s="4" t="s">
        <v>11</v>
      </c>
      <c r="F587" s="4" t="s">
        <v>14</v>
      </c>
      <c r="G587" s="3">
        <v>19515.54</v>
      </c>
    </row>
    <row r="588" spans="1:7" ht="14.5">
      <c r="A588" s="3">
        <v>42</v>
      </c>
      <c r="B588" s="4" t="s">
        <v>10</v>
      </c>
      <c r="C588" s="3">
        <v>36.200000000000003</v>
      </c>
      <c r="D588" s="3">
        <v>1</v>
      </c>
      <c r="E588" s="4" t="s">
        <v>8</v>
      </c>
      <c r="F588" s="4" t="s">
        <v>9</v>
      </c>
      <c r="G588" s="3">
        <v>7443.64</v>
      </c>
    </row>
    <row r="589" spans="1:7" ht="14.5">
      <c r="A589" s="3">
        <v>42</v>
      </c>
      <c r="B589" s="4" t="s">
        <v>10</v>
      </c>
      <c r="C589" s="3">
        <v>25</v>
      </c>
      <c r="D589" s="3">
        <v>2</v>
      </c>
      <c r="E589" s="4" t="s">
        <v>8</v>
      </c>
      <c r="F589" s="4" t="s">
        <v>9</v>
      </c>
      <c r="G589" s="3">
        <v>8017.06</v>
      </c>
    </row>
    <row r="590" spans="1:7" ht="14.5">
      <c r="A590" s="3">
        <v>42</v>
      </c>
      <c r="B590" s="4" t="s">
        <v>10</v>
      </c>
      <c r="C590" s="3">
        <v>33.200000000000003</v>
      </c>
      <c r="D590" s="3">
        <v>1</v>
      </c>
      <c r="E590" s="4" t="s">
        <v>8</v>
      </c>
      <c r="F590" s="4" t="s">
        <v>13</v>
      </c>
      <c r="G590" s="3">
        <v>7639.42</v>
      </c>
    </row>
    <row r="591" spans="1:7" ht="14.5">
      <c r="A591" s="3">
        <v>42</v>
      </c>
      <c r="B591" s="4" t="s">
        <v>7</v>
      </c>
      <c r="C591" s="3">
        <v>26.9</v>
      </c>
      <c r="D591" s="3">
        <v>0</v>
      </c>
      <c r="E591" s="4" t="s">
        <v>8</v>
      </c>
      <c r="F591" s="4" t="s">
        <v>12</v>
      </c>
      <c r="G591" s="3">
        <v>5969.72</v>
      </c>
    </row>
    <row r="592" spans="1:7" ht="14.5">
      <c r="A592" s="3">
        <v>42</v>
      </c>
      <c r="B592" s="4" t="s">
        <v>7</v>
      </c>
      <c r="C592" s="3">
        <v>30</v>
      </c>
      <c r="D592" s="3">
        <v>0</v>
      </c>
      <c r="E592" s="4" t="s">
        <v>11</v>
      </c>
      <c r="F592" s="4" t="s">
        <v>12</v>
      </c>
      <c r="G592" s="3">
        <v>22144.03</v>
      </c>
    </row>
    <row r="593" spans="1:7" ht="14.5">
      <c r="A593" s="3">
        <v>42</v>
      </c>
      <c r="B593" s="4" t="s">
        <v>7</v>
      </c>
      <c r="C593" s="3">
        <v>26.1</v>
      </c>
      <c r="D593" s="3">
        <v>1</v>
      </c>
      <c r="E593" s="4" t="s">
        <v>11</v>
      </c>
      <c r="F593" s="4" t="s">
        <v>14</v>
      </c>
      <c r="G593" s="3">
        <v>38245.589999999997</v>
      </c>
    </row>
    <row r="594" spans="1:7" ht="14.5">
      <c r="A594" s="3">
        <v>42</v>
      </c>
      <c r="B594" s="4" t="s">
        <v>10</v>
      </c>
      <c r="C594" s="3">
        <v>29.5</v>
      </c>
      <c r="D594" s="3">
        <v>2</v>
      </c>
      <c r="E594" s="4" t="s">
        <v>8</v>
      </c>
      <c r="F594" s="4" t="s">
        <v>14</v>
      </c>
      <c r="G594" s="3">
        <v>7640.31</v>
      </c>
    </row>
    <row r="595" spans="1:7" ht="14.5">
      <c r="A595" s="3">
        <v>42</v>
      </c>
      <c r="B595" s="4" t="s">
        <v>7</v>
      </c>
      <c r="C595" s="3">
        <v>28.3</v>
      </c>
      <c r="D595" s="3">
        <v>3</v>
      </c>
      <c r="E595" s="4" t="s">
        <v>11</v>
      </c>
      <c r="F595" s="4" t="s">
        <v>9</v>
      </c>
      <c r="G595" s="3">
        <v>32787.46</v>
      </c>
    </row>
    <row r="596" spans="1:7" ht="14.5">
      <c r="A596" s="3">
        <v>42</v>
      </c>
      <c r="B596" s="4" t="s">
        <v>7</v>
      </c>
      <c r="C596" s="3">
        <v>26.1</v>
      </c>
      <c r="D596" s="3">
        <v>2</v>
      </c>
      <c r="E596" s="4" t="s">
        <v>8</v>
      </c>
      <c r="F596" s="4" t="s">
        <v>13</v>
      </c>
      <c r="G596" s="3">
        <v>7729.65</v>
      </c>
    </row>
    <row r="597" spans="1:7" ht="14.5">
      <c r="A597" s="3">
        <v>42</v>
      </c>
      <c r="B597" s="4" t="s">
        <v>10</v>
      </c>
      <c r="C597" s="3">
        <v>29</v>
      </c>
      <c r="D597" s="3">
        <v>1</v>
      </c>
      <c r="E597" s="4" t="s">
        <v>8</v>
      </c>
      <c r="F597" s="4" t="s">
        <v>12</v>
      </c>
      <c r="G597" s="3">
        <v>7050.64</v>
      </c>
    </row>
    <row r="598" spans="1:7" ht="14.5">
      <c r="A598" s="3">
        <v>42</v>
      </c>
      <c r="B598" s="4" t="s">
        <v>10</v>
      </c>
      <c r="C598" s="3">
        <v>26.2</v>
      </c>
      <c r="D598" s="3">
        <v>1</v>
      </c>
      <c r="E598" s="4" t="s">
        <v>8</v>
      </c>
      <c r="F598" s="4" t="s">
        <v>14</v>
      </c>
      <c r="G598" s="3">
        <v>7046.72</v>
      </c>
    </row>
    <row r="599" spans="1:7" ht="14.5">
      <c r="A599" s="3">
        <v>42</v>
      </c>
      <c r="B599" s="4" t="s">
        <v>7</v>
      </c>
      <c r="C599" s="3">
        <v>36</v>
      </c>
      <c r="D599" s="3">
        <v>2</v>
      </c>
      <c r="E599" s="4" t="s">
        <v>8</v>
      </c>
      <c r="F599" s="4" t="s">
        <v>14</v>
      </c>
      <c r="G599" s="3">
        <v>7160.33</v>
      </c>
    </row>
    <row r="600" spans="1:7" ht="14.5">
      <c r="A600" s="3">
        <v>42</v>
      </c>
      <c r="B600" s="4" t="s">
        <v>7</v>
      </c>
      <c r="C600" s="3">
        <v>24.9</v>
      </c>
      <c r="D600" s="3">
        <v>0</v>
      </c>
      <c r="E600" s="4" t="s">
        <v>8</v>
      </c>
      <c r="F600" s="4" t="s">
        <v>14</v>
      </c>
      <c r="G600" s="3">
        <v>5966.89</v>
      </c>
    </row>
    <row r="601" spans="1:7" ht="14.5">
      <c r="A601" s="3">
        <v>42</v>
      </c>
      <c r="B601" s="4" t="s">
        <v>7</v>
      </c>
      <c r="C601" s="3">
        <v>35.799999999999997</v>
      </c>
      <c r="D601" s="3">
        <v>2</v>
      </c>
      <c r="E601" s="4" t="s">
        <v>8</v>
      </c>
      <c r="F601" s="4" t="s">
        <v>12</v>
      </c>
      <c r="G601" s="3">
        <v>7160.09</v>
      </c>
    </row>
    <row r="602" spans="1:7" ht="14.5">
      <c r="A602" s="3">
        <v>42</v>
      </c>
      <c r="B602" s="4" t="s">
        <v>7</v>
      </c>
      <c r="C602" s="3">
        <v>31.3</v>
      </c>
      <c r="D602" s="3">
        <v>0</v>
      </c>
      <c r="E602" s="4" t="s">
        <v>8</v>
      </c>
      <c r="F602" s="4" t="s">
        <v>9</v>
      </c>
      <c r="G602" s="3">
        <v>6358.78</v>
      </c>
    </row>
    <row r="603" spans="1:7" ht="14.5">
      <c r="A603" s="3">
        <v>42</v>
      </c>
      <c r="B603" s="4" t="s">
        <v>10</v>
      </c>
      <c r="C603" s="3">
        <v>25.3</v>
      </c>
      <c r="D603" s="3">
        <v>1</v>
      </c>
      <c r="E603" s="4" t="s">
        <v>8</v>
      </c>
      <c r="F603" s="4" t="s">
        <v>12</v>
      </c>
      <c r="G603" s="3">
        <v>7045.5</v>
      </c>
    </row>
    <row r="604" spans="1:7" ht="14.5">
      <c r="A604" s="3">
        <v>42</v>
      </c>
      <c r="B604" s="4" t="s">
        <v>7</v>
      </c>
      <c r="C604" s="3">
        <v>34.1</v>
      </c>
      <c r="D604" s="3">
        <v>0</v>
      </c>
      <c r="E604" s="4" t="s">
        <v>8</v>
      </c>
      <c r="F604" s="4" t="s">
        <v>12</v>
      </c>
      <c r="G604" s="3">
        <v>5979.73</v>
      </c>
    </row>
    <row r="605" spans="1:7" ht="14.5">
      <c r="A605" s="3">
        <v>42</v>
      </c>
      <c r="B605" s="4" t="s">
        <v>10</v>
      </c>
      <c r="C605" s="3">
        <v>41.3</v>
      </c>
      <c r="D605" s="3">
        <v>1</v>
      </c>
      <c r="E605" s="4" t="s">
        <v>8</v>
      </c>
      <c r="F605" s="4" t="s">
        <v>13</v>
      </c>
      <c r="G605" s="3">
        <v>7650.77</v>
      </c>
    </row>
    <row r="606" spans="1:7" ht="14.5">
      <c r="A606" s="3">
        <v>42</v>
      </c>
      <c r="B606" s="4" t="s">
        <v>7</v>
      </c>
      <c r="C606" s="3">
        <v>37.200000000000003</v>
      </c>
      <c r="D606" s="3">
        <v>2</v>
      </c>
      <c r="E606" s="4" t="s">
        <v>8</v>
      </c>
      <c r="F606" s="4" t="s">
        <v>14</v>
      </c>
      <c r="G606" s="3">
        <v>7162.01</v>
      </c>
    </row>
    <row r="607" spans="1:7" ht="14.5">
      <c r="A607" s="3">
        <v>42</v>
      </c>
      <c r="B607" s="4" t="s">
        <v>10</v>
      </c>
      <c r="C607" s="3">
        <v>37.9</v>
      </c>
      <c r="D607" s="3">
        <v>0</v>
      </c>
      <c r="E607" s="4" t="s">
        <v>8</v>
      </c>
      <c r="F607" s="4" t="s">
        <v>12</v>
      </c>
      <c r="G607" s="3">
        <v>6474.01</v>
      </c>
    </row>
    <row r="608" spans="1:7" ht="14.5">
      <c r="A608" s="3">
        <v>42</v>
      </c>
      <c r="B608" s="4" t="s">
        <v>7</v>
      </c>
      <c r="C608" s="3">
        <v>24.6</v>
      </c>
      <c r="D608" s="3">
        <v>2</v>
      </c>
      <c r="E608" s="4" t="s">
        <v>11</v>
      </c>
      <c r="F608" s="4" t="s">
        <v>13</v>
      </c>
      <c r="G608" s="3">
        <v>21259.38</v>
      </c>
    </row>
    <row r="609" spans="1:7" ht="14.5">
      <c r="A609" s="3">
        <v>42</v>
      </c>
      <c r="B609" s="4" t="s">
        <v>7</v>
      </c>
      <c r="C609" s="3">
        <v>26.3</v>
      </c>
      <c r="D609" s="3">
        <v>1</v>
      </c>
      <c r="E609" s="4" t="s">
        <v>8</v>
      </c>
      <c r="F609" s="4" t="s">
        <v>9</v>
      </c>
      <c r="G609" s="3">
        <v>6940.91</v>
      </c>
    </row>
    <row r="610" spans="1:7" ht="14.5">
      <c r="A610" s="3">
        <v>42</v>
      </c>
      <c r="B610" s="4" t="s">
        <v>10</v>
      </c>
      <c r="C610" s="3">
        <v>40.4</v>
      </c>
      <c r="D610" s="3">
        <v>2</v>
      </c>
      <c r="E610" s="4" t="s">
        <v>11</v>
      </c>
      <c r="F610" s="4" t="s">
        <v>14</v>
      </c>
      <c r="G610" s="3">
        <v>43896.38</v>
      </c>
    </row>
    <row r="611" spans="1:7" ht="14.5">
      <c r="A611" s="3">
        <v>42</v>
      </c>
      <c r="B611" s="4" t="s">
        <v>10</v>
      </c>
      <c r="C611" s="3">
        <v>32.9</v>
      </c>
      <c r="D611" s="3">
        <v>0</v>
      </c>
      <c r="E611" s="4" t="s">
        <v>8</v>
      </c>
      <c r="F611" s="4" t="s">
        <v>13</v>
      </c>
      <c r="G611" s="3">
        <v>7050.02</v>
      </c>
    </row>
    <row r="612" spans="1:7" ht="14.5">
      <c r="A612" s="3">
        <v>41</v>
      </c>
      <c r="B612" s="4" t="s">
        <v>7</v>
      </c>
      <c r="C612" s="3">
        <v>21.8</v>
      </c>
      <c r="D612" s="3">
        <v>1</v>
      </c>
      <c r="E612" s="4" t="s">
        <v>8</v>
      </c>
      <c r="F612" s="4" t="s">
        <v>14</v>
      </c>
      <c r="G612" s="3">
        <v>6272.48</v>
      </c>
    </row>
    <row r="613" spans="1:7" ht="14.5">
      <c r="A613" s="3">
        <v>41</v>
      </c>
      <c r="B613" s="4" t="s">
        <v>10</v>
      </c>
      <c r="C613" s="3">
        <v>33</v>
      </c>
      <c r="D613" s="3">
        <v>0</v>
      </c>
      <c r="E613" s="4" t="s">
        <v>8</v>
      </c>
      <c r="F613" s="4" t="s">
        <v>9</v>
      </c>
      <c r="G613" s="3">
        <v>6571.02</v>
      </c>
    </row>
    <row r="614" spans="1:7" ht="14.5">
      <c r="A614" s="3">
        <v>41</v>
      </c>
      <c r="B614" s="4" t="s">
        <v>10</v>
      </c>
      <c r="C614" s="3">
        <v>31.6</v>
      </c>
      <c r="D614" s="3">
        <v>0</v>
      </c>
      <c r="E614" s="4" t="s">
        <v>8</v>
      </c>
      <c r="F614" s="4" t="s">
        <v>12</v>
      </c>
      <c r="G614" s="3">
        <v>6186.13</v>
      </c>
    </row>
    <row r="615" spans="1:7" ht="14.5">
      <c r="A615" s="3">
        <v>41</v>
      </c>
      <c r="B615" s="4" t="s">
        <v>10</v>
      </c>
      <c r="C615" s="3">
        <v>33.200000000000003</v>
      </c>
      <c r="D615" s="3">
        <v>3</v>
      </c>
      <c r="E615" s="4" t="s">
        <v>8</v>
      </c>
      <c r="F615" s="4" t="s">
        <v>13</v>
      </c>
      <c r="G615" s="3">
        <v>8538.2900000000009</v>
      </c>
    </row>
    <row r="616" spans="1:7" ht="14.5">
      <c r="A616" s="3">
        <v>41</v>
      </c>
      <c r="B616" s="4" t="s">
        <v>10</v>
      </c>
      <c r="C616" s="3">
        <v>32.200000000000003</v>
      </c>
      <c r="D616" s="3">
        <v>1</v>
      </c>
      <c r="E616" s="4" t="s">
        <v>8</v>
      </c>
      <c r="F616" s="4" t="s">
        <v>12</v>
      </c>
      <c r="G616" s="3">
        <v>6775.96</v>
      </c>
    </row>
    <row r="617" spans="1:7" ht="14.5">
      <c r="A617" s="3">
        <v>41</v>
      </c>
      <c r="B617" s="4" t="s">
        <v>10</v>
      </c>
      <c r="C617" s="3">
        <v>37.1</v>
      </c>
      <c r="D617" s="3">
        <v>2</v>
      </c>
      <c r="E617" s="4" t="s">
        <v>8</v>
      </c>
      <c r="F617" s="4" t="s">
        <v>12</v>
      </c>
      <c r="G617" s="3">
        <v>7371.77</v>
      </c>
    </row>
    <row r="618" spans="1:7" ht="14.5">
      <c r="A618" s="3">
        <v>41</v>
      </c>
      <c r="B618" s="4" t="s">
        <v>10</v>
      </c>
      <c r="C618" s="3">
        <v>31.6</v>
      </c>
      <c r="D618" s="3">
        <v>1</v>
      </c>
      <c r="E618" s="4" t="s">
        <v>8</v>
      </c>
      <c r="F618" s="4" t="s">
        <v>13</v>
      </c>
      <c r="G618" s="3">
        <v>7358.18</v>
      </c>
    </row>
    <row r="619" spans="1:7" ht="14.5">
      <c r="A619" s="3">
        <v>41</v>
      </c>
      <c r="B619" s="4" t="s">
        <v>7</v>
      </c>
      <c r="C619" s="3">
        <v>37.1</v>
      </c>
      <c r="D619" s="3">
        <v>2</v>
      </c>
      <c r="E619" s="4" t="s">
        <v>8</v>
      </c>
      <c r="F619" s="4" t="s">
        <v>9</v>
      </c>
      <c r="G619" s="3">
        <v>7265.7</v>
      </c>
    </row>
    <row r="620" spans="1:7" ht="14.5">
      <c r="A620" s="3">
        <v>41</v>
      </c>
      <c r="B620" s="4" t="s">
        <v>10</v>
      </c>
      <c r="C620" s="3">
        <v>33.1</v>
      </c>
      <c r="D620" s="3">
        <v>2</v>
      </c>
      <c r="E620" s="4" t="s">
        <v>8</v>
      </c>
      <c r="F620" s="4" t="s">
        <v>9</v>
      </c>
      <c r="G620" s="3">
        <v>7749.16</v>
      </c>
    </row>
    <row r="621" spans="1:7" ht="14.5">
      <c r="A621" s="3">
        <v>41</v>
      </c>
      <c r="B621" s="4" t="s">
        <v>7</v>
      </c>
      <c r="C621" s="3">
        <v>30.6</v>
      </c>
      <c r="D621" s="3">
        <v>2</v>
      </c>
      <c r="E621" s="4" t="s">
        <v>8</v>
      </c>
      <c r="F621" s="4" t="s">
        <v>9</v>
      </c>
      <c r="G621" s="3">
        <v>7256.72</v>
      </c>
    </row>
    <row r="622" spans="1:7" ht="14.5">
      <c r="A622" s="3">
        <v>41</v>
      </c>
      <c r="B622" s="4" t="s">
        <v>7</v>
      </c>
      <c r="C622" s="3">
        <v>40.299999999999997</v>
      </c>
      <c r="D622" s="3">
        <v>0</v>
      </c>
      <c r="E622" s="4" t="s">
        <v>8</v>
      </c>
      <c r="F622" s="4" t="s">
        <v>14</v>
      </c>
      <c r="G622" s="3">
        <v>5709.16</v>
      </c>
    </row>
    <row r="623" spans="1:7" ht="14.5">
      <c r="A623" s="3">
        <v>41</v>
      </c>
      <c r="B623" s="4" t="s">
        <v>10</v>
      </c>
      <c r="C623" s="3">
        <v>31</v>
      </c>
      <c r="D623" s="3">
        <v>0</v>
      </c>
      <c r="E623" s="4" t="s">
        <v>8</v>
      </c>
      <c r="F623" s="4" t="s">
        <v>14</v>
      </c>
      <c r="G623" s="3">
        <v>6185.32</v>
      </c>
    </row>
    <row r="624" spans="1:7" ht="14.5">
      <c r="A624" s="3">
        <v>41</v>
      </c>
      <c r="B624" s="4" t="s">
        <v>7</v>
      </c>
      <c r="C624" s="3">
        <v>35.799999999999997</v>
      </c>
      <c r="D624" s="3">
        <v>1</v>
      </c>
      <c r="E624" s="4" t="s">
        <v>11</v>
      </c>
      <c r="F624" s="4" t="s">
        <v>14</v>
      </c>
      <c r="G624" s="3">
        <v>40273.65</v>
      </c>
    </row>
    <row r="625" spans="1:7" ht="14.5">
      <c r="A625" s="3">
        <v>41</v>
      </c>
      <c r="B625" s="4" t="s">
        <v>7</v>
      </c>
      <c r="C625" s="3">
        <v>28.4</v>
      </c>
      <c r="D625" s="3">
        <v>1</v>
      </c>
      <c r="E625" s="4" t="s">
        <v>8</v>
      </c>
      <c r="F625" s="4" t="s">
        <v>9</v>
      </c>
      <c r="G625" s="3">
        <v>6664.69</v>
      </c>
    </row>
    <row r="626" spans="1:7" ht="14.5">
      <c r="A626" s="3">
        <v>41</v>
      </c>
      <c r="B626" s="4" t="s">
        <v>10</v>
      </c>
      <c r="C626" s="3">
        <v>36.1</v>
      </c>
      <c r="D626" s="3">
        <v>1</v>
      </c>
      <c r="E626" s="4" t="s">
        <v>8</v>
      </c>
      <c r="F626" s="4" t="s">
        <v>14</v>
      </c>
      <c r="G626" s="3">
        <v>6781.35</v>
      </c>
    </row>
    <row r="627" spans="1:7" ht="14.5">
      <c r="A627" s="3">
        <v>41</v>
      </c>
      <c r="B627" s="4" t="s">
        <v>7</v>
      </c>
      <c r="C627" s="3">
        <v>34.200000000000003</v>
      </c>
      <c r="D627" s="3">
        <v>2</v>
      </c>
      <c r="E627" s="4" t="s">
        <v>8</v>
      </c>
      <c r="F627" s="4" t="s">
        <v>9</v>
      </c>
      <c r="G627" s="3">
        <v>7261.74</v>
      </c>
    </row>
    <row r="628" spans="1:7" ht="14.5">
      <c r="A628" s="3">
        <v>41</v>
      </c>
      <c r="B628" s="4" t="s">
        <v>7</v>
      </c>
      <c r="C628" s="3">
        <v>30.8</v>
      </c>
      <c r="D628" s="3">
        <v>3</v>
      </c>
      <c r="E628" s="4" t="s">
        <v>11</v>
      </c>
      <c r="F628" s="4" t="s">
        <v>13</v>
      </c>
      <c r="G628" s="3">
        <v>39597.410000000003</v>
      </c>
    </row>
    <row r="629" spans="1:7" ht="14.5">
      <c r="A629" s="3">
        <v>41</v>
      </c>
      <c r="B629" s="4" t="s">
        <v>7</v>
      </c>
      <c r="C629" s="3">
        <v>28.8</v>
      </c>
      <c r="D629" s="3">
        <v>1</v>
      </c>
      <c r="E629" s="4" t="s">
        <v>8</v>
      </c>
      <c r="F629" s="4" t="s">
        <v>12</v>
      </c>
      <c r="G629" s="3">
        <v>6282.24</v>
      </c>
    </row>
    <row r="630" spans="1:7" ht="14.5">
      <c r="A630" s="3">
        <v>41</v>
      </c>
      <c r="B630" s="4" t="s">
        <v>7</v>
      </c>
      <c r="C630" s="3">
        <v>34.200000000000003</v>
      </c>
      <c r="D630" s="3">
        <v>1</v>
      </c>
      <c r="E630" s="4" t="s">
        <v>8</v>
      </c>
      <c r="F630" s="4" t="s">
        <v>14</v>
      </c>
      <c r="G630" s="3">
        <v>6289.75</v>
      </c>
    </row>
    <row r="631" spans="1:7" ht="14.5">
      <c r="A631" s="3">
        <v>41</v>
      </c>
      <c r="B631" s="4" t="s">
        <v>7</v>
      </c>
      <c r="C631" s="3">
        <v>29.6</v>
      </c>
      <c r="D631" s="3">
        <v>5</v>
      </c>
      <c r="E631" s="4" t="s">
        <v>8</v>
      </c>
      <c r="F631" s="4" t="s">
        <v>13</v>
      </c>
      <c r="G631" s="3">
        <v>9222.4</v>
      </c>
    </row>
    <row r="632" spans="1:7" ht="14.5">
      <c r="A632" s="3">
        <v>41</v>
      </c>
      <c r="B632" s="4" t="s">
        <v>10</v>
      </c>
      <c r="C632" s="3">
        <v>32.6</v>
      </c>
      <c r="D632" s="3">
        <v>3</v>
      </c>
      <c r="E632" s="4" t="s">
        <v>8</v>
      </c>
      <c r="F632" s="4" t="s">
        <v>12</v>
      </c>
      <c r="G632" s="3">
        <v>7954.52</v>
      </c>
    </row>
    <row r="633" spans="1:7" ht="14.5">
      <c r="A633" s="3">
        <v>41</v>
      </c>
      <c r="B633" s="4" t="s">
        <v>10</v>
      </c>
      <c r="C633" s="3">
        <v>28.3</v>
      </c>
      <c r="D633" s="3">
        <v>1</v>
      </c>
      <c r="E633" s="4" t="s">
        <v>8</v>
      </c>
      <c r="F633" s="4" t="s">
        <v>9</v>
      </c>
      <c r="G633" s="3">
        <v>7153.55</v>
      </c>
    </row>
    <row r="634" spans="1:7" ht="14.5">
      <c r="A634" s="3">
        <v>41</v>
      </c>
      <c r="B634" s="4" t="s">
        <v>10</v>
      </c>
      <c r="C634" s="3">
        <v>21.8</v>
      </c>
      <c r="D634" s="3">
        <v>1</v>
      </c>
      <c r="E634" s="4" t="s">
        <v>8</v>
      </c>
      <c r="F634" s="4" t="s">
        <v>13</v>
      </c>
      <c r="G634" s="3">
        <v>13725.47</v>
      </c>
    </row>
    <row r="635" spans="1:7" ht="14.5">
      <c r="A635" s="3">
        <v>41</v>
      </c>
      <c r="B635" s="4" t="s">
        <v>7</v>
      </c>
      <c r="C635" s="3">
        <v>33.6</v>
      </c>
      <c r="D635" s="3">
        <v>0</v>
      </c>
      <c r="E635" s="4" t="s">
        <v>8</v>
      </c>
      <c r="F635" s="4" t="s">
        <v>14</v>
      </c>
      <c r="G635" s="3">
        <v>5699.84</v>
      </c>
    </row>
    <row r="636" spans="1:7" ht="14.5">
      <c r="A636" s="3">
        <v>41</v>
      </c>
      <c r="B636" s="4" t="s">
        <v>7</v>
      </c>
      <c r="C636" s="3">
        <v>23.9</v>
      </c>
      <c r="D636" s="3">
        <v>1</v>
      </c>
      <c r="E636" s="4" t="s">
        <v>8</v>
      </c>
      <c r="F636" s="4" t="s">
        <v>13</v>
      </c>
      <c r="G636" s="3">
        <v>6858.48</v>
      </c>
    </row>
    <row r="637" spans="1:7" ht="14.5">
      <c r="A637" s="3">
        <v>41</v>
      </c>
      <c r="B637" s="4" t="s">
        <v>10</v>
      </c>
      <c r="C637" s="3">
        <v>28.1</v>
      </c>
      <c r="D637" s="3">
        <v>1</v>
      </c>
      <c r="E637" s="4" t="s">
        <v>8</v>
      </c>
      <c r="F637" s="4" t="s">
        <v>14</v>
      </c>
      <c r="G637" s="3">
        <v>6770.19</v>
      </c>
    </row>
    <row r="638" spans="1:7" ht="14.5">
      <c r="A638" s="3">
        <v>41</v>
      </c>
      <c r="B638" s="4" t="s">
        <v>7</v>
      </c>
      <c r="C638" s="3">
        <v>32.200000000000003</v>
      </c>
      <c r="D638" s="3">
        <v>2</v>
      </c>
      <c r="E638" s="4" t="s">
        <v>8</v>
      </c>
      <c r="F638" s="4" t="s">
        <v>12</v>
      </c>
      <c r="G638" s="3">
        <v>6875.96</v>
      </c>
    </row>
    <row r="639" spans="1:7" ht="14.5">
      <c r="A639" s="3">
        <v>40</v>
      </c>
      <c r="B639" s="4" t="s">
        <v>10</v>
      </c>
      <c r="C639" s="3">
        <v>28.7</v>
      </c>
      <c r="D639" s="3">
        <v>3</v>
      </c>
      <c r="E639" s="4" t="s">
        <v>8</v>
      </c>
      <c r="F639" s="4" t="s">
        <v>9</v>
      </c>
      <c r="G639" s="3">
        <v>8059.68</v>
      </c>
    </row>
    <row r="640" spans="1:7" ht="14.5">
      <c r="A640" s="3">
        <v>40</v>
      </c>
      <c r="B640" s="4" t="s">
        <v>7</v>
      </c>
      <c r="C640" s="3">
        <v>26.3</v>
      </c>
      <c r="D640" s="3">
        <v>1</v>
      </c>
      <c r="E640" s="4" t="s">
        <v>8</v>
      </c>
      <c r="F640" s="4" t="s">
        <v>9</v>
      </c>
      <c r="G640" s="3">
        <v>6389.38</v>
      </c>
    </row>
    <row r="641" spans="1:7" ht="14.5">
      <c r="A641" s="3">
        <v>40</v>
      </c>
      <c r="B641" s="4" t="s">
        <v>10</v>
      </c>
      <c r="C641" s="3">
        <v>36.200000000000003</v>
      </c>
      <c r="D641" s="3">
        <v>0</v>
      </c>
      <c r="E641" s="4" t="s">
        <v>8</v>
      </c>
      <c r="F641" s="4" t="s">
        <v>14</v>
      </c>
      <c r="G641" s="3">
        <v>5920.1</v>
      </c>
    </row>
    <row r="642" spans="1:7" ht="14.5">
      <c r="A642" s="3">
        <v>40</v>
      </c>
      <c r="B642" s="4" t="s">
        <v>10</v>
      </c>
      <c r="C642" s="3">
        <v>25.5</v>
      </c>
      <c r="D642" s="3">
        <v>1</v>
      </c>
      <c r="E642" s="4" t="s">
        <v>8</v>
      </c>
      <c r="F642" s="4" t="s">
        <v>13</v>
      </c>
      <c r="G642" s="3">
        <v>7077.19</v>
      </c>
    </row>
    <row r="643" spans="1:7" ht="14.5">
      <c r="A643" s="3">
        <v>40</v>
      </c>
      <c r="B643" s="4" t="s">
        <v>7</v>
      </c>
      <c r="C643" s="3">
        <v>41.2</v>
      </c>
      <c r="D643" s="3">
        <v>1</v>
      </c>
      <c r="E643" s="4" t="s">
        <v>8</v>
      </c>
      <c r="F643" s="4" t="s">
        <v>13</v>
      </c>
      <c r="G643" s="3">
        <v>6610.11</v>
      </c>
    </row>
    <row r="644" spans="1:7" ht="14.5">
      <c r="A644" s="3">
        <v>40</v>
      </c>
      <c r="B644" s="4" t="s">
        <v>7</v>
      </c>
      <c r="C644" s="3">
        <v>30.9</v>
      </c>
      <c r="D644" s="3">
        <v>4</v>
      </c>
      <c r="E644" s="4" t="s">
        <v>8</v>
      </c>
      <c r="F644" s="4" t="s">
        <v>9</v>
      </c>
      <c r="G644" s="3">
        <v>8162.72</v>
      </c>
    </row>
    <row r="645" spans="1:7" ht="14.5">
      <c r="A645" s="3">
        <v>40</v>
      </c>
      <c r="B645" s="4" t="s">
        <v>10</v>
      </c>
      <c r="C645" s="3">
        <v>22.2</v>
      </c>
      <c r="D645" s="3">
        <v>2</v>
      </c>
      <c r="E645" s="4" t="s">
        <v>11</v>
      </c>
      <c r="F645" s="4" t="s">
        <v>14</v>
      </c>
      <c r="G645" s="3">
        <v>19444.27</v>
      </c>
    </row>
    <row r="646" spans="1:7" ht="14.5">
      <c r="A646" s="3">
        <v>40</v>
      </c>
      <c r="B646" s="4" t="s">
        <v>7</v>
      </c>
      <c r="C646" s="3">
        <v>35.299999999999997</v>
      </c>
      <c r="D646" s="3">
        <v>3</v>
      </c>
      <c r="E646" s="4" t="s">
        <v>8</v>
      </c>
      <c r="F646" s="4" t="s">
        <v>12</v>
      </c>
      <c r="G646" s="3">
        <v>7196.87</v>
      </c>
    </row>
    <row r="647" spans="1:7" ht="14.5">
      <c r="A647" s="3">
        <v>40</v>
      </c>
      <c r="B647" s="4" t="s">
        <v>7</v>
      </c>
      <c r="C647" s="3">
        <v>19.8</v>
      </c>
      <c r="D647" s="3">
        <v>1</v>
      </c>
      <c r="E647" s="4" t="s">
        <v>11</v>
      </c>
      <c r="F647" s="4" t="s">
        <v>14</v>
      </c>
      <c r="G647" s="3">
        <v>17179.52</v>
      </c>
    </row>
    <row r="648" spans="1:7" ht="14.5">
      <c r="A648" s="3">
        <v>40</v>
      </c>
      <c r="B648" s="4" t="s">
        <v>10</v>
      </c>
      <c r="C648" s="3">
        <v>28.1</v>
      </c>
      <c r="D648" s="3">
        <v>1</v>
      </c>
      <c r="E648" s="4" t="s">
        <v>11</v>
      </c>
      <c r="F648" s="4" t="s">
        <v>13</v>
      </c>
      <c r="G648" s="3">
        <v>22331.57</v>
      </c>
    </row>
    <row r="649" spans="1:7" ht="14.5">
      <c r="A649" s="3">
        <v>40</v>
      </c>
      <c r="B649" s="4" t="s">
        <v>7</v>
      </c>
      <c r="C649" s="3">
        <v>34.1</v>
      </c>
      <c r="D649" s="3">
        <v>1</v>
      </c>
      <c r="E649" s="4" t="s">
        <v>8</v>
      </c>
      <c r="F649" s="4" t="s">
        <v>13</v>
      </c>
      <c r="G649" s="3">
        <v>6600.21</v>
      </c>
    </row>
    <row r="650" spans="1:7" ht="14.5">
      <c r="A650" s="3">
        <v>40</v>
      </c>
      <c r="B650" s="4" t="s">
        <v>7</v>
      </c>
      <c r="C650" s="3">
        <v>32.799999999999997</v>
      </c>
      <c r="D650" s="3">
        <v>1</v>
      </c>
      <c r="E650" s="4" t="s">
        <v>11</v>
      </c>
      <c r="F650" s="4" t="s">
        <v>13</v>
      </c>
      <c r="G650" s="3">
        <v>39125.33</v>
      </c>
    </row>
    <row r="651" spans="1:7" ht="14.5">
      <c r="A651" s="3">
        <v>40</v>
      </c>
      <c r="B651" s="4" t="s">
        <v>10</v>
      </c>
      <c r="C651" s="3">
        <v>29.6</v>
      </c>
      <c r="D651" s="3">
        <v>0</v>
      </c>
      <c r="E651" s="4" t="s">
        <v>8</v>
      </c>
      <c r="F651" s="4" t="s">
        <v>12</v>
      </c>
      <c r="G651" s="3">
        <v>5910.94</v>
      </c>
    </row>
    <row r="652" spans="1:7" ht="14.5">
      <c r="A652" s="3">
        <v>40</v>
      </c>
      <c r="B652" s="4" t="s">
        <v>10</v>
      </c>
      <c r="C652" s="3">
        <v>33</v>
      </c>
      <c r="D652" s="3">
        <v>3</v>
      </c>
      <c r="E652" s="4" t="s">
        <v>8</v>
      </c>
      <c r="F652" s="4" t="s">
        <v>14</v>
      </c>
      <c r="G652" s="3">
        <v>7682.67</v>
      </c>
    </row>
    <row r="653" spans="1:7" ht="14.5">
      <c r="A653" s="3">
        <v>40</v>
      </c>
      <c r="B653" s="4" t="s">
        <v>7</v>
      </c>
      <c r="C653" s="3">
        <v>22.7</v>
      </c>
      <c r="D653" s="3">
        <v>2</v>
      </c>
      <c r="E653" s="4" t="s">
        <v>8</v>
      </c>
      <c r="F653" s="4" t="s">
        <v>13</v>
      </c>
      <c r="G653" s="3">
        <v>7173.36</v>
      </c>
    </row>
    <row r="654" spans="1:7" ht="14.5">
      <c r="A654" s="3">
        <v>40</v>
      </c>
      <c r="B654" s="4" t="s">
        <v>10</v>
      </c>
      <c r="C654" s="3">
        <v>23.4</v>
      </c>
      <c r="D654" s="3">
        <v>3</v>
      </c>
      <c r="E654" s="4" t="s">
        <v>8</v>
      </c>
      <c r="F654" s="4" t="s">
        <v>13</v>
      </c>
      <c r="G654" s="3">
        <v>8252.2800000000007</v>
      </c>
    </row>
    <row r="655" spans="1:7" ht="14.5">
      <c r="A655" s="3">
        <v>40</v>
      </c>
      <c r="B655" s="4" t="s">
        <v>10</v>
      </c>
      <c r="C655" s="3">
        <v>32.799999999999997</v>
      </c>
      <c r="D655" s="3">
        <v>2</v>
      </c>
      <c r="E655" s="4" t="s">
        <v>11</v>
      </c>
      <c r="F655" s="4" t="s">
        <v>9</v>
      </c>
      <c r="G655" s="3">
        <v>40003.33</v>
      </c>
    </row>
    <row r="656" spans="1:7" ht="14.5">
      <c r="A656" s="3">
        <v>40</v>
      </c>
      <c r="B656" s="4" t="s">
        <v>10</v>
      </c>
      <c r="C656" s="3">
        <v>29.8</v>
      </c>
      <c r="D656" s="3">
        <v>1</v>
      </c>
      <c r="E656" s="4" t="s">
        <v>8</v>
      </c>
      <c r="F656" s="4" t="s">
        <v>14</v>
      </c>
      <c r="G656" s="3">
        <v>6500.24</v>
      </c>
    </row>
    <row r="657" spans="1:7" ht="14.5">
      <c r="A657" s="3">
        <v>40</v>
      </c>
      <c r="B657" s="4" t="s">
        <v>7</v>
      </c>
      <c r="C657" s="3">
        <v>41.7</v>
      </c>
      <c r="D657" s="3">
        <v>0</v>
      </c>
      <c r="E657" s="4" t="s">
        <v>8</v>
      </c>
      <c r="F657" s="4" t="s">
        <v>14</v>
      </c>
      <c r="G657" s="3">
        <v>5438.75</v>
      </c>
    </row>
    <row r="658" spans="1:7" ht="14.5">
      <c r="A658" s="3">
        <v>40</v>
      </c>
      <c r="B658" s="4" t="s">
        <v>7</v>
      </c>
      <c r="C658" s="3">
        <v>32.299999999999997</v>
      </c>
      <c r="D658" s="3">
        <v>2</v>
      </c>
      <c r="E658" s="4" t="s">
        <v>8</v>
      </c>
      <c r="F658" s="4" t="s">
        <v>9</v>
      </c>
      <c r="G658" s="3">
        <v>6986.7</v>
      </c>
    </row>
    <row r="659" spans="1:7" ht="14.5">
      <c r="A659" s="3">
        <v>40</v>
      </c>
      <c r="B659" s="4" t="s">
        <v>10</v>
      </c>
      <c r="C659" s="3">
        <v>41.4</v>
      </c>
      <c r="D659" s="3">
        <v>1</v>
      </c>
      <c r="E659" s="4" t="s">
        <v>8</v>
      </c>
      <c r="F659" s="4" t="s">
        <v>9</v>
      </c>
      <c r="G659" s="3">
        <v>28476.73</v>
      </c>
    </row>
    <row r="660" spans="1:7" ht="14.5">
      <c r="A660" s="3">
        <v>40</v>
      </c>
      <c r="B660" s="4" t="s">
        <v>7</v>
      </c>
      <c r="C660" s="3">
        <v>29.9</v>
      </c>
      <c r="D660" s="3">
        <v>2</v>
      </c>
      <c r="E660" s="4" t="s">
        <v>8</v>
      </c>
      <c r="F660" s="4" t="s">
        <v>12</v>
      </c>
      <c r="G660" s="3">
        <v>6600.36</v>
      </c>
    </row>
    <row r="661" spans="1:7" ht="14.5">
      <c r="A661" s="3">
        <v>40</v>
      </c>
      <c r="B661" s="4" t="s">
        <v>10</v>
      </c>
      <c r="C661" s="3">
        <v>27.4</v>
      </c>
      <c r="D661" s="3">
        <v>1</v>
      </c>
      <c r="E661" s="4" t="s">
        <v>8</v>
      </c>
      <c r="F661" s="4" t="s">
        <v>12</v>
      </c>
      <c r="G661" s="3">
        <v>6496.89</v>
      </c>
    </row>
    <row r="662" spans="1:7" ht="14.5">
      <c r="A662" s="3">
        <v>40</v>
      </c>
      <c r="B662" s="4" t="s">
        <v>7</v>
      </c>
      <c r="C662" s="3">
        <v>29.4</v>
      </c>
      <c r="D662" s="3">
        <v>1</v>
      </c>
      <c r="E662" s="4" t="s">
        <v>8</v>
      </c>
      <c r="F662" s="4" t="s">
        <v>9</v>
      </c>
      <c r="G662" s="3">
        <v>6393.6</v>
      </c>
    </row>
    <row r="663" spans="1:7" ht="14.5">
      <c r="A663" s="3">
        <v>40</v>
      </c>
      <c r="B663" s="4" t="s">
        <v>7</v>
      </c>
      <c r="C663" s="3">
        <v>25.1</v>
      </c>
      <c r="D663" s="3">
        <v>0</v>
      </c>
      <c r="E663" s="4" t="s">
        <v>8</v>
      </c>
      <c r="F663" s="4" t="s">
        <v>14</v>
      </c>
      <c r="G663" s="3">
        <v>5415.66</v>
      </c>
    </row>
    <row r="664" spans="1:7" ht="14.5">
      <c r="A664" s="3">
        <v>40</v>
      </c>
      <c r="B664" s="4" t="s">
        <v>7</v>
      </c>
      <c r="C664" s="3">
        <v>25</v>
      </c>
      <c r="D664" s="3">
        <v>2</v>
      </c>
      <c r="E664" s="4" t="s">
        <v>8</v>
      </c>
      <c r="F664" s="4" t="s">
        <v>14</v>
      </c>
      <c r="G664" s="3">
        <v>6593.51</v>
      </c>
    </row>
    <row r="665" spans="1:7" ht="14.5">
      <c r="A665" s="3">
        <v>40</v>
      </c>
      <c r="B665" s="4" t="s">
        <v>10</v>
      </c>
      <c r="C665" s="3">
        <v>29.3</v>
      </c>
      <c r="D665" s="3">
        <v>4</v>
      </c>
      <c r="E665" s="4" t="s">
        <v>8</v>
      </c>
      <c r="F665" s="4" t="s">
        <v>12</v>
      </c>
      <c r="G665" s="3">
        <v>15828.82</v>
      </c>
    </row>
    <row r="666" spans="1:7" ht="14.5">
      <c r="A666" s="3">
        <v>39</v>
      </c>
      <c r="B666" s="4" t="s">
        <v>10</v>
      </c>
      <c r="C666" s="3">
        <v>32.799999999999997</v>
      </c>
      <c r="D666" s="3">
        <v>0</v>
      </c>
      <c r="E666" s="4" t="s">
        <v>8</v>
      </c>
      <c r="F666" s="4" t="s">
        <v>12</v>
      </c>
      <c r="G666" s="3">
        <v>5649.72</v>
      </c>
    </row>
    <row r="667" spans="1:7" ht="14.5">
      <c r="A667" s="3">
        <v>39</v>
      </c>
      <c r="B667" s="4" t="s">
        <v>7</v>
      </c>
      <c r="C667" s="3">
        <v>24.5</v>
      </c>
      <c r="D667" s="3">
        <v>2</v>
      </c>
      <c r="E667" s="4" t="s">
        <v>8</v>
      </c>
      <c r="F667" s="4" t="s">
        <v>9</v>
      </c>
      <c r="G667" s="3">
        <v>6710.19</v>
      </c>
    </row>
    <row r="668" spans="1:7" ht="14.5">
      <c r="A668" s="3">
        <v>39</v>
      </c>
      <c r="B668" s="4" t="s">
        <v>10</v>
      </c>
      <c r="C668" s="3">
        <v>24.9</v>
      </c>
      <c r="D668" s="3">
        <v>3</v>
      </c>
      <c r="E668" s="4" t="s">
        <v>11</v>
      </c>
      <c r="F668" s="4" t="s">
        <v>13</v>
      </c>
      <c r="G668" s="3">
        <v>21659.93</v>
      </c>
    </row>
    <row r="669" spans="1:7" ht="14.5">
      <c r="A669" s="3">
        <v>39</v>
      </c>
      <c r="B669" s="4" t="s">
        <v>7</v>
      </c>
      <c r="C669" s="3">
        <v>29.6</v>
      </c>
      <c r="D669" s="3">
        <v>4</v>
      </c>
      <c r="E669" s="4" t="s">
        <v>8</v>
      </c>
      <c r="F669" s="4" t="s">
        <v>12</v>
      </c>
      <c r="G669" s="3">
        <v>7512.27</v>
      </c>
    </row>
    <row r="670" spans="1:7" ht="14.5">
      <c r="A670" s="3">
        <v>39</v>
      </c>
      <c r="B670" s="4" t="s">
        <v>7</v>
      </c>
      <c r="C670" s="3">
        <v>28.3</v>
      </c>
      <c r="D670" s="3">
        <v>1</v>
      </c>
      <c r="E670" s="4" t="s">
        <v>11</v>
      </c>
      <c r="F670" s="4" t="s">
        <v>12</v>
      </c>
      <c r="G670" s="3">
        <v>21082.16</v>
      </c>
    </row>
    <row r="671" spans="1:7" ht="14.5">
      <c r="A671" s="3">
        <v>39</v>
      </c>
      <c r="B671" s="4" t="s">
        <v>7</v>
      </c>
      <c r="C671" s="3">
        <v>45.4</v>
      </c>
      <c r="D671" s="3">
        <v>2</v>
      </c>
      <c r="E671" s="4" t="s">
        <v>8</v>
      </c>
      <c r="F671" s="4" t="s">
        <v>14</v>
      </c>
      <c r="G671" s="3">
        <v>6356.27</v>
      </c>
    </row>
    <row r="672" spans="1:7" ht="14.5">
      <c r="A672" s="3">
        <v>39</v>
      </c>
      <c r="B672" s="4" t="s">
        <v>7</v>
      </c>
      <c r="C672" s="3">
        <v>26.4</v>
      </c>
      <c r="D672" s="3">
        <v>0</v>
      </c>
      <c r="E672" s="4" t="s">
        <v>11</v>
      </c>
      <c r="F672" s="4" t="s">
        <v>13</v>
      </c>
      <c r="G672" s="3">
        <v>20149.32</v>
      </c>
    </row>
    <row r="673" spans="1:7" ht="14.5">
      <c r="A673" s="3">
        <v>39</v>
      </c>
      <c r="B673" s="4" t="s">
        <v>7</v>
      </c>
      <c r="C673" s="3">
        <v>26.2</v>
      </c>
      <c r="D673" s="3">
        <v>1</v>
      </c>
      <c r="E673" s="4" t="s">
        <v>8</v>
      </c>
      <c r="F673" s="4" t="s">
        <v>9</v>
      </c>
      <c r="G673" s="3">
        <v>6123.57</v>
      </c>
    </row>
    <row r="674" spans="1:7" ht="14.5">
      <c r="A674" s="3">
        <v>39</v>
      </c>
      <c r="B674" s="4" t="s">
        <v>7</v>
      </c>
      <c r="C674" s="3">
        <v>35.299999999999997</v>
      </c>
      <c r="D674" s="3">
        <v>2</v>
      </c>
      <c r="E674" s="4" t="s">
        <v>11</v>
      </c>
      <c r="F674" s="4" t="s">
        <v>12</v>
      </c>
      <c r="G674" s="3">
        <v>40103.89</v>
      </c>
    </row>
    <row r="675" spans="1:7" ht="14.5">
      <c r="A675" s="3">
        <v>39</v>
      </c>
      <c r="B675" s="4" t="s">
        <v>10</v>
      </c>
      <c r="C675" s="3">
        <v>22.8</v>
      </c>
      <c r="D675" s="3">
        <v>3</v>
      </c>
      <c r="E675" s="4" t="s">
        <v>8</v>
      </c>
      <c r="F675" s="4" t="s">
        <v>13</v>
      </c>
      <c r="G675" s="3">
        <v>7985.82</v>
      </c>
    </row>
    <row r="676" spans="1:7" ht="14.5">
      <c r="A676" s="3">
        <v>39</v>
      </c>
      <c r="B676" s="4" t="s">
        <v>10</v>
      </c>
      <c r="C676" s="3">
        <v>41.8</v>
      </c>
      <c r="D676" s="3">
        <v>0</v>
      </c>
      <c r="E676" s="4" t="s">
        <v>8</v>
      </c>
      <c r="F676" s="4" t="s">
        <v>14</v>
      </c>
      <c r="G676" s="3">
        <v>5662.23</v>
      </c>
    </row>
    <row r="677" spans="1:7" ht="14.5">
      <c r="A677" s="3">
        <v>39</v>
      </c>
      <c r="B677" s="4" t="s">
        <v>10</v>
      </c>
      <c r="C677" s="3">
        <v>31.9</v>
      </c>
      <c r="D677" s="3">
        <v>2</v>
      </c>
      <c r="E677" s="4" t="s">
        <v>8</v>
      </c>
      <c r="F677" s="4" t="s">
        <v>9</v>
      </c>
      <c r="G677" s="3">
        <v>7209.49</v>
      </c>
    </row>
    <row r="678" spans="1:7" ht="14.5">
      <c r="A678" s="3">
        <v>39</v>
      </c>
      <c r="B678" s="4" t="s">
        <v>7</v>
      </c>
      <c r="C678" s="3">
        <v>21.9</v>
      </c>
      <c r="D678" s="3">
        <v>1</v>
      </c>
      <c r="E678" s="4" t="s">
        <v>8</v>
      </c>
      <c r="F678" s="4" t="s">
        <v>9</v>
      </c>
      <c r="G678" s="3">
        <v>6117.49</v>
      </c>
    </row>
    <row r="679" spans="1:7" ht="14.5">
      <c r="A679" s="3">
        <v>39</v>
      </c>
      <c r="B679" s="4" t="s">
        <v>10</v>
      </c>
      <c r="C679" s="3">
        <v>32.5</v>
      </c>
      <c r="D679" s="3">
        <v>1</v>
      </c>
      <c r="E679" s="4" t="s">
        <v>8</v>
      </c>
      <c r="F679" s="4" t="s">
        <v>12</v>
      </c>
      <c r="G679" s="3">
        <v>6238.3</v>
      </c>
    </row>
    <row r="680" spans="1:7" ht="14.5">
      <c r="A680" s="3">
        <v>39</v>
      </c>
      <c r="B680" s="4" t="s">
        <v>10</v>
      </c>
      <c r="C680" s="3">
        <v>24.2</v>
      </c>
      <c r="D680" s="3">
        <v>5</v>
      </c>
      <c r="E680" s="4" t="s">
        <v>8</v>
      </c>
      <c r="F680" s="4" t="s">
        <v>9</v>
      </c>
      <c r="G680" s="3">
        <v>8965.7999999999993</v>
      </c>
    </row>
    <row r="681" spans="1:7" ht="14.5">
      <c r="A681" s="3">
        <v>39</v>
      </c>
      <c r="B681" s="4" t="s">
        <v>10</v>
      </c>
      <c r="C681" s="3">
        <v>34.299999999999997</v>
      </c>
      <c r="D681" s="3">
        <v>5</v>
      </c>
      <c r="E681" s="4" t="s">
        <v>8</v>
      </c>
      <c r="F681" s="4" t="s">
        <v>14</v>
      </c>
      <c r="G681" s="3">
        <v>8596.83</v>
      </c>
    </row>
    <row r="682" spans="1:7" ht="14.5">
      <c r="A682" s="3">
        <v>39</v>
      </c>
      <c r="B682" s="4" t="s">
        <v>10</v>
      </c>
      <c r="C682" s="3">
        <v>23.3</v>
      </c>
      <c r="D682" s="3">
        <v>3</v>
      </c>
      <c r="E682" s="4" t="s">
        <v>8</v>
      </c>
      <c r="F682" s="4" t="s">
        <v>13</v>
      </c>
      <c r="G682" s="3">
        <v>7986.48</v>
      </c>
    </row>
    <row r="683" spans="1:7" ht="14.5">
      <c r="A683" s="3">
        <v>39</v>
      </c>
      <c r="B683" s="4" t="s">
        <v>10</v>
      </c>
      <c r="C683" s="3">
        <v>34.1</v>
      </c>
      <c r="D683" s="3">
        <v>3</v>
      </c>
      <c r="E683" s="4" t="s">
        <v>8</v>
      </c>
      <c r="F683" s="4" t="s">
        <v>12</v>
      </c>
      <c r="G683" s="3">
        <v>7418.52</v>
      </c>
    </row>
    <row r="684" spans="1:7" ht="14.5">
      <c r="A684" s="3">
        <v>39</v>
      </c>
      <c r="B684" s="4" t="s">
        <v>7</v>
      </c>
      <c r="C684" s="3">
        <v>42.7</v>
      </c>
      <c r="D684" s="3">
        <v>0</v>
      </c>
      <c r="E684" s="4" t="s">
        <v>8</v>
      </c>
      <c r="F684" s="4" t="s">
        <v>13</v>
      </c>
      <c r="G684" s="3">
        <v>5757.41</v>
      </c>
    </row>
    <row r="685" spans="1:7" ht="14.5">
      <c r="A685" s="3">
        <v>39</v>
      </c>
      <c r="B685" s="4" t="s">
        <v>10</v>
      </c>
      <c r="C685" s="3">
        <v>18.3</v>
      </c>
      <c r="D685" s="3">
        <v>5</v>
      </c>
      <c r="E685" s="4" t="s">
        <v>11</v>
      </c>
      <c r="F685" s="4" t="s">
        <v>12</v>
      </c>
      <c r="G685" s="3">
        <v>19023.259999999998</v>
      </c>
    </row>
    <row r="686" spans="1:7" ht="14.5">
      <c r="A686" s="3">
        <v>39</v>
      </c>
      <c r="B686" s="4" t="s">
        <v>10</v>
      </c>
      <c r="C686" s="3">
        <v>23.9</v>
      </c>
      <c r="D686" s="3">
        <v>5</v>
      </c>
      <c r="E686" s="4" t="s">
        <v>8</v>
      </c>
      <c r="F686" s="4" t="s">
        <v>14</v>
      </c>
      <c r="G686" s="3">
        <v>8582.2999999999993</v>
      </c>
    </row>
    <row r="687" spans="1:7" ht="14.5">
      <c r="A687" s="3">
        <v>39</v>
      </c>
      <c r="B687" s="4" t="s">
        <v>7</v>
      </c>
      <c r="C687" s="3">
        <v>32.299999999999997</v>
      </c>
      <c r="D687" s="3">
        <v>2</v>
      </c>
      <c r="E687" s="4" t="s">
        <v>8</v>
      </c>
      <c r="F687" s="4" t="s">
        <v>14</v>
      </c>
      <c r="G687" s="3">
        <v>6338.08</v>
      </c>
    </row>
    <row r="688" spans="1:7" ht="14.5">
      <c r="A688" s="3">
        <v>39</v>
      </c>
      <c r="B688" s="4" t="s">
        <v>7</v>
      </c>
      <c r="C688" s="3">
        <v>34.1</v>
      </c>
      <c r="D688" s="3">
        <v>2</v>
      </c>
      <c r="E688" s="4" t="s">
        <v>8</v>
      </c>
      <c r="F688" s="4" t="s">
        <v>14</v>
      </c>
      <c r="G688" s="3">
        <v>23563.02</v>
      </c>
    </row>
    <row r="689" spans="1:7" ht="14.5">
      <c r="A689" s="3">
        <v>39</v>
      </c>
      <c r="B689" s="4" t="s">
        <v>7</v>
      </c>
      <c r="C689" s="3">
        <v>29.9</v>
      </c>
      <c r="D689" s="3">
        <v>1</v>
      </c>
      <c r="E689" s="4" t="s">
        <v>11</v>
      </c>
      <c r="F689" s="4" t="s">
        <v>13</v>
      </c>
      <c r="G689" s="3">
        <v>22462.04</v>
      </c>
    </row>
    <row r="690" spans="1:7" ht="14.5">
      <c r="A690" s="3">
        <v>39</v>
      </c>
      <c r="B690" s="4" t="s">
        <v>10</v>
      </c>
      <c r="C690" s="3">
        <v>26.3</v>
      </c>
      <c r="D690" s="3">
        <v>2</v>
      </c>
      <c r="E690" s="4" t="s">
        <v>8</v>
      </c>
      <c r="F690" s="4" t="s">
        <v>9</v>
      </c>
      <c r="G690" s="3">
        <v>7201.7</v>
      </c>
    </row>
    <row r="691" spans="1:7" ht="14.5">
      <c r="A691" s="3">
        <v>38</v>
      </c>
      <c r="B691" s="4" t="s">
        <v>7</v>
      </c>
      <c r="C691" s="3">
        <v>37.1</v>
      </c>
      <c r="D691" s="3">
        <v>1</v>
      </c>
      <c r="E691" s="4" t="s">
        <v>8</v>
      </c>
      <c r="F691" s="4" t="s">
        <v>13</v>
      </c>
      <c r="G691" s="3">
        <v>6079.67</v>
      </c>
    </row>
    <row r="692" spans="1:7" ht="14.5">
      <c r="A692" s="3">
        <v>38</v>
      </c>
      <c r="B692" s="4" t="s">
        <v>7</v>
      </c>
      <c r="C692" s="3">
        <v>19.3</v>
      </c>
      <c r="D692" s="3">
        <v>0</v>
      </c>
      <c r="E692" s="4" t="s">
        <v>11</v>
      </c>
      <c r="F692" s="4" t="s">
        <v>12</v>
      </c>
      <c r="G692" s="3">
        <v>15820.7</v>
      </c>
    </row>
    <row r="693" spans="1:7" ht="14.5">
      <c r="A693" s="3">
        <v>38</v>
      </c>
      <c r="B693" s="4" t="s">
        <v>7</v>
      </c>
      <c r="C693" s="3">
        <v>34.700000000000003</v>
      </c>
      <c r="D693" s="3">
        <v>2</v>
      </c>
      <c r="E693" s="4" t="s">
        <v>8</v>
      </c>
      <c r="F693" s="4" t="s">
        <v>12</v>
      </c>
      <c r="G693" s="3">
        <v>6082.41</v>
      </c>
    </row>
    <row r="694" spans="1:7" ht="14.5">
      <c r="A694" s="3">
        <v>38</v>
      </c>
      <c r="B694" s="4" t="s">
        <v>7</v>
      </c>
      <c r="C694" s="3">
        <v>27.8</v>
      </c>
      <c r="D694" s="3">
        <v>2</v>
      </c>
      <c r="E694" s="4" t="s">
        <v>8</v>
      </c>
      <c r="F694" s="4" t="s">
        <v>9</v>
      </c>
      <c r="G694" s="3">
        <v>6455.86</v>
      </c>
    </row>
    <row r="695" spans="1:7" ht="14.5">
      <c r="A695" s="3">
        <v>38</v>
      </c>
      <c r="B695" s="4" t="s">
        <v>10</v>
      </c>
      <c r="C695" s="3">
        <v>40.200000000000003</v>
      </c>
      <c r="D695" s="3">
        <v>0</v>
      </c>
      <c r="E695" s="4" t="s">
        <v>8</v>
      </c>
      <c r="F695" s="4" t="s">
        <v>14</v>
      </c>
      <c r="G695" s="3">
        <v>5400.98</v>
      </c>
    </row>
    <row r="696" spans="1:7" ht="14.5">
      <c r="A696" s="3">
        <v>38</v>
      </c>
      <c r="B696" s="4" t="s">
        <v>7</v>
      </c>
      <c r="C696" s="3">
        <v>21.1</v>
      </c>
      <c r="D696" s="3">
        <v>3</v>
      </c>
      <c r="E696" s="4" t="s">
        <v>8</v>
      </c>
      <c r="F696" s="4" t="s">
        <v>14</v>
      </c>
      <c r="G696" s="3">
        <v>6652.53</v>
      </c>
    </row>
    <row r="697" spans="1:7" ht="14.5">
      <c r="A697" s="3">
        <v>38</v>
      </c>
      <c r="B697" s="4" t="s">
        <v>10</v>
      </c>
      <c r="C697" s="3">
        <v>27.3</v>
      </c>
      <c r="D697" s="3">
        <v>1</v>
      </c>
      <c r="E697" s="4" t="s">
        <v>8</v>
      </c>
      <c r="F697" s="4" t="s">
        <v>13</v>
      </c>
      <c r="G697" s="3">
        <v>6555.07</v>
      </c>
    </row>
    <row r="698" spans="1:7" ht="14.5">
      <c r="A698" s="3">
        <v>38</v>
      </c>
      <c r="B698" s="4" t="s">
        <v>10</v>
      </c>
      <c r="C698" s="3">
        <v>28.9</v>
      </c>
      <c r="D698" s="3">
        <v>1</v>
      </c>
      <c r="E698" s="4" t="s">
        <v>8</v>
      </c>
      <c r="F698" s="4" t="s">
        <v>14</v>
      </c>
      <c r="G698" s="3">
        <v>5974.38</v>
      </c>
    </row>
    <row r="699" spans="1:7" ht="14.5">
      <c r="A699" s="3">
        <v>38</v>
      </c>
      <c r="B699" s="4" t="s">
        <v>10</v>
      </c>
      <c r="C699" s="3">
        <v>37.700000000000003</v>
      </c>
      <c r="D699" s="3">
        <v>0</v>
      </c>
      <c r="E699" s="4" t="s">
        <v>8</v>
      </c>
      <c r="F699" s="4" t="s">
        <v>14</v>
      </c>
      <c r="G699" s="3">
        <v>5397.62</v>
      </c>
    </row>
    <row r="700" spans="1:7" ht="14.5">
      <c r="A700" s="3">
        <v>38</v>
      </c>
      <c r="B700" s="4" t="s">
        <v>7</v>
      </c>
      <c r="C700" s="3">
        <v>28</v>
      </c>
      <c r="D700" s="3">
        <v>1</v>
      </c>
      <c r="E700" s="4" t="s">
        <v>8</v>
      </c>
      <c r="F700" s="4" t="s">
        <v>13</v>
      </c>
      <c r="G700" s="3">
        <v>6067.13</v>
      </c>
    </row>
    <row r="701" spans="1:7" ht="14.5">
      <c r="A701" s="3">
        <v>38</v>
      </c>
      <c r="B701" s="4" t="s">
        <v>10</v>
      </c>
      <c r="C701" s="3">
        <v>40.6</v>
      </c>
      <c r="D701" s="3">
        <v>1</v>
      </c>
      <c r="E701" s="4" t="s">
        <v>8</v>
      </c>
      <c r="F701" s="4" t="s">
        <v>9</v>
      </c>
      <c r="G701" s="3">
        <v>6373.56</v>
      </c>
    </row>
    <row r="702" spans="1:7" ht="14.5">
      <c r="A702" s="3">
        <v>38</v>
      </c>
      <c r="B702" s="4" t="s">
        <v>10</v>
      </c>
      <c r="C702" s="3">
        <v>30.7</v>
      </c>
      <c r="D702" s="3">
        <v>1</v>
      </c>
      <c r="E702" s="4" t="s">
        <v>8</v>
      </c>
      <c r="F702" s="4" t="s">
        <v>14</v>
      </c>
      <c r="G702" s="3">
        <v>5976.83</v>
      </c>
    </row>
    <row r="703" spans="1:7" ht="14.5">
      <c r="A703" s="3">
        <v>38</v>
      </c>
      <c r="B703" s="4" t="s">
        <v>10</v>
      </c>
      <c r="C703" s="3">
        <v>34.799999999999997</v>
      </c>
      <c r="D703" s="3">
        <v>2</v>
      </c>
      <c r="E703" s="4" t="s">
        <v>8</v>
      </c>
      <c r="F703" s="4" t="s">
        <v>12</v>
      </c>
      <c r="G703" s="3">
        <v>6571.54</v>
      </c>
    </row>
    <row r="704" spans="1:7" ht="14.5">
      <c r="A704" s="3">
        <v>38</v>
      </c>
      <c r="B704" s="4" t="s">
        <v>10</v>
      </c>
      <c r="C704" s="3">
        <v>19.5</v>
      </c>
      <c r="D704" s="3">
        <v>2</v>
      </c>
      <c r="E704" s="4" t="s">
        <v>8</v>
      </c>
      <c r="F704" s="4" t="s">
        <v>9</v>
      </c>
      <c r="G704" s="3">
        <v>6933.24</v>
      </c>
    </row>
    <row r="705" spans="1:7" ht="14.5">
      <c r="A705" s="3">
        <v>38</v>
      </c>
      <c r="B705" s="4" t="s">
        <v>10</v>
      </c>
      <c r="C705" s="3">
        <v>28</v>
      </c>
      <c r="D705" s="3">
        <v>3</v>
      </c>
      <c r="E705" s="4" t="s">
        <v>8</v>
      </c>
      <c r="F705" s="4" t="s">
        <v>12</v>
      </c>
      <c r="G705" s="3">
        <v>7151.09</v>
      </c>
    </row>
    <row r="706" spans="1:7" ht="14.5">
      <c r="A706" s="3">
        <v>38</v>
      </c>
      <c r="B706" s="4" t="s">
        <v>7</v>
      </c>
      <c r="C706" s="3">
        <v>31</v>
      </c>
      <c r="D706" s="3">
        <v>1</v>
      </c>
      <c r="E706" s="4" t="s">
        <v>8</v>
      </c>
      <c r="F706" s="4" t="s">
        <v>12</v>
      </c>
      <c r="G706" s="3">
        <v>5488.26</v>
      </c>
    </row>
    <row r="707" spans="1:7" ht="14.5">
      <c r="A707" s="3">
        <v>38</v>
      </c>
      <c r="B707" s="4" t="s">
        <v>10</v>
      </c>
      <c r="C707" s="3">
        <v>27.8</v>
      </c>
      <c r="D707" s="3">
        <v>2</v>
      </c>
      <c r="E707" s="4" t="s">
        <v>8</v>
      </c>
      <c r="F707" s="4" t="s">
        <v>13</v>
      </c>
      <c r="G707" s="3">
        <v>7144.86</v>
      </c>
    </row>
    <row r="708" spans="1:7" ht="14.5">
      <c r="A708" s="3">
        <v>38</v>
      </c>
      <c r="B708" s="4" t="s">
        <v>7</v>
      </c>
      <c r="C708" s="3">
        <v>28.3</v>
      </c>
      <c r="D708" s="3">
        <v>1</v>
      </c>
      <c r="E708" s="4" t="s">
        <v>8</v>
      </c>
      <c r="F708" s="4" t="s">
        <v>14</v>
      </c>
      <c r="G708" s="3">
        <v>5484.47</v>
      </c>
    </row>
    <row r="709" spans="1:7" ht="14.5">
      <c r="A709" s="3">
        <v>38</v>
      </c>
      <c r="B709" s="4" t="s">
        <v>10</v>
      </c>
      <c r="C709" s="3">
        <v>27.6</v>
      </c>
      <c r="D709" s="3">
        <v>0</v>
      </c>
      <c r="E709" s="4" t="s">
        <v>8</v>
      </c>
      <c r="F709" s="4" t="s">
        <v>12</v>
      </c>
      <c r="G709" s="3">
        <v>5383.54</v>
      </c>
    </row>
    <row r="710" spans="1:7" ht="14.5">
      <c r="A710" s="3">
        <v>38</v>
      </c>
      <c r="B710" s="4" t="s">
        <v>7</v>
      </c>
      <c r="C710" s="3">
        <v>20</v>
      </c>
      <c r="D710" s="3">
        <v>1</v>
      </c>
      <c r="E710" s="4" t="s">
        <v>8</v>
      </c>
      <c r="F710" s="4" t="s">
        <v>9</v>
      </c>
      <c r="G710" s="3">
        <v>5855.9</v>
      </c>
    </row>
    <row r="711" spans="1:7" ht="14.5">
      <c r="A711" s="3">
        <v>38</v>
      </c>
      <c r="B711" s="4" t="s">
        <v>7</v>
      </c>
      <c r="C711" s="3">
        <v>38.4</v>
      </c>
      <c r="D711" s="3">
        <v>3</v>
      </c>
      <c r="E711" s="4" t="s">
        <v>11</v>
      </c>
      <c r="F711" s="4" t="s">
        <v>14</v>
      </c>
      <c r="G711" s="3">
        <v>41949.24</v>
      </c>
    </row>
    <row r="712" spans="1:7" ht="14.5">
      <c r="A712" s="3">
        <v>38</v>
      </c>
      <c r="B712" s="4" t="s">
        <v>7</v>
      </c>
      <c r="C712" s="3">
        <v>29.3</v>
      </c>
      <c r="D712" s="3">
        <v>2</v>
      </c>
      <c r="E712" s="4" t="s">
        <v>8</v>
      </c>
      <c r="F712" s="4" t="s">
        <v>9</v>
      </c>
      <c r="G712" s="3">
        <v>6457.84</v>
      </c>
    </row>
    <row r="713" spans="1:7" ht="14.5">
      <c r="A713" s="3">
        <v>38</v>
      </c>
      <c r="B713" s="4" t="s">
        <v>10</v>
      </c>
      <c r="C713" s="3">
        <v>30.2</v>
      </c>
      <c r="D713" s="3">
        <v>3</v>
      </c>
      <c r="E713" s="4" t="s">
        <v>8</v>
      </c>
      <c r="F713" s="4" t="s">
        <v>9</v>
      </c>
      <c r="G713" s="3">
        <v>7537.16</v>
      </c>
    </row>
    <row r="714" spans="1:7" ht="14.5">
      <c r="A714" s="3">
        <v>38</v>
      </c>
      <c r="B714" s="4" t="s">
        <v>7</v>
      </c>
      <c r="C714" s="3">
        <v>16.8</v>
      </c>
      <c r="D714" s="3">
        <v>2</v>
      </c>
      <c r="E714" s="4" t="s">
        <v>8</v>
      </c>
      <c r="F714" s="4" t="s">
        <v>13</v>
      </c>
      <c r="G714" s="3">
        <v>6640.54</v>
      </c>
    </row>
    <row r="715" spans="1:7" ht="14.5">
      <c r="A715" s="3">
        <v>38</v>
      </c>
      <c r="B715" s="4" t="s">
        <v>10</v>
      </c>
      <c r="C715" s="3">
        <v>20</v>
      </c>
      <c r="D715" s="3">
        <v>2</v>
      </c>
      <c r="E715" s="4" t="s">
        <v>8</v>
      </c>
      <c r="F715" s="4" t="s">
        <v>13</v>
      </c>
      <c r="G715" s="3">
        <v>7133.9</v>
      </c>
    </row>
    <row r="716" spans="1:7" ht="14.5">
      <c r="A716" s="3">
        <v>37</v>
      </c>
      <c r="B716" s="4" t="s">
        <v>10</v>
      </c>
      <c r="C716" s="3">
        <v>27.7</v>
      </c>
      <c r="D716" s="3">
        <v>3</v>
      </c>
      <c r="E716" s="4" t="s">
        <v>8</v>
      </c>
      <c r="F716" s="4" t="s">
        <v>9</v>
      </c>
      <c r="G716" s="3">
        <v>7281.51</v>
      </c>
    </row>
    <row r="717" spans="1:7" ht="14.5">
      <c r="A717" s="3">
        <v>37</v>
      </c>
      <c r="B717" s="4" t="s">
        <v>7</v>
      </c>
      <c r="C717" s="3">
        <v>29.8</v>
      </c>
      <c r="D717" s="3">
        <v>2</v>
      </c>
      <c r="E717" s="4" t="s">
        <v>8</v>
      </c>
      <c r="F717" s="4" t="s">
        <v>13</v>
      </c>
      <c r="G717" s="3">
        <v>6406.41</v>
      </c>
    </row>
    <row r="718" spans="1:7" ht="14.5">
      <c r="A718" s="3">
        <v>37</v>
      </c>
      <c r="B718" s="4" t="s">
        <v>7</v>
      </c>
      <c r="C718" s="3">
        <v>28</v>
      </c>
      <c r="D718" s="3">
        <v>2</v>
      </c>
      <c r="E718" s="4" t="s">
        <v>8</v>
      </c>
      <c r="F718" s="4" t="s">
        <v>9</v>
      </c>
      <c r="G718" s="3">
        <v>6203.9</v>
      </c>
    </row>
    <row r="719" spans="1:7" ht="14.5">
      <c r="A719" s="3">
        <v>37</v>
      </c>
      <c r="B719" s="4" t="s">
        <v>10</v>
      </c>
      <c r="C719" s="3">
        <v>30.8</v>
      </c>
      <c r="D719" s="3">
        <v>2</v>
      </c>
      <c r="E719" s="4" t="s">
        <v>8</v>
      </c>
      <c r="F719" s="4" t="s">
        <v>14</v>
      </c>
      <c r="G719" s="3">
        <v>6313.76</v>
      </c>
    </row>
    <row r="720" spans="1:7" ht="14.5">
      <c r="A720" s="3">
        <v>37</v>
      </c>
      <c r="B720" s="4" t="s">
        <v>10</v>
      </c>
      <c r="C720" s="3">
        <v>34.799999999999997</v>
      </c>
      <c r="D720" s="3">
        <v>2</v>
      </c>
      <c r="E720" s="4" t="s">
        <v>11</v>
      </c>
      <c r="F720" s="4" t="s">
        <v>12</v>
      </c>
      <c r="G720" s="3">
        <v>39836.519999999997</v>
      </c>
    </row>
    <row r="721" spans="1:7" ht="14.5">
      <c r="A721" s="3">
        <v>37</v>
      </c>
      <c r="B721" s="4" t="s">
        <v>7</v>
      </c>
      <c r="C721" s="3">
        <v>30.8</v>
      </c>
      <c r="D721" s="3">
        <v>0</v>
      </c>
      <c r="E721" s="4" t="s">
        <v>8</v>
      </c>
      <c r="F721" s="4" t="s">
        <v>12</v>
      </c>
      <c r="G721" s="3">
        <v>4646.76</v>
      </c>
    </row>
    <row r="722" spans="1:7" ht="14.5">
      <c r="A722" s="3">
        <v>37</v>
      </c>
      <c r="B722" s="4" t="s">
        <v>10</v>
      </c>
      <c r="C722" s="3">
        <v>23.4</v>
      </c>
      <c r="D722" s="3">
        <v>2</v>
      </c>
      <c r="E722" s="4" t="s">
        <v>8</v>
      </c>
      <c r="F722" s="4" t="s">
        <v>9</v>
      </c>
      <c r="G722" s="3">
        <v>6686.43</v>
      </c>
    </row>
    <row r="723" spans="1:7" ht="14.5">
      <c r="A723" s="3">
        <v>37</v>
      </c>
      <c r="B723" s="4" t="s">
        <v>7</v>
      </c>
      <c r="C723" s="3">
        <v>29.6</v>
      </c>
      <c r="D723" s="3">
        <v>0</v>
      </c>
      <c r="E723" s="4" t="s">
        <v>8</v>
      </c>
      <c r="F723" s="4" t="s">
        <v>9</v>
      </c>
      <c r="G723" s="3">
        <v>5028.1499999999996</v>
      </c>
    </row>
    <row r="724" spans="1:7" ht="14.5">
      <c r="A724" s="3">
        <v>37</v>
      </c>
      <c r="B724" s="4" t="s">
        <v>7</v>
      </c>
      <c r="C724" s="3">
        <v>30.9</v>
      </c>
      <c r="D724" s="3">
        <v>3</v>
      </c>
      <c r="E724" s="4" t="s">
        <v>8</v>
      </c>
      <c r="F724" s="4" t="s">
        <v>9</v>
      </c>
      <c r="G724" s="3">
        <v>6796.86</v>
      </c>
    </row>
    <row r="725" spans="1:7" ht="14.5">
      <c r="A725" s="3">
        <v>37</v>
      </c>
      <c r="B725" s="4" t="s">
        <v>7</v>
      </c>
      <c r="C725" s="3">
        <v>36.200000000000003</v>
      </c>
      <c r="D725" s="3">
        <v>0</v>
      </c>
      <c r="E725" s="4" t="s">
        <v>8</v>
      </c>
      <c r="F725" s="4" t="s">
        <v>14</v>
      </c>
      <c r="G725" s="3">
        <v>19214.71</v>
      </c>
    </row>
    <row r="726" spans="1:7" ht="14.5">
      <c r="A726" s="3">
        <v>37</v>
      </c>
      <c r="B726" s="4" t="s">
        <v>7</v>
      </c>
      <c r="C726" s="3">
        <v>34.1</v>
      </c>
      <c r="D726" s="3">
        <v>4</v>
      </c>
      <c r="E726" s="4" t="s">
        <v>11</v>
      </c>
      <c r="F726" s="4" t="s">
        <v>12</v>
      </c>
      <c r="G726" s="3">
        <v>40182.25</v>
      </c>
    </row>
    <row r="727" spans="1:7" ht="14.5">
      <c r="A727" s="3">
        <v>37</v>
      </c>
      <c r="B727" s="4" t="s">
        <v>7</v>
      </c>
      <c r="C727" s="3">
        <v>46.5</v>
      </c>
      <c r="D727" s="3">
        <v>3</v>
      </c>
      <c r="E727" s="4" t="s">
        <v>8</v>
      </c>
      <c r="F727" s="4" t="s">
        <v>14</v>
      </c>
      <c r="G727" s="3">
        <v>6435.62</v>
      </c>
    </row>
    <row r="728" spans="1:7" ht="14.5">
      <c r="A728" s="3">
        <v>37</v>
      </c>
      <c r="B728" s="4" t="s">
        <v>10</v>
      </c>
      <c r="C728" s="3">
        <v>38.4</v>
      </c>
      <c r="D728" s="3">
        <v>0</v>
      </c>
      <c r="E728" s="4" t="s">
        <v>11</v>
      </c>
      <c r="F728" s="4" t="s">
        <v>14</v>
      </c>
      <c r="G728" s="3">
        <v>40419.019999999997</v>
      </c>
    </row>
    <row r="729" spans="1:7" ht="14.5">
      <c r="A729" s="3">
        <v>37</v>
      </c>
      <c r="B729" s="4" t="s">
        <v>10</v>
      </c>
      <c r="C729" s="3">
        <v>26.4</v>
      </c>
      <c r="D729" s="3">
        <v>0</v>
      </c>
      <c r="E729" s="4" t="s">
        <v>11</v>
      </c>
      <c r="F729" s="4" t="s">
        <v>14</v>
      </c>
      <c r="G729" s="3">
        <v>19539.240000000002</v>
      </c>
    </row>
    <row r="730" spans="1:7" ht="14.5">
      <c r="A730" s="3">
        <v>37</v>
      </c>
      <c r="B730" s="4" t="s">
        <v>10</v>
      </c>
      <c r="C730" s="3">
        <v>30.8</v>
      </c>
      <c r="D730" s="3">
        <v>0</v>
      </c>
      <c r="E730" s="4" t="s">
        <v>11</v>
      </c>
      <c r="F730" s="4" t="s">
        <v>13</v>
      </c>
      <c r="G730" s="3">
        <v>37270.15</v>
      </c>
    </row>
    <row r="731" spans="1:7" ht="14.5">
      <c r="A731" s="3">
        <v>37</v>
      </c>
      <c r="B731" s="4" t="s">
        <v>10</v>
      </c>
      <c r="C731" s="3">
        <v>47.6</v>
      </c>
      <c r="D731" s="3">
        <v>2</v>
      </c>
      <c r="E731" s="4" t="s">
        <v>11</v>
      </c>
      <c r="F731" s="4" t="s">
        <v>12</v>
      </c>
      <c r="G731" s="3">
        <v>46113.51</v>
      </c>
    </row>
    <row r="732" spans="1:7" ht="14.5">
      <c r="A732" s="3">
        <v>37</v>
      </c>
      <c r="B732" s="4" t="s">
        <v>10</v>
      </c>
      <c r="C732" s="3">
        <v>29.5</v>
      </c>
      <c r="D732" s="3">
        <v>2</v>
      </c>
      <c r="E732" s="4" t="s">
        <v>8</v>
      </c>
      <c r="F732" s="4" t="s">
        <v>12</v>
      </c>
      <c r="G732" s="3">
        <v>6311.95</v>
      </c>
    </row>
    <row r="733" spans="1:7" ht="14.5">
      <c r="A733" s="3">
        <v>37</v>
      </c>
      <c r="B733" s="4" t="s">
        <v>7</v>
      </c>
      <c r="C733" s="3">
        <v>34.200000000000003</v>
      </c>
      <c r="D733" s="3">
        <v>1</v>
      </c>
      <c r="E733" s="4" t="s">
        <v>11</v>
      </c>
      <c r="F733" s="4" t="s">
        <v>13</v>
      </c>
      <c r="G733" s="3">
        <v>39047.29</v>
      </c>
    </row>
    <row r="734" spans="1:7" ht="14.5">
      <c r="A734" s="3">
        <v>37</v>
      </c>
      <c r="B734" s="4" t="s">
        <v>10</v>
      </c>
      <c r="C734" s="3">
        <v>17.3</v>
      </c>
      <c r="D734" s="3">
        <v>2</v>
      </c>
      <c r="E734" s="4" t="s">
        <v>8</v>
      </c>
      <c r="F734" s="4" t="s">
        <v>13</v>
      </c>
      <c r="G734" s="3">
        <v>6877.98</v>
      </c>
    </row>
    <row r="735" spans="1:7" ht="14.5">
      <c r="A735" s="3">
        <v>37</v>
      </c>
      <c r="B735" s="4" t="s">
        <v>7</v>
      </c>
      <c r="C735" s="3">
        <v>37.1</v>
      </c>
      <c r="D735" s="3">
        <v>1</v>
      </c>
      <c r="E735" s="4" t="s">
        <v>11</v>
      </c>
      <c r="F735" s="4" t="s">
        <v>14</v>
      </c>
      <c r="G735" s="3">
        <v>39871.699999999997</v>
      </c>
    </row>
    <row r="736" spans="1:7" ht="14.5">
      <c r="A736" s="3">
        <v>37</v>
      </c>
      <c r="B736" s="4" t="s">
        <v>7</v>
      </c>
      <c r="C736" s="3">
        <v>29.8</v>
      </c>
      <c r="D736" s="3">
        <v>0</v>
      </c>
      <c r="E736" s="4" t="s">
        <v>8</v>
      </c>
      <c r="F736" s="4" t="s">
        <v>12</v>
      </c>
      <c r="G736" s="3">
        <v>20420.599999999999</v>
      </c>
    </row>
    <row r="737" spans="1:7" ht="14.5">
      <c r="A737" s="3">
        <v>37</v>
      </c>
      <c r="B737" s="4" t="s">
        <v>10</v>
      </c>
      <c r="C737" s="3">
        <v>34.1</v>
      </c>
      <c r="D737" s="3">
        <v>1</v>
      </c>
      <c r="E737" s="4" t="s">
        <v>8</v>
      </c>
      <c r="F737" s="4" t="s">
        <v>9</v>
      </c>
      <c r="G737" s="3">
        <v>6112.35</v>
      </c>
    </row>
    <row r="738" spans="1:7" ht="14.5">
      <c r="A738" s="3">
        <v>37</v>
      </c>
      <c r="B738" s="4" t="s">
        <v>7</v>
      </c>
      <c r="C738" s="3">
        <v>24.3</v>
      </c>
      <c r="D738" s="3">
        <v>2</v>
      </c>
      <c r="E738" s="4" t="s">
        <v>8</v>
      </c>
      <c r="F738" s="4" t="s">
        <v>9</v>
      </c>
      <c r="G738" s="3">
        <v>6198.75</v>
      </c>
    </row>
    <row r="739" spans="1:7" ht="14.5">
      <c r="A739" s="3">
        <v>37</v>
      </c>
      <c r="B739" s="4" t="s">
        <v>10</v>
      </c>
      <c r="C739" s="3">
        <v>25.6</v>
      </c>
      <c r="D739" s="3">
        <v>1</v>
      </c>
      <c r="E739" s="4" t="s">
        <v>11</v>
      </c>
      <c r="F739" s="4" t="s">
        <v>13</v>
      </c>
      <c r="G739" s="3">
        <v>20296.86</v>
      </c>
    </row>
    <row r="740" spans="1:7" ht="14.5">
      <c r="A740" s="3">
        <v>37</v>
      </c>
      <c r="B740" s="4" t="s">
        <v>7</v>
      </c>
      <c r="C740" s="3">
        <v>22.7</v>
      </c>
      <c r="D740" s="3">
        <v>3</v>
      </c>
      <c r="E740" s="4" t="s">
        <v>8</v>
      </c>
      <c r="F740" s="4" t="s">
        <v>13</v>
      </c>
      <c r="G740" s="3">
        <v>6985.51</v>
      </c>
    </row>
    <row r="741" spans="1:7" ht="14.5">
      <c r="A741" s="3">
        <v>36</v>
      </c>
      <c r="B741" s="4" t="s">
        <v>7</v>
      </c>
      <c r="C741" s="3">
        <v>35.200000000000003</v>
      </c>
      <c r="D741" s="3">
        <v>1</v>
      </c>
      <c r="E741" s="4" t="s">
        <v>11</v>
      </c>
      <c r="F741" s="4" t="s">
        <v>14</v>
      </c>
      <c r="G741" s="3">
        <v>38709.18</v>
      </c>
    </row>
    <row r="742" spans="1:7" ht="14.5">
      <c r="A742" s="3">
        <v>36</v>
      </c>
      <c r="B742" s="4" t="s">
        <v>7</v>
      </c>
      <c r="C742" s="3">
        <v>34.4</v>
      </c>
      <c r="D742" s="3">
        <v>0</v>
      </c>
      <c r="E742" s="4" t="s">
        <v>11</v>
      </c>
      <c r="F742" s="4" t="s">
        <v>14</v>
      </c>
      <c r="G742" s="3">
        <v>37742.58</v>
      </c>
    </row>
    <row r="743" spans="1:7" ht="14.5">
      <c r="A743" s="3">
        <v>36</v>
      </c>
      <c r="B743" s="4" t="s">
        <v>7</v>
      </c>
      <c r="C743" s="3">
        <v>41.9</v>
      </c>
      <c r="D743" s="3">
        <v>3</v>
      </c>
      <c r="E743" s="4" t="s">
        <v>11</v>
      </c>
      <c r="F743" s="4" t="s">
        <v>13</v>
      </c>
      <c r="G743" s="3">
        <v>43753.34</v>
      </c>
    </row>
    <row r="744" spans="1:7" ht="14.5">
      <c r="A744" s="3">
        <v>36</v>
      </c>
      <c r="B744" s="4" t="s">
        <v>10</v>
      </c>
      <c r="C744" s="3">
        <v>26.2</v>
      </c>
      <c r="D744" s="3">
        <v>0</v>
      </c>
      <c r="E744" s="4" t="s">
        <v>8</v>
      </c>
      <c r="F744" s="4" t="s">
        <v>12</v>
      </c>
      <c r="G744" s="3">
        <v>4883.87</v>
      </c>
    </row>
    <row r="745" spans="1:7" ht="14.5">
      <c r="A745" s="3">
        <v>36</v>
      </c>
      <c r="B745" s="4" t="s">
        <v>7</v>
      </c>
      <c r="C745" s="3">
        <v>27.6</v>
      </c>
      <c r="D745" s="3">
        <v>3</v>
      </c>
      <c r="E745" s="4" t="s">
        <v>8</v>
      </c>
      <c r="F745" s="4" t="s">
        <v>13</v>
      </c>
      <c r="G745" s="3">
        <v>6746.74</v>
      </c>
    </row>
    <row r="746" spans="1:7" ht="14.5">
      <c r="A746" s="3">
        <v>36</v>
      </c>
      <c r="B746" s="4" t="s">
        <v>10</v>
      </c>
      <c r="C746" s="3">
        <v>29.9</v>
      </c>
      <c r="D746" s="3">
        <v>1</v>
      </c>
      <c r="E746" s="4" t="s">
        <v>8</v>
      </c>
      <c r="F746" s="4" t="s">
        <v>14</v>
      </c>
      <c r="G746" s="3">
        <v>5478.04</v>
      </c>
    </row>
    <row r="747" spans="1:7" ht="14.5">
      <c r="A747" s="3">
        <v>36</v>
      </c>
      <c r="B747" s="4" t="s">
        <v>10</v>
      </c>
      <c r="C747" s="3">
        <v>22.6</v>
      </c>
      <c r="D747" s="3">
        <v>2</v>
      </c>
      <c r="E747" s="4" t="s">
        <v>11</v>
      </c>
      <c r="F747" s="4" t="s">
        <v>12</v>
      </c>
      <c r="G747" s="3">
        <v>18608.259999999998</v>
      </c>
    </row>
    <row r="748" spans="1:7" ht="14.5">
      <c r="A748" s="3">
        <v>36</v>
      </c>
      <c r="B748" s="4" t="s">
        <v>7</v>
      </c>
      <c r="C748" s="3">
        <v>28.9</v>
      </c>
      <c r="D748" s="3">
        <v>3</v>
      </c>
      <c r="E748" s="4" t="s">
        <v>8</v>
      </c>
      <c r="F748" s="4" t="s">
        <v>13</v>
      </c>
      <c r="G748" s="3">
        <v>6748.59</v>
      </c>
    </row>
    <row r="749" spans="1:7" ht="14.5">
      <c r="A749" s="3">
        <v>36</v>
      </c>
      <c r="B749" s="4" t="s">
        <v>7</v>
      </c>
      <c r="C749" s="3">
        <v>29.7</v>
      </c>
      <c r="D749" s="3">
        <v>0</v>
      </c>
      <c r="E749" s="4" t="s">
        <v>8</v>
      </c>
      <c r="F749" s="4" t="s">
        <v>14</v>
      </c>
      <c r="G749" s="3">
        <v>4399.7299999999996</v>
      </c>
    </row>
    <row r="750" spans="1:7" ht="14.5">
      <c r="A750" s="3">
        <v>36</v>
      </c>
      <c r="B750" s="4" t="s">
        <v>10</v>
      </c>
      <c r="C750" s="3">
        <v>27.7</v>
      </c>
      <c r="D750" s="3">
        <v>0</v>
      </c>
      <c r="E750" s="4" t="s">
        <v>8</v>
      </c>
      <c r="F750" s="4" t="s">
        <v>13</v>
      </c>
      <c r="G750" s="3">
        <v>5469.01</v>
      </c>
    </row>
    <row r="751" spans="1:7" ht="14.5">
      <c r="A751" s="3">
        <v>36</v>
      </c>
      <c r="B751" s="4" t="s">
        <v>7</v>
      </c>
      <c r="C751" s="3">
        <v>34.4</v>
      </c>
      <c r="D751" s="3">
        <v>2</v>
      </c>
      <c r="E751" s="4" t="s">
        <v>8</v>
      </c>
      <c r="F751" s="4" t="s">
        <v>14</v>
      </c>
      <c r="G751" s="3">
        <v>5584.31</v>
      </c>
    </row>
    <row r="752" spans="1:7" ht="14.5">
      <c r="A752" s="3">
        <v>36</v>
      </c>
      <c r="B752" s="4" t="s">
        <v>7</v>
      </c>
      <c r="C752" s="3">
        <v>28</v>
      </c>
      <c r="D752" s="3">
        <v>1</v>
      </c>
      <c r="E752" s="4" t="s">
        <v>11</v>
      </c>
      <c r="F752" s="4" t="s">
        <v>13</v>
      </c>
      <c r="G752" s="3">
        <v>20773.63</v>
      </c>
    </row>
    <row r="753" spans="1:7" ht="14.5">
      <c r="A753" s="3">
        <v>36</v>
      </c>
      <c r="B753" s="4" t="s">
        <v>10</v>
      </c>
      <c r="C753" s="3">
        <v>25.8</v>
      </c>
      <c r="D753" s="3">
        <v>0</v>
      </c>
      <c r="E753" s="4" t="s">
        <v>8</v>
      </c>
      <c r="F753" s="4" t="s">
        <v>9</v>
      </c>
      <c r="G753" s="3">
        <v>5266.37</v>
      </c>
    </row>
    <row r="754" spans="1:7" ht="14.5">
      <c r="A754" s="3">
        <v>36</v>
      </c>
      <c r="B754" s="4" t="s">
        <v>7</v>
      </c>
      <c r="C754" s="3">
        <v>33.799999999999997</v>
      </c>
      <c r="D754" s="3">
        <v>1</v>
      </c>
      <c r="E754" s="4" t="s">
        <v>8</v>
      </c>
      <c r="F754" s="4" t="s">
        <v>9</v>
      </c>
      <c r="G754" s="3">
        <v>5377.46</v>
      </c>
    </row>
    <row r="755" spans="1:7" ht="14.5">
      <c r="A755" s="3">
        <v>36</v>
      </c>
      <c r="B755" s="4" t="s">
        <v>7</v>
      </c>
      <c r="C755" s="3">
        <v>31.5</v>
      </c>
      <c r="D755" s="3">
        <v>0</v>
      </c>
      <c r="E755" s="4" t="s">
        <v>8</v>
      </c>
      <c r="F755" s="4" t="s">
        <v>12</v>
      </c>
      <c r="G755" s="3">
        <v>4402.2299999999996</v>
      </c>
    </row>
    <row r="756" spans="1:7" ht="14.5">
      <c r="A756" s="3">
        <v>36</v>
      </c>
      <c r="B756" s="4" t="s">
        <v>10</v>
      </c>
      <c r="C756" s="3">
        <v>19.899999999999999</v>
      </c>
      <c r="D756" s="3">
        <v>0</v>
      </c>
      <c r="E756" s="4" t="s">
        <v>8</v>
      </c>
      <c r="F756" s="4" t="s">
        <v>13</v>
      </c>
      <c r="G756" s="3">
        <v>5458.05</v>
      </c>
    </row>
    <row r="757" spans="1:7" ht="14.5">
      <c r="A757" s="3">
        <v>36</v>
      </c>
      <c r="B757" s="4" t="s">
        <v>10</v>
      </c>
      <c r="C757" s="3">
        <v>30</v>
      </c>
      <c r="D757" s="3">
        <v>0</v>
      </c>
      <c r="E757" s="4" t="s">
        <v>8</v>
      </c>
      <c r="F757" s="4" t="s">
        <v>9</v>
      </c>
      <c r="G757" s="3">
        <v>5272.18</v>
      </c>
    </row>
    <row r="758" spans="1:7" ht="14.5">
      <c r="A758" s="3">
        <v>36</v>
      </c>
      <c r="B758" s="4" t="s">
        <v>10</v>
      </c>
      <c r="C758" s="3">
        <v>29</v>
      </c>
      <c r="D758" s="3">
        <v>4</v>
      </c>
      <c r="E758" s="4" t="s">
        <v>8</v>
      </c>
      <c r="F758" s="4" t="s">
        <v>14</v>
      </c>
      <c r="G758" s="3">
        <v>7243.81</v>
      </c>
    </row>
    <row r="759" spans="1:7" ht="14.5">
      <c r="A759" s="3">
        <v>36</v>
      </c>
      <c r="B759" s="4" t="s">
        <v>10</v>
      </c>
      <c r="C759" s="3">
        <v>29.9</v>
      </c>
      <c r="D759" s="3">
        <v>0</v>
      </c>
      <c r="E759" s="4" t="s">
        <v>8</v>
      </c>
      <c r="F759" s="4" t="s">
        <v>14</v>
      </c>
      <c r="G759" s="3">
        <v>4889.04</v>
      </c>
    </row>
    <row r="760" spans="1:7" ht="14.5">
      <c r="A760" s="3">
        <v>36</v>
      </c>
      <c r="B760" s="4" t="s">
        <v>10</v>
      </c>
      <c r="C760" s="3">
        <v>26.9</v>
      </c>
      <c r="D760" s="3">
        <v>0</v>
      </c>
      <c r="E760" s="4" t="s">
        <v>8</v>
      </c>
      <c r="F760" s="4" t="s">
        <v>9</v>
      </c>
      <c r="G760" s="3">
        <v>5267.82</v>
      </c>
    </row>
    <row r="761" spans="1:7" ht="14.5">
      <c r="A761" s="3">
        <v>36</v>
      </c>
      <c r="B761" s="4" t="s">
        <v>7</v>
      </c>
      <c r="C761" s="3">
        <v>28.6</v>
      </c>
      <c r="D761" s="3">
        <v>3</v>
      </c>
      <c r="E761" s="4" t="s">
        <v>8</v>
      </c>
      <c r="F761" s="4" t="s">
        <v>9</v>
      </c>
      <c r="G761" s="3">
        <v>6548.2</v>
      </c>
    </row>
    <row r="762" spans="1:7" ht="14.5">
      <c r="A762" s="3">
        <v>36</v>
      </c>
      <c r="B762" s="4" t="s">
        <v>10</v>
      </c>
      <c r="C762" s="3">
        <v>22.1</v>
      </c>
      <c r="D762" s="3">
        <v>3</v>
      </c>
      <c r="E762" s="4" t="s">
        <v>8</v>
      </c>
      <c r="F762" s="4" t="s">
        <v>13</v>
      </c>
      <c r="G762" s="3">
        <v>7228.22</v>
      </c>
    </row>
    <row r="763" spans="1:7" ht="14.5">
      <c r="A763" s="3">
        <v>36</v>
      </c>
      <c r="B763" s="4" t="s">
        <v>7</v>
      </c>
      <c r="C763" s="3">
        <v>33.4</v>
      </c>
      <c r="D763" s="3">
        <v>2</v>
      </c>
      <c r="E763" s="4" t="s">
        <v>11</v>
      </c>
      <c r="F763" s="4" t="s">
        <v>12</v>
      </c>
      <c r="G763" s="3">
        <v>38415.47</v>
      </c>
    </row>
    <row r="764" spans="1:7" ht="14.5">
      <c r="A764" s="3">
        <v>36</v>
      </c>
      <c r="B764" s="4" t="s">
        <v>7</v>
      </c>
      <c r="C764" s="3">
        <v>30.9</v>
      </c>
      <c r="D764" s="3">
        <v>1</v>
      </c>
      <c r="E764" s="4" t="s">
        <v>8</v>
      </c>
      <c r="F764" s="4" t="s">
        <v>9</v>
      </c>
      <c r="G764" s="3">
        <v>5373.36</v>
      </c>
    </row>
    <row r="765" spans="1:7" ht="14.5">
      <c r="A765" s="3">
        <v>36</v>
      </c>
      <c r="B765" s="4" t="s">
        <v>10</v>
      </c>
      <c r="C765" s="3">
        <v>25.9</v>
      </c>
      <c r="D765" s="3">
        <v>1</v>
      </c>
      <c r="E765" s="4" t="s">
        <v>8</v>
      </c>
      <c r="F765" s="4" t="s">
        <v>12</v>
      </c>
      <c r="G765" s="3">
        <v>5472.45</v>
      </c>
    </row>
    <row r="766" spans="1:7" ht="14.5">
      <c r="A766" s="3">
        <v>35</v>
      </c>
      <c r="B766" s="4" t="s">
        <v>7</v>
      </c>
      <c r="C766" s="3">
        <v>36.700000000000003</v>
      </c>
      <c r="D766" s="3">
        <v>1</v>
      </c>
      <c r="E766" s="4" t="s">
        <v>11</v>
      </c>
      <c r="F766" s="4" t="s">
        <v>13</v>
      </c>
      <c r="G766" s="3">
        <v>39774.28</v>
      </c>
    </row>
    <row r="767" spans="1:7" ht="14.5">
      <c r="A767" s="3">
        <v>35</v>
      </c>
      <c r="B767" s="4" t="s">
        <v>7</v>
      </c>
      <c r="C767" s="3">
        <v>34.799999999999997</v>
      </c>
      <c r="D767" s="3">
        <v>2</v>
      </c>
      <c r="E767" s="4" t="s">
        <v>8</v>
      </c>
      <c r="F767" s="4" t="s">
        <v>9</v>
      </c>
      <c r="G767" s="3">
        <v>5729.01</v>
      </c>
    </row>
    <row r="768" spans="1:7" ht="14.5">
      <c r="A768" s="3">
        <v>35</v>
      </c>
      <c r="B768" s="4" t="s">
        <v>7</v>
      </c>
      <c r="C768" s="3">
        <v>24.1</v>
      </c>
      <c r="D768" s="3">
        <v>1</v>
      </c>
      <c r="E768" s="4" t="s">
        <v>8</v>
      </c>
      <c r="F768" s="4" t="s">
        <v>9</v>
      </c>
      <c r="G768" s="3">
        <v>5125.22</v>
      </c>
    </row>
    <row r="769" spans="1:7" ht="14.5">
      <c r="A769" s="3">
        <v>35</v>
      </c>
      <c r="B769" s="4" t="s">
        <v>10</v>
      </c>
      <c r="C769" s="3">
        <v>34.799999999999997</v>
      </c>
      <c r="D769" s="3">
        <v>1</v>
      </c>
      <c r="E769" s="4" t="s">
        <v>8</v>
      </c>
      <c r="F769" s="4" t="s">
        <v>12</v>
      </c>
      <c r="G769" s="3">
        <v>5246.05</v>
      </c>
    </row>
    <row r="770" spans="1:7" ht="14.5">
      <c r="A770" s="3">
        <v>35</v>
      </c>
      <c r="B770" s="4" t="s">
        <v>7</v>
      </c>
      <c r="C770" s="3">
        <v>27.7</v>
      </c>
      <c r="D770" s="3">
        <v>2</v>
      </c>
      <c r="E770" s="4" t="s">
        <v>11</v>
      </c>
      <c r="F770" s="4" t="s">
        <v>13</v>
      </c>
      <c r="G770" s="3">
        <v>20984.09</v>
      </c>
    </row>
    <row r="771" spans="1:7" ht="14.5">
      <c r="A771" s="3">
        <v>35</v>
      </c>
      <c r="B771" s="4" t="s">
        <v>7</v>
      </c>
      <c r="C771" s="3">
        <v>30.5</v>
      </c>
      <c r="D771" s="3">
        <v>1</v>
      </c>
      <c r="E771" s="4" t="s">
        <v>8</v>
      </c>
      <c r="F771" s="4" t="s">
        <v>12</v>
      </c>
      <c r="G771" s="3">
        <v>4751.07</v>
      </c>
    </row>
    <row r="772" spans="1:7" ht="14.5">
      <c r="A772" s="3">
        <v>35</v>
      </c>
      <c r="B772" s="4" t="s">
        <v>10</v>
      </c>
      <c r="C772" s="3">
        <v>43.3</v>
      </c>
      <c r="D772" s="3">
        <v>2</v>
      </c>
      <c r="E772" s="4" t="s">
        <v>8</v>
      </c>
      <c r="F772" s="4" t="s">
        <v>14</v>
      </c>
      <c r="G772" s="3">
        <v>5846.92</v>
      </c>
    </row>
    <row r="773" spans="1:7" ht="14.5">
      <c r="A773" s="3">
        <v>35</v>
      </c>
      <c r="B773" s="4" t="s">
        <v>7</v>
      </c>
      <c r="C773" s="3">
        <v>28.9</v>
      </c>
      <c r="D773" s="3">
        <v>3</v>
      </c>
      <c r="E773" s="4" t="s">
        <v>8</v>
      </c>
      <c r="F773" s="4" t="s">
        <v>12</v>
      </c>
      <c r="G773" s="3">
        <v>5926.85</v>
      </c>
    </row>
    <row r="774" spans="1:7" ht="14.5">
      <c r="A774" s="3">
        <v>35</v>
      </c>
      <c r="B774" s="4" t="s">
        <v>7</v>
      </c>
      <c r="C774" s="3">
        <v>38.6</v>
      </c>
      <c r="D774" s="3">
        <v>1</v>
      </c>
      <c r="E774" s="4" t="s">
        <v>8</v>
      </c>
      <c r="F774" s="4" t="s">
        <v>12</v>
      </c>
      <c r="G774" s="3">
        <v>4762.33</v>
      </c>
    </row>
    <row r="775" spans="1:7" ht="14.5">
      <c r="A775" s="3">
        <v>35</v>
      </c>
      <c r="B775" s="4" t="s">
        <v>10</v>
      </c>
      <c r="C775" s="3">
        <v>31</v>
      </c>
      <c r="D775" s="3">
        <v>1</v>
      </c>
      <c r="E775" s="4" t="s">
        <v>8</v>
      </c>
      <c r="F775" s="4" t="s">
        <v>12</v>
      </c>
      <c r="G775" s="3">
        <v>5240.7700000000004</v>
      </c>
    </row>
    <row r="776" spans="1:7" ht="14.5">
      <c r="A776" s="3">
        <v>35</v>
      </c>
      <c r="B776" s="4" t="s">
        <v>10</v>
      </c>
      <c r="C776" s="3">
        <v>34.1</v>
      </c>
      <c r="D776" s="3">
        <v>3</v>
      </c>
      <c r="E776" s="4" t="s">
        <v>11</v>
      </c>
      <c r="F776" s="4" t="s">
        <v>9</v>
      </c>
      <c r="G776" s="3">
        <v>39983.43</v>
      </c>
    </row>
    <row r="777" spans="1:7" ht="14.5">
      <c r="A777" s="3">
        <v>35</v>
      </c>
      <c r="B777" s="4" t="s">
        <v>10</v>
      </c>
      <c r="C777" s="3">
        <v>38.1</v>
      </c>
      <c r="D777" s="3">
        <v>2</v>
      </c>
      <c r="E777" s="4" t="s">
        <v>8</v>
      </c>
      <c r="F777" s="4" t="s">
        <v>13</v>
      </c>
      <c r="G777" s="3">
        <v>24915.05</v>
      </c>
    </row>
    <row r="778" spans="1:7" ht="14.5">
      <c r="A778" s="3">
        <v>35</v>
      </c>
      <c r="B778" s="4" t="s">
        <v>7</v>
      </c>
      <c r="C778" s="3">
        <v>24.4</v>
      </c>
      <c r="D778" s="3">
        <v>3</v>
      </c>
      <c r="E778" s="4" t="s">
        <v>11</v>
      </c>
      <c r="F778" s="4" t="s">
        <v>14</v>
      </c>
      <c r="G778" s="3">
        <v>19362</v>
      </c>
    </row>
    <row r="779" spans="1:7" ht="14.5">
      <c r="A779" s="3">
        <v>35</v>
      </c>
      <c r="B779" s="4" t="s">
        <v>7</v>
      </c>
      <c r="C779" s="3">
        <v>34.299999999999997</v>
      </c>
      <c r="D779" s="3">
        <v>3</v>
      </c>
      <c r="E779" s="4" t="s">
        <v>8</v>
      </c>
      <c r="F779" s="4" t="s">
        <v>14</v>
      </c>
      <c r="G779" s="3">
        <v>5934.38</v>
      </c>
    </row>
    <row r="780" spans="1:7" ht="14.5">
      <c r="A780" s="3">
        <v>35</v>
      </c>
      <c r="B780" s="4" t="s">
        <v>10</v>
      </c>
      <c r="C780" s="3">
        <v>27.7</v>
      </c>
      <c r="D780" s="3">
        <v>3</v>
      </c>
      <c r="E780" s="4" t="s">
        <v>8</v>
      </c>
      <c r="F780" s="4" t="s">
        <v>12</v>
      </c>
      <c r="G780" s="3">
        <v>6414.18</v>
      </c>
    </row>
    <row r="781" spans="1:7" ht="14.5">
      <c r="A781" s="3">
        <v>35</v>
      </c>
      <c r="B781" s="4" t="s">
        <v>10</v>
      </c>
      <c r="C781" s="3">
        <v>23.5</v>
      </c>
      <c r="D781" s="3">
        <v>2</v>
      </c>
      <c r="E781" s="4" t="s">
        <v>8</v>
      </c>
      <c r="F781" s="4" t="s">
        <v>13</v>
      </c>
      <c r="G781" s="3">
        <v>6402.29</v>
      </c>
    </row>
    <row r="782" spans="1:7" ht="14.5">
      <c r="A782" s="3">
        <v>35</v>
      </c>
      <c r="B782" s="4" t="s">
        <v>10</v>
      </c>
      <c r="C782" s="3">
        <v>34.200000000000003</v>
      </c>
      <c r="D782" s="3">
        <v>1</v>
      </c>
      <c r="E782" s="4" t="s">
        <v>8</v>
      </c>
      <c r="F782" s="4" t="s">
        <v>14</v>
      </c>
      <c r="G782" s="3">
        <v>5245.23</v>
      </c>
    </row>
    <row r="783" spans="1:7" ht="14.5">
      <c r="A783" s="3">
        <v>35</v>
      </c>
      <c r="B783" s="4" t="s">
        <v>7</v>
      </c>
      <c r="C783" s="3">
        <v>27.1</v>
      </c>
      <c r="D783" s="3">
        <v>1</v>
      </c>
      <c r="E783" s="4" t="s">
        <v>8</v>
      </c>
      <c r="F783" s="4" t="s">
        <v>12</v>
      </c>
      <c r="G783" s="3">
        <v>4746.34</v>
      </c>
    </row>
    <row r="784" spans="1:7" ht="14.5">
      <c r="A784" s="3">
        <v>35</v>
      </c>
      <c r="B784" s="4" t="s">
        <v>10</v>
      </c>
      <c r="C784" s="3">
        <v>28</v>
      </c>
      <c r="D784" s="3">
        <v>0</v>
      </c>
      <c r="E784" s="4" t="s">
        <v>11</v>
      </c>
      <c r="F784" s="4" t="s">
        <v>9</v>
      </c>
      <c r="G784" s="3">
        <v>20234.849999999999</v>
      </c>
    </row>
    <row r="785" spans="1:7" ht="14.5">
      <c r="A785" s="3">
        <v>35</v>
      </c>
      <c r="B785" s="4" t="s">
        <v>10</v>
      </c>
      <c r="C785" s="3">
        <v>35.9</v>
      </c>
      <c r="D785" s="3">
        <v>2</v>
      </c>
      <c r="E785" s="4" t="s">
        <v>8</v>
      </c>
      <c r="F785" s="4" t="s">
        <v>14</v>
      </c>
      <c r="G785" s="3">
        <v>5836.52</v>
      </c>
    </row>
    <row r="786" spans="1:7" ht="14.5">
      <c r="A786" s="3">
        <v>35</v>
      </c>
      <c r="B786" s="4" t="s">
        <v>10</v>
      </c>
      <c r="C786" s="3">
        <v>35.799999999999997</v>
      </c>
      <c r="D786" s="3">
        <v>1</v>
      </c>
      <c r="E786" s="4" t="s">
        <v>8</v>
      </c>
      <c r="F786" s="4" t="s">
        <v>9</v>
      </c>
      <c r="G786" s="3">
        <v>5630.46</v>
      </c>
    </row>
    <row r="787" spans="1:7" ht="14.5">
      <c r="A787" s="3">
        <v>35</v>
      </c>
      <c r="B787" s="4" t="s">
        <v>10</v>
      </c>
      <c r="C787" s="3">
        <v>26.1</v>
      </c>
      <c r="D787" s="3">
        <v>0</v>
      </c>
      <c r="E787" s="4" t="s">
        <v>8</v>
      </c>
      <c r="F787" s="4" t="s">
        <v>13</v>
      </c>
      <c r="G787" s="3">
        <v>5227.99</v>
      </c>
    </row>
    <row r="788" spans="1:7" ht="14.5">
      <c r="A788" s="3">
        <v>35</v>
      </c>
      <c r="B788" s="4" t="s">
        <v>7</v>
      </c>
      <c r="C788" s="3">
        <v>17.899999999999999</v>
      </c>
      <c r="D788" s="3">
        <v>1</v>
      </c>
      <c r="E788" s="4" t="s">
        <v>8</v>
      </c>
      <c r="F788" s="4" t="s">
        <v>9</v>
      </c>
      <c r="G788" s="3">
        <v>5116.5</v>
      </c>
    </row>
    <row r="789" spans="1:7" ht="14.5">
      <c r="A789" s="3">
        <v>35</v>
      </c>
      <c r="B789" s="4" t="s">
        <v>7</v>
      </c>
      <c r="C789" s="3">
        <v>27.6</v>
      </c>
      <c r="D789" s="3">
        <v>1</v>
      </c>
      <c r="E789" s="4" t="s">
        <v>8</v>
      </c>
      <c r="F789" s="4" t="s">
        <v>14</v>
      </c>
      <c r="G789" s="3">
        <v>4747.05</v>
      </c>
    </row>
    <row r="790" spans="1:7" ht="14.5">
      <c r="A790" s="3">
        <v>35</v>
      </c>
      <c r="B790" s="4" t="s">
        <v>7</v>
      </c>
      <c r="C790" s="3">
        <v>39.700000000000003</v>
      </c>
      <c r="D790" s="3">
        <v>4</v>
      </c>
      <c r="E790" s="4" t="s">
        <v>8</v>
      </c>
      <c r="F790" s="4" t="s">
        <v>13</v>
      </c>
      <c r="G790" s="3">
        <v>19496.72</v>
      </c>
    </row>
    <row r="791" spans="1:7" ht="14.5">
      <c r="A791" s="3">
        <v>34</v>
      </c>
      <c r="B791" s="4" t="s">
        <v>10</v>
      </c>
      <c r="C791" s="3">
        <v>31.9</v>
      </c>
      <c r="D791" s="3">
        <v>1</v>
      </c>
      <c r="E791" s="4" t="s">
        <v>11</v>
      </c>
      <c r="F791" s="4" t="s">
        <v>13</v>
      </c>
      <c r="G791" s="3">
        <v>37701.879999999997</v>
      </c>
    </row>
    <row r="792" spans="1:7" ht="14.5">
      <c r="A792" s="3">
        <v>34</v>
      </c>
      <c r="B792" s="4" t="s">
        <v>10</v>
      </c>
      <c r="C792" s="3">
        <v>37.299999999999997</v>
      </c>
      <c r="D792" s="3">
        <v>2</v>
      </c>
      <c r="E792" s="4" t="s">
        <v>8</v>
      </c>
      <c r="F792" s="4" t="s">
        <v>9</v>
      </c>
      <c r="G792" s="3">
        <v>5989.52</v>
      </c>
    </row>
    <row r="793" spans="1:7" ht="14.5">
      <c r="A793" s="3">
        <v>34</v>
      </c>
      <c r="B793" s="4" t="s">
        <v>10</v>
      </c>
      <c r="C793" s="3">
        <v>27.5</v>
      </c>
      <c r="D793" s="3">
        <v>1</v>
      </c>
      <c r="E793" s="4" t="s">
        <v>8</v>
      </c>
      <c r="F793" s="4" t="s">
        <v>12</v>
      </c>
      <c r="G793" s="3">
        <v>5003.8500000000004</v>
      </c>
    </row>
    <row r="794" spans="1:7" ht="14.5">
      <c r="A794" s="3">
        <v>34</v>
      </c>
      <c r="B794" s="4" t="s">
        <v>7</v>
      </c>
      <c r="C794" s="3">
        <v>22.4</v>
      </c>
      <c r="D794" s="3">
        <v>2</v>
      </c>
      <c r="E794" s="4" t="s">
        <v>8</v>
      </c>
      <c r="F794" s="4" t="s">
        <v>13</v>
      </c>
      <c r="G794" s="3">
        <v>27375.9</v>
      </c>
    </row>
    <row r="795" spans="1:7" ht="14.5">
      <c r="A795" s="3">
        <v>34</v>
      </c>
      <c r="B795" s="4" t="s">
        <v>7</v>
      </c>
      <c r="C795" s="3">
        <v>25.3</v>
      </c>
      <c r="D795" s="3">
        <v>2</v>
      </c>
      <c r="E795" s="4" t="s">
        <v>11</v>
      </c>
      <c r="F795" s="4" t="s">
        <v>14</v>
      </c>
      <c r="G795" s="3">
        <v>18972.5</v>
      </c>
    </row>
    <row r="796" spans="1:7" ht="14.5">
      <c r="A796" s="3">
        <v>34</v>
      </c>
      <c r="B796" s="4" t="s">
        <v>10</v>
      </c>
      <c r="C796" s="3">
        <v>26.7</v>
      </c>
      <c r="D796" s="3">
        <v>1</v>
      </c>
      <c r="E796" s="4" t="s">
        <v>8</v>
      </c>
      <c r="F796" s="4" t="s">
        <v>14</v>
      </c>
      <c r="G796" s="3">
        <v>5002.78</v>
      </c>
    </row>
    <row r="797" spans="1:7" ht="14.5">
      <c r="A797" s="3">
        <v>34</v>
      </c>
      <c r="B797" s="4" t="s">
        <v>10</v>
      </c>
      <c r="C797" s="3">
        <v>33.700000000000003</v>
      </c>
      <c r="D797" s="3">
        <v>1</v>
      </c>
      <c r="E797" s="4" t="s">
        <v>8</v>
      </c>
      <c r="F797" s="4" t="s">
        <v>12</v>
      </c>
      <c r="G797" s="3">
        <v>5012.47</v>
      </c>
    </row>
    <row r="798" spans="1:7" ht="14.5">
      <c r="A798" s="3">
        <v>34</v>
      </c>
      <c r="B798" s="4" t="s">
        <v>7</v>
      </c>
      <c r="C798" s="3">
        <v>25.3</v>
      </c>
      <c r="D798" s="3">
        <v>1</v>
      </c>
      <c r="E798" s="4" t="s">
        <v>8</v>
      </c>
      <c r="F798" s="4" t="s">
        <v>9</v>
      </c>
      <c r="G798" s="3">
        <v>4894.75</v>
      </c>
    </row>
    <row r="799" spans="1:7" ht="14.5">
      <c r="A799" s="3">
        <v>34</v>
      </c>
      <c r="B799" s="4" t="s">
        <v>7</v>
      </c>
      <c r="C799" s="3">
        <v>30.8</v>
      </c>
      <c r="D799" s="3">
        <v>0</v>
      </c>
      <c r="E799" s="4" t="s">
        <v>11</v>
      </c>
      <c r="F799" s="4" t="s">
        <v>12</v>
      </c>
      <c r="G799" s="3">
        <v>35491.64</v>
      </c>
    </row>
    <row r="800" spans="1:7" ht="14.5">
      <c r="A800" s="3">
        <v>34</v>
      </c>
      <c r="B800" s="4" t="s">
        <v>10</v>
      </c>
      <c r="C800" s="3">
        <v>29.3</v>
      </c>
      <c r="D800" s="3">
        <v>3</v>
      </c>
      <c r="E800" s="4" t="s">
        <v>8</v>
      </c>
      <c r="F800" s="4" t="s">
        <v>14</v>
      </c>
      <c r="G800" s="3">
        <v>6184.3</v>
      </c>
    </row>
    <row r="801" spans="1:7" ht="14.5">
      <c r="A801" s="3">
        <v>34</v>
      </c>
      <c r="B801" s="4" t="s">
        <v>10</v>
      </c>
      <c r="C801" s="3">
        <v>38</v>
      </c>
      <c r="D801" s="3">
        <v>3</v>
      </c>
      <c r="E801" s="4" t="s">
        <v>8</v>
      </c>
      <c r="F801" s="4" t="s">
        <v>12</v>
      </c>
      <c r="G801" s="3">
        <v>6196.45</v>
      </c>
    </row>
    <row r="802" spans="1:7" ht="14.5">
      <c r="A802" s="3">
        <v>34</v>
      </c>
      <c r="B802" s="4" t="s">
        <v>7</v>
      </c>
      <c r="C802" s="3">
        <v>34.200000000000003</v>
      </c>
      <c r="D802" s="3">
        <v>0</v>
      </c>
      <c r="E802" s="4" t="s">
        <v>8</v>
      </c>
      <c r="F802" s="4" t="s">
        <v>14</v>
      </c>
      <c r="G802" s="3">
        <v>3935.18</v>
      </c>
    </row>
    <row r="803" spans="1:7" ht="14.5">
      <c r="A803" s="3">
        <v>34</v>
      </c>
      <c r="B803" s="4" t="s">
        <v>10</v>
      </c>
      <c r="C803" s="3">
        <v>30.2</v>
      </c>
      <c r="D803" s="3">
        <v>1</v>
      </c>
      <c r="E803" s="4" t="s">
        <v>11</v>
      </c>
      <c r="F803" s="4" t="s">
        <v>9</v>
      </c>
      <c r="G803" s="3">
        <v>43943.88</v>
      </c>
    </row>
    <row r="804" spans="1:7" ht="14.5">
      <c r="A804" s="3">
        <v>34</v>
      </c>
      <c r="B804" s="4" t="s">
        <v>10</v>
      </c>
      <c r="C804" s="3">
        <v>33.299999999999997</v>
      </c>
      <c r="D804" s="3">
        <v>1</v>
      </c>
      <c r="E804" s="4" t="s">
        <v>8</v>
      </c>
      <c r="F804" s="4" t="s">
        <v>13</v>
      </c>
      <c r="G804" s="3">
        <v>5594.85</v>
      </c>
    </row>
    <row r="805" spans="1:7" ht="14.5">
      <c r="A805" s="3">
        <v>34</v>
      </c>
      <c r="B805" s="4" t="s">
        <v>10</v>
      </c>
      <c r="C805" s="3">
        <v>19</v>
      </c>
      <c r="D805" s="3">
        <v>3</v>
      </c>
      <c r="E805" s="4" t="s">
        <v>8</v>
      </c>
      <c r="F805" s="4" t="s">
        <v>13</v>
      </c>
      <c r="G805" s="3">
        <v>6753.04</v>
      </c>
    </row>
    <row r="806" spans="1:7" ht="14.5">
      <c r="A806" s="3">
        <v>34</v>
      </c>
      <c r="B806" s="4" t="s">
        <v>10</v>
      </c>
      <c r="C806" s="3">
        <v>26.4</v>
      </c>
      <c r="D806" s="3">
        <v>1</v>
      </c>
      <c r="E806" s="4" t="s">
        <v>8</v>
      </c>
      <c r="F806" s="4" t="s">
        <v>9</v>
      </c>
      <c r="G806" s="3">
        <v>5385.34</v>
      </c>
    </row>
    <row r="807" spans="1:7" ht="14.5">
      <c r="A807" s="3">
        <v>34</v>
      </c>
      <c r="B807" s="4" t="s">
        <v>7</v>
      </c>
      <c r="C807" s="3">
        <v>27</v>
      </c>
      <c r="D807" s="3">
        <v>2</v>
      </c>
      <c r="E807" s="4" t="s">
        <v>8</v>
      </c>
      <c r="F807" s="4" t="s">
        <v>12</v>
      </c>
      <c r="G807" s="3">
        <v>11737.85</v>
      </c>
    </row>
    <row r="808" spans="1:7" ht="14.5">
      <c r="A808" s="3">
        <v>34</v>
      </c>
      <c r="B808" s="4" t="s">
        <v>7</v>
      </c>
      <c r="C808" s="3">
        <v>35.799999999999997</v>
      </c>
      <c r="D808" s="3">
        <v>0</v>
      </c>
      <c r="E808" s="4" t="s">
        <v>8</v>
      </c>
      <c r="F808" s="4" t="s">
        <v>9</v>
      </c>
      <c r="G808" s="3">
        <v>4320.41</v>
      </c>
    </row>
    <row r="809" spans="1:7" ht="14.5">
      <c r="A809" s="3">
        <v>34</v>
      </c>
      <c r="B809" s="4" t="s">
        <v>7</v>
      </c>
      <c r="C809" s="3">
        <v>27.8</v>
      </c>
      <c r="D809" s="3">
        <v>1</v>
      </c>
      <c r="E809" s="4" t="s">
        <v>11</v>
      </c>
      <c r="F809" s="4" t="s">
        <v>9</v>
      </c>
      <c r="G809" s="3">
        <v>20009.63</v>
      </c>
    </row>
    <row r="810" spans="1:7" ht="14.5">
      <c r="A810" s="3">
        <v>34</v>
      </c>
      <c r="B810" s="4" t="s">
        <v>10</v>
      </c>
      <c r="C810" s="3">
        <v>23.6</v>
      </c>
      <c r="D810" s="3">
        <v>0</v>
      </c>
      <c r="E810" s="4" t="s">
        <v>8</v>
      </c>
      <c r="F810" s="4" t="s">
        <v>13</v>
      </c>
      <c r="G810" s="3">
        <v>4992.38</v>
      </c>
    </row>
    <row r="811" spans="1:7" ht="14.5">
      <c r="A811" s="3">
        <v>34</v>
      </c>
      <c r="B811" s="4" t="s">
        <v>7</v>
      </c>
      <c r="C811" s="3">
        <v>21.4</v>
      </c>
      <c r="D811" s="3">
        <v>0</v>
      </c>
      <c r="E811" s="4" t="s">
        <v>8</v>
      </c>
      <c r="F811" s="4" t="s">
        <v>13</v>
      </c>
      <c r="G811" s="3">
        <v>4500.34</v>
      </c>
    </row>
    <row r="812" spans="1:7" ht="14.5">
      <c r="A812" s="3">
        <v>34</v>
      </c>
      <c r="B812" s="4" t="s">
        <v>7</v>
      </c>
      <c r="C812" s="3">
        <v>34.700000000000003</v>
      </c>
      <c r="D812" s="3">
        <v>0</v>
      </c>
      <c r="E812" s="4" t="s">
        <v>8</v>
      </c>
      <c r="F812" s="4" t="s">
        <v>13</v>
      </c>
      <c r="G812" s="3">
        <v>4518.83</v>
      </c>
    </row>
    <row r="813" spans="1:7" ht="14.5">
      <c r="A813" s="3">
        <v>34</v>
      </c>
      <c r="B813" s="4" t="s">
        <v>7</v>
      </c>
      <c r="C813" s="3">
        <v>32.799999999999997</v>
      </c>
      <c r="D813" s="3">
        <v>1</v>
      </c>
      <c r="E813" s="4" t="s">
        <v>8</v>
      </c>
      <c r="F813" s="4" t="s">
        <v>12</v>
      </c>
      <c r="G813" s="3">
        <v>14358.36</v>
      </c>
    </row>
    <row r="814" spans="1:7" ht="14.5">
      <c r="A814" s="3">
        <v>34</v>
      </c>
      <c r="B814" s="4" t="s">
        <v>7</v>
      </c>
      <c r="C814" s="3">
        <v>42.1</v>
      </c>
      <c r="D814" s="3">
        <v>2</v>
      </c>
      <c r="E814" s="4" t="s">
        <v>8</v>
      </c>
      <c r="F814" s="4" t="s">
        <v>14</v>
      </c>
      <c r="G814" s="3">
        <v>5124.1899999999996</v>
      </c>
    </row>
    <row r="815" spans="1:7" ht="14.5">
      <c r="A815" s="3">
        <v>34</v>
      </c>
      <c r="B815" s="4" t="s">
        <v>10</v>
      </c>
      <c r="C815" s="3">
        <v>27.7</v>
      </c>
      <c r="D815" s="3">
        <v>0</v>
      </c>
      <c r="E815" s="4" t="s">
        <v>8</v>
      </c>
      <c r="F815" s="4" t="s">
        <v>14</v>
      </c>
      <c r="G815" s="3">
        <v>4415.16</v>
      </c>
    </row>
    <row r="816" spans="1:7" ht="14.5">
      <c r="A816" s="3">
        <v>34</v>
      </c>
      <c r="B816" s="4" t="s">
        <v>7</v>
      </c>
      <c r="C816" s="3">
        <v>42.9</v>
      </c>
      <c r="D816" s="3">
        <v>1</v>
      </c>
      <c r="E816" s="4" t="s">
        <v>8</v>
      </c>
      <c r="F816" s="4" t="s">
        <v>12</v>
      </c>
      <c r="G816" s="3">
        <v>4536.26</v>
      </c>
    </row>
    <row r="817" spans="1:7" ht="14.5">
      <c r="A817" s="3">
        <v>33</v>
      </c>
      <c r="B817" s="4" t="s">
        <v>7</v>
      </c>
      <c r="C817" s="3">
        <v>22.7</v>
      </c>
      <c r="D817" s="3">
        <v>0</v>
      </c>
      <c r="E817" s="4" t="s">
        <v>8</v>
      </c>
      <c r="F817" s="4" t="s">
        <v>9</v>
      </c>
      <c r="G817" s="3">
        <v>21984.47</v>
      </c>
    </row>
    <row r="818" spans="1:7" ht="14.5">
      <c r="A818" s="3">
        <v>33</v>
      </c>
      <c r="B818" s="4" t="s">
        <v>10</v>
      </c>
      <c r="C818" s="3">
        <v>22.1</v>
      </c>
      <c r="D818" s="3">
        <v>1</v>
      </c>
      <c r="E818" s="4" t="s">
        <v>8</v>
      </c>
      <c r="F818" s="4" t="s">
        <v>13</v>
      </c>
      <c r="G818" s="3">
        <v>5354.07</v>
      </c>
    </row>
    <row r="819" spans="1:7" ht="14.5">
      <c r="A819" s="3">
        <v>33</v>
      </c>
      <c r="B819" s="4" t="s">
        <v>7</v>
      </c>
      <c r="C819" s="3">
        <v>35.799999999999997</v>
      </c>
      <c r="D819" s="3">
        <v>2</v>
      </c>
      <c r="E819" s="4" t="s">
        <v>8</v>
      </c>
      <c r="F819" s="4" t="s">
        <v>14</v>
      </c>
      <c r="G819" s="3">
        <v>4890</v>
      </c>
    </row>
    <row r="820" spans="1:7" ht="14.5">
      <c r="A820" s="3">
        <v>33</v>
      </c>
      <c r="B820" s="4" t="s">
        <v>7</v>
      </c>
      <c r="C820" s="3">
        <v>35.200000000000003</v>
      </c>
      <c r="D820" s="3">
        <v>0</v>
      </c>
      <c r="E820" s="4" t="s">
        <v>8</v>
      </c>
      <c r="F820" s="4" t="s">
        <v>13</v>
      </c>
      <c r="G820" s="3">
        <v>12404.88</v>
      </c>
    </row>
    <row r="821" spans="1:7" ht="14.5">
      <c r="A821" s="3">
        <v>33</v>
      </c>
      <c r="B821" s="4" t="s">
        <v>10</v>
      </c>
      <c r="C821" s="3">
        <v>24.3</v>
      </c>
      <c r="D821" s="3">
        <v>0</v>
      </c>
      <c r="E821" s="4" t="s">
        <v>8</v>
      </c>
      <c r="F821" s="4" t="s">
        <v>14</v>
      </c>
      <c r="G821" s="3">
        <v>4185.1000000000004</v>
      </c>
    </row>
    <row r="822" spans="1:7" ht="14.5">
      <c r="A822" s="3">
        <v>33</v>
      </c>
      <c r="B822" s="4" t="s">
        <v>10</v>
      </c>
      <c r="C822" s="3">
        <v>33.5</v>
      </c>
      <c r="D822" s="3">
        <v>0</v>
      </c>
      <c r="E822" s="4" t="s">
        <v>11</v>
      </c>
      <c r="F822" s="4" t="s">
        <v>12</v>
      </c>
      <c r="G822" s="3">
        <v>37079.370000000003</v>
      </c>
    </row>
    <row r="823" spans="1:7" ht="14.5">
      <c r="A823" s="3">
        <v>33</v>
      </c>
      <c r="B823" s="4" t="s">
        <v>10</v>
      </c>
      <c r="C823" s="3">
        <v>38.9</v>
      </c>
      <c r="D823" s="3">
        <v>3</v>
      </c>
      <c r="E823" s="4" t="s">
        <v>8</v>
      </c>
      <c r="F823" s="4" t="s">
        <v>12</v>
      </c>
      <c r="G823" s="3">
        <v>5972.38</v>
      </c>
    </row>
    <row r="824" spans="1:7" ht="14.5">
      <c r="A824" s="3">
        <v>33</v>
      </c>
      <c r="B824" s="4" t="s">
        <v>10</v>
      </c>
      <c r="C824" s="3">
        <v>28.3</v>
      </c>
      <c r="D824" s="3">
        <v>1</v>
      </c>
      <c r="E824" s="4" t="s">
        <v>8</v>
      </c>
      <c r="F824" s="4" t="s">
        <v>14</v>
      </c>
      <c r="G824" s="3">
        <v>4779.6000000000004</v>
      </c>
    </row>
    <row r="825" spans="1:7" ht="14.5">
      <c r="A825" s="3">
        <v>33</v>
      </c>
      <c r="B825" s="4" t="s">
        <v>7</v>
      </c>
      <c r="C825" s="3">
        <v>42.5</v>
      </c>
      <c r="D825" s="3">
        <v>1</v>
      </c>
      <c r="E825" s="4" t="s">
        <v>8</v>
      </c>
      <c r="F825" s="4" t="s">
        <v>14</v>
      </c>
      <c r="G825" s="3">
        <v>11326.71</v>
      </c>
    </row>
    <row r="826" spans="1:7" ht="14.5">
      <c r="A826" s="3">
        <v>33</v>
      </c>
      <c r="B826" s="4" t="s">
        <v>7</v>
      </c>
      <c r="C826" s="3">
        <v>42.4</v>
      </c>
      <c r="D826" s="3">
        <v>5</v>
      </c>
      <c r="E826" s="4" t="s">
        <v>8</v>
      </c>
      <c r="F826" s="4" t="s">
        <v>12</v>
      </c>
      <c r="G826" s="3">
        <v>6666.24</v>
      </c>
    </row>
    <row r="827" spans="1:7" ht="14.5">
      <c r="A827" s="3">
        <v>33</v>
      </c>
      <c r="B827" s="4" t="s">
        <v>10</v>
      </c>
      <c r="C827" s="3">
        <v>18.5</v>
      </c>
      <c r="D827" s="3">
        <v>1</v>
      </c>
      <c r="E827" s="4" t="s">
        <v>8</v>
      </c>
      <c r="F827" s="4" t="s">
        <v>12</v>
      </c>
      <c r="G827" s="3">
        <v>4766.0200000000004</v>
      </c>
    </row>
    <row r="828" spans="1:7" ht="14.5">
      <c r="A828" s="3">
        <v>33</v>
      </c>
      <c r="B828" s="4" t="s">
        <v>10</v>
      </c>
      <c r="C828" s="3">
        <v>32.9</v>
      </c>
      <c r="D828" s="3">
        <v>2</v>
      </c>
      <c r="E828" s="4" t="s">
        <v>8</v>
      </c>
      <c r="F828" s="4" t="s">
        <v>12</v>
      </c>
      <c r="G828" s="3">
        <v>5375.04</v>
      </c>
    </row>
    <row r="829" spans="1:7" ht="14.5">
      <c r="A829" s="3">
        <v>33</v>
      </c>
      <c r="B829" s="4" t="s">
        <v>7</v>
      </c>
      <c r="C829" s="3">
        <v>27.1</v>
      </c>
      <c r="D829" s="3">
        <v>1</v>
      </c>
      <c r="E829" s="4" t="s">
        <v>11</v>
      </c>
      <c r="F829" s="4" t="s">
        <v>12</v>
      </c>
      <c r="G829" s="3">
        <v>19040.88</v>
      </c>
    </row>
    <row r="830" spans="1:7" ht="14.5">
      <c r="A830" s="3">
        <v>33</v>
      </c>
      <c r="B830" s="4" t="s">
        <v>7</v>
      </c>
      <c r="C830" s="3">
        <v>24.8</v>
      </c>
      <c r="D830" s="3">
        <v>0</v>
      </c>
      <c r="E830" s="4" t="s">
        <v>11</v>
      </c>
      <c r="F830" s="4" t="s">
        <v>13</v>
      </c>
      <c r="G830" s="3">
        <v>17904.53</v>
      </c>
    </row>
    <row r="831" spans="1:7" ht="14.5">
      <c r="A831" s="3">
        <v>33</v>
      </c>
      <c r="B831" s="4" t="s">
        <v>10</v>
      </c>
      <c r="C831" s="3">
        <v>42.9</v>
      </c>
      <c r="D831" s="3">
        <v>3</v>
      </c>
      <c r="E831" s="4" t="s">
        <v>8</v>
      </c>
      <c r="F831" s="4" t="s">
        <v>9</v>
      </c>
      <c r="G831" s="3">
        <v>6360.99</v>
      </c>
    </row>
    <row r="832" spans="1:7" ht="14.5">
      <c r="A832" s="3">
        <v>33</v>
      </c>
      <c r="B832" s="4" t="s">
        <v>10</v>
      </c>
      <c r="C832" s="3">
        <v>35.5</v>
      </c>
      <c r="D832" s="3">
        <v>0</v>
      </c>
      <c r="E832" s="4" t="s">
        <v>11</v>
      </c>
      <c r="F832" s="4" t="s">
        <v>9</v>
      </c>
      <c r="G832" s="3">
        <v>55135.4</v>
      </c>
    </row>
    <row r="833" spans="1:7" ht="14.5">
      <c r="A833" s="3">
        <v>33</v>
      </c>
      <c r="B833" s="4" t="s">
        <v>7</v>
      </c>
      <c r="C833" s="3">
        <v>33.4</v>
      </c>
      <c r="D833" s="3">
        <v>5</v>
      </c>
      <c r="E833" s="4" t="s">
        <v>8</v>
      </c>
      <c r="F833" s="4" t="s">
        <v>14</v>
      </c>
      <c r="G833" s="3">
        <v>6653.79</v>
      </c>
    </row>
    <row r="834" spans="1:7" ht="14.5">
      <c r="A834" s="3">
        <v>33</v>
      </c>
      <c r="B834" s="4" t="s">
        <v>7</v>
      </c>
      <c r="C834" s="3">
        <v>24.6</v>
      </c>
      <c r="D834" s="3">
        <v>2</v>
      </c>
      <c r="E834" s="4" t="s">
        <v>8</v>
      </c>
      <c r="F834" s="4" t="s">
        <v>9</v>
      </c>
      <c r="G834" s="3">
        <v>5257.51</v>
      </c>
    </row>
    <row r="835" spans="1:7" ht="14.5">
      <c r="A835" s="3">
        <v>33</v>
      </c>
      <c r="B835" s="4" t="s">
        <v>10</v>
      </c>
      <c r="C835" s="3">
        <v>36.299999999999997</v>
      </c>
      <c r="D835" s="3">
        <v>3</v>
      </c>
      <c r="E835" s="4" t="s">
        <v>8</v>
      </c>
      <c r="F835" s="4" t="s">
        <v>13</v>
      </c>
      <c r="G835" s="3">
        <v>6551.75</v>
      </c>
    </row>
    <row r="836" spans="1:7" ht="14.5">
      <c r="A836" s="3">
        <v>33</v>
      </c>
      <c r="B836" s="4" t="s">
        <v>10</v>
      </c>
      <c r="C836" s="3">
        <v>19.100000000000001</v>
      </c>
      <c r="D836" s="3">
        <v>2</v>
      </c>
      <c r="E836" s="4" t="s">
        <v>11</v>
      </c>
      <c r="F836" s="4" t="s">
        <v>13</v>
      </c>
      <c r="G836" s="3">
        <v>16776.3</v>
      </c>
    </row>
    <row r="837" spans="1:7" ht="14.5">
      <c r="A837" s="3">
        <v>33</v>
      </c>
      <c r="B837" s="4" t="s">
        <v>7</v>
      </c>
      <c r="C837" s="3">
        <v>35.799999999999997</v>
      </c>
      <c r="D837" s="3">
        <v>1</v>
      </c>
      <c r="E837" s="4" t="s">
        <v>11</v>
      </c>
      <c r="F837" s="4" t="s">
        <v>14</v>
      </c>
      <c r="G837" s="3">
        <v>38282.75</v>
      </c>
    </row>
    <row r="838" spans="1:7" ht="14.5">
      <c r="A838" s="3">
        <v>33</v>
      </c>
      <c r="B838" s="4" t="s">
        <v>7</v>
      </c>
      <c r="C838" s="3">
        <v>30.3</v>
      </c>
      <c r="D838" s="3">
        <v>0</v>
      </c>
      <c r="E838" s="4" t="s">
        <v>8</v>
      </c>
      <c r="F838" s="4" t="s">
        <v>14</v>
      </c>
      <c r="G838" s="3">
        <v>3704.35</v>
      </c>
    </row>
    <row r="839" spans="1:7" ht="14.5">
      <c r="A839" s="3">
        <v>33</v>
      </c>
      <c r="B839" s="4" t="s">
        <v>10</v>
      </c>
      <c r="C839" s="3">
        <v>39.799999999999997</v>
      </c>
      <c r="D839" s="3">
        <v>1</v>
      </c>
      <c r="E839" s="4" t="s">
        <v>8</v>
      </c>
      <c r="F839" s="4" t="s">
        <v>14</v>
      </c>
      <c r="G839" s="3">
        <v>4795.66</v>
      </c>
    </row>
    <row r="840" spans="1:7" ht="14.5">
      <c r="A840" s="3">
        <v>33</v>
      </c>
      <c r="B840" s="4" t="s">
        <v>7</v>
      </c>
      <c r="C840" s="3">
        <v>29.4</v>
      </c>
      <c r="D840" s="3">
        <v>4</v>
      </c>
      <c r="E840" s="4" t="s">
        <v>8</v>
      </c>
      <c r="F840" s="4" t="s">
        <v>12</v>
      </c>
      <c r="G840" s="3">
        <v>6059.17</v>
      </c>
    </row>
    <row r="841" spans="1:7" ht="14.5">
      <c r="A841" s="3">
        <v>33</v>
      </c>
      <c r="B841" s="4" t="s">
        <v>7</v>
      </c>
      <c r="C841" s="3">
        <v>27.5</v>
      </c>
      <c r="D841" s="3">
        <v>2</v>
      </c>
      <c r="E841" s="4" t="s">
        <v>8</v>
      </c>
      <c r="F841" s="4" t="s">
        <v>9</v>
      </c>
      <c r="G841" s="3">
        <v>5261.47</v>
      </c>
    </row>
    <row r="842" spans="1:7" ht="14.5">
      <c r="A842" s="3">
        <v>33</v>
      </c>
      <c r="B842" s="4" t="s">
        <v>10</v>
      </c>
      <c r="C842" s="3">
        <v>26.7</v>
      </c>
      <c r="D842" s="3">
        <v>0</v>
      </c>
      <c r="E842" s="4" t="s">
        <v>8</v>
      </c>
      <c r="F842" s="4" t="s">
        <v>9</v>
      </c>
      <c r="G842" s="3">
        <v>4571.41</v>
      </c>
    </row>
    <row r="843" spans="1:7" ht="14.5">
      <c r="A843" s="3">
        <v>32</v>
      </c>
      <c r="B843" s="4" t="s">
        <v>7</v>
      </c>
      <c r="C843" s="3">
        <v>28.9</v>
      </c>
      <c r="D843" s="3">
        <v>0</v>
      </c>
      <c r="E843" s="4" t="s">
        <v>8</v>
      </c>
      <c r="F843" s="4" t="s">
        <v>9</v>
      </c>
      <c r="G843" s="3">
        <v>3866.86</v>
      </c>
    </row>
    <row r="844" spans="1:7" ht="14.5">
      <c r="A844" s="3">
        <v>32</v>
      </c>
      <c r="B844" s="4" t="s">
        <v>10</v>
      </c>
      <c r="C844" s="3">
        <v>17.8</v>
      </c>
      <c r="D844" s="3">
        <v>2</v>
      </c>
      <c r="E844" s="4" t="s">
        <v>11</v>
      </c>
      <c r="F844" s="4" t="s">
        <v>9</v>
      </c>
      <c r="G844" s="3">
        <v>32734.19</v>
      </c>
    </row>
    <row r="845" spans="1:7" ht="14.5">
      <c r="A845" s="3">
        <v>32</v>
      </c>
      <c r="B845" s="4" t="s">
        <v>10</v>
      </c>
      <c r="C845" s="3">
        <v>37.1</v>
      </c>
      <c r="D845" s="3">
        <v>3</v>
      </c>
      <c r="E845" s="4" t="s">
        <v>8</v>
      </c>
      <c r="F845" s="4" t="s">
        <v>13</v>
      </c>
      <c r="G845" s="3">
        <v>6334.34</v>
      </c>
    </row>
    <row r="846" spans="1:7" ht="14.5">
      <c r="A846" s="3">
        <v>32</v>
      </c>
      <c r="B846" s="4" t="s">
        <v>10</v>
      </c>
      <c r="C846" s="3">
        <v>29.8</v>
      </c>
      <c r="D846" s="3">
        <v>2</v>
      </c>
      <c r="E846" s="4" t="s">
        <v>8</v>
      </c>
      <c r="F846" s="4" t="s">
        <v>12</v>
      </c>
      <c r="G846" s="3">
        <v>5152.13</v>
      </c>
    </row>
    <row r="847" spans="1:7" ht="14.5">
      <c r="A847" s="3">
        <v>32</v>
      </c>
      <c r="B847" s="4" t="s">
        <v>10</v>
      </c>
      <c r="C847" s="3">
        <v>33.200000000000003</v>
      </c>
      <c r="D847" s="3">
        <v>3</v>
      </c>
      <c r="E847" s="4" t="s">
        <v>8</v>
      </c>
      <c r="F847" s="4" t="s">
        <v>9</v>
      </c>
      <c r="G847" s="3">
        <v>6128.8</v>
      </c>
    </row>
    <row r="848" spans="1:7" ht="14.5">
      <c r="A848" s="3">
        <v>32</v>
      </c>
      <c r="B848" s="4" t="s">
        <v>7</v>
      </c>
      <c r="C848" s="3">
        <v>30.8</v>
      </c>
      <c r="D848" s="3">
        <v>3</v>
      </c>
      <c r="E848" s="4" t="s">
        <v>8</v>
      </c>
      <c r="F848" s="4" t="s">
        <v>12</v>
      </c>
      <c r="G848" s="3">
        <v>5253.52</v>
      </c>
    </row>
    <row r="849" spans="1:7" ht="14.5">
      <c r="A849" s="3">
        <v>32</v>
      </c>
      <c r="B849" s="4" t="s">
        <v>7</v>
      </c>
      <c r="C849" s="3">
        <v>37.299999999999997</v>
      </c>
      <c r="D849" s="3">
        <v>1</v>
      </c>
      <c r="E849" s="4" t="s">
        <v>8</v>
      </c>
      <c r="F849" s="4" t="s">
        <v>13</v>
      </c>
      <c r="G849" s="3">
        <v>4667.6099999999997</v>
      </c>
    </row>
    <row r="850" spans="1:7" ht="14.5">
      <c r="A850" s="3">
        <v>32</v>
      </c>
      <c r="B850" s="4" t="s">
        <v>7</v>
      </c>
      <c r="C850" s="3">
        <v>30</v>
      </c>
      <c r="D850" s="3">
        <v>1</v>
      </c>
      <c r="E850" s="4" t="s">
        <v>8</v>
      </c>
      <c r="F850" s="4" t="s">
        <v>14</v>
      </c>
      <c r="G850" s="3">
        <v>4074.45</v>
      </c>
    </row>
    <row r="851" spans="1:7" ht="14.5">
      <c r="A851" s="3">
        <v>32</v>
      </c>
      <c r="B851" s="4" t="s">
        <v>7</v>
      </c>
      <c r="C851" s="3">
        <v>46.5</v>
      </c>
      <c r="D851" s="3">
        <v>2</v>
      </c>
      <c r="E851" s="4" t="s">
        <v>8</v>
      </c>
      <c r="F851" s="4" t="s">
        <v>14</v>
      </c>
      <c r="G851" s="3">
        <v>4686.3900000000003</v>
      </c>
    </row>
    <row r="852" spans="1:7" ht="14.5">
      <c r="A852" s="3">
        <v>32</v>
      </c>
      <c r="B852" s="4" t="s">
        <v>10</v>
      </c>
      <c r="C852" s="3">
        <v>44.2</v>
      </c>
      <c r="D852" s="3">
        <v>0</v>
      </c>
      <c r="E852" s="4" t="s">
        <v>8</v>
      </c>
      <c r="F852" s="4" t="s">
        <v>14</v>
      </c>
      <c r="G852" s="3">
        <v>3994.18</v>
      </c>
    </row>
    <row r="853" spans="1:7" ht="14.5">
      <c r="A853" s="3">
        <v>32</v>
      </c>
      <c r="B853" s="4" t="s">
        <v>10</v>
      </c>
      <c r="C853" s="3">
        <v>28.9</v>
      </c>
      <c r="D853" s="3">
        <v>0</v>
      </c>
      <c r="E853" s="4" t="s">
        <v>8</v>
      </c>
      <c r="F853" s="4" t="s">
        <v>14</v>
      </c>
      <c r="G853" s="3">
        <v>3972.92</v>
      </c>
    </row>
    <row r="854" spans="1:7" ht="14.5">
      <c r="A854" s="3">
        <v>32</v>
      </c>
      <c r="B854" s="4" t="s">
        <v>10</v>
      </c>
      <c r="C854" s="3">
        <v>23.7</v>
      </c>
      <c r="D854" s="3">
        <v>1</v>
      </c>
      <c r="E854" s="4" t="s">
        <v>8</v>
      </c>
      <c r="F854" s="4" t="s">
        <v>14</v>
      </c>
      <c r="G854" s="3">
        <v>17626.240000000002</v>
      </c>
    </row>
    <row r="855" spans="1:7" ht="14.5">
      <c r="A855" s="3">
        <v>32</v>
      </c>
      <c r="B855" s="4" t="s">
        <v>10</v>
      </c>
      <c r="C855" s="3">
        <v>31.5</v>
      </c>
      <c r="D855" s="3">
        <v>1</v>
      </c>
      <c r="E855" s="4" t="s">
        <v>8</v>
      </c>
      <c r="F855" s="4" t="s">
        <v>13</v>
      </c>
      <c r="G855" s="3">
        <v>5148.55</v>
      </c>
    </row>
    <row r="856" spans="1:7" ht="14.5">
      <c r="A856" s="3">
        <v>32</v>
      </c>
      <c r="B856" s="4" t="s">
        <v>7</v>
      </c>
      <c r="C856" s="3">
        <v>28.9</v>
      </c>
      <c r="D856" s="3">
        <v>1</v>
      </c>
      <c r="E856" s="4" t="s">
        <v>11</v>
      </c>
      <c r="F856" s="4" t="s">
        <v>14</v>
      </c>
      <c r="G856" s="3">
        <v>19719.689999999999</v>
      </c>
    </row>
    <row r="857" spans="1:7" ht="14.5">
      <c r="A857" s="3">
        <v>32</v>
      </c>
      <c r="B857" s="4" t="s">
        <v>10</v>
      </c>
      <c r="C857" s="3">
        <v>24.6</v>
      </c>
      <c r="D857" s="3">
        <v>0</v>
      </c>
      <c r="E857" s="4" t="s">
        <v>11</v>
      </c>
      <c r="F857" s="4" t="s">
        <v>12</v>
      </c>
      <c r="G857" s="3">
        <v>17496.310000000001</v>
      </c>
    </row>
    <row r="858" spans="1:7" ht="14.5">
      <c r="A858" s="3">
        <v>32</v>
      </c>
      <c r="B858" s="4" t="s">
        <v>7</v>
      </c>
      <c r="C858" s="3">
        <v>37.200000000000003</v>
      </c>
      <c r="D858" s="3">
        <v>2</v>
      </c>
      <c r="E858" s="4" t="s">
        <v>8</v>
      </c>
      <c r="F858" s="4" t="s">
        <v>14</v>
      </c>
      <c r="G858" s="3">
        <v>4673.3900000000003</v>
      </c>
    </row>
    <row r="859" spans="1:7" ht="14.5">
      <c r="A859" s="3">
        <v>32</v>
      </c>
      <c r="B859" s="4" t="s">
        <v>7</v>
      </c>
      <c r="C859" s="3">
        <v>33.799999999999997</v>
      </c>
      <c r="D859" s="3">
        <v>1</v>
      </c>
      <c r="E859" s="4" t="s">
        <v>8</v>
      </c>
      <c r="F859" s="4" t="s">
        <v>9</v>
      </c>
      <c r="G859" s="3">
        <v>4462.72</v>
      </c>
    </row>
    <row r="860" spans="1:7" ht="14.5">
      <c r="A860" s="3">
        <v>32</v>
      </c>
      <c r="B860" s="4" t="s">
        <v>10</v>
      </c>
      <c r="C860" s="3">
        <v>29.6</v>
      </c>
      <c r="D860" s="3">
        <v>1</v>
      </c>
      <c r="E860" s="4" t="s">
        <v>8</v>
      </c>
      <c r="F860" s="4" t="s">
        <v>14</v>
      </c>
      <c r="G860" s="3">
        <v>4562.84</v>
      </c>
    </row>
    <row r="861" spans="1:7" ht="14.5">
      <c r="A861" s="3">
        <v>32</v>
      </c>
      <c r="B861" s="4" t="s">
        <v>7</v>
      </c>
      <c r="C861" s="3">
        <v>27.8</v>
      </c>
      <c r="D861" s="3">
        <v>1</v>
      </c>
      <c r="E861" s="4" t="s">
        <v>8</v>
      </c>
      <c r="F861" s="4" t="s">
        <v>9</v>
      </c>
      <c r="G861" s="3">
        <v>4454.3999999999996</v>
      </c>
    </row>
    <row r="862" spans="1:7" ht="14.5">
      <c r="A862" s="3">
        <v>32</v>
      </c>
      <c r="B862" s="4" t="s">
        <v>7</v>
      </c>
      <c r="C862" s="3">
        <v>31.5</v>
      </c>
      <c r="D862" s="3">
        <v>1</v>
      </c>
      <c r="E862" s="4" t="s">
        <v>8</v>
      </c>
      <c r="F862" s="4" t="s">
        <v>12</v>
      </c>
      <c r="G862" s="3">
        <v>4076.5</v>
      </c>
    </row>
    <row r="863" spans="1:7" ht="14.5">
      <c r="A863" s="3">
        <v>32</v>
      </c>
      <c r="B863" s="4" t="s">
        <v>10</v>
      </c>
      <c r="C863" s="3">
        <v>41.1</v>
      </c>
      <c r="D863" s="3">
        <v>0</v>
      </c>
      <c r="E863" s="4" t="s">
        <v>8</v>
      </c>
      <c r="F863" s="4" t="s">
        <v>12</v>
      </c>
      <c r="G863" s="3">
        <v>3989.84</v>
      </c>
    </row>
    <row r="864" spans="1:7" ht="14.5">
      <c r="A864" s="3">
        <v>32</v>
      </c>
      <c r="B864" s="4" t="s">
        <v>7</v>
      </c>
      <c r="C864" s="3">
        <v>35.200000000000003</v>
      </c>
      <c r="D864" s="3">
        <v>2</v>
      </c>
      <c r="E864" s="4" t="s">
        <v>8</v>
      </c>
      <c r="F864" s="4" t="s">
        <v>12</v>
      </c>
      <c r="G864" s="3">
        <v>4670.6400000000003</v>
      </c>
    </row>
    <row r="865" spans="1:7" ht="14.5">
      <c r="A865" s="3">
        <v>32</v>
      </c>
      <c r="B865" s="4" t="s">
        <v>7</v>
      </c>
      <c r="C865" s="3">
        <v>33.6</v>
      </c>
      <c r="D865" s="3">
        <v>1</v>
      </c>
      <c r="E865" s="4" t="s">
        <v>11</v>
      </c>
      <c r="F865" s="4" t="s">
        <v>13</v>
      </c>
      <c r="G865" s="3">
        <v>37607.53</v>
      </c>
    </row>
    <row r="866" spans="1:7" ht="14.5">
      <c r="A866" s="3">
        <v>32</v>
      </c>
      <c r="B866" s="4" t="s">
        <v>10</v>
      </c>
      <c r="C866" s="3">
        <v>20.5</v>
      </c>
      <c r="D866" s="3">
        <v>0</v>
      </c>
      <c r="E866" s="4" t="s">
        <v>8</v>
      </c>
      <c r="F866" s="4" t="s">
        <v>13</v>
      </c>
      <c r="G866" s="3">
        <v>4544.2299999999996</v>
      </c>
    </row>
    <row r="867" spans="1:7" ht="14.5">
      <c r="A867" s="3">
        <v>32</v>
      </c>
      <c r="B867" s="4" t="s">
        <v>10</v>
      </c>
      <c r="C867" s="3">
        <v>29.7</v>
      </c>
      <c r="D867" s="3">
        <v>0</v>
      </c>
      <c r="E867" s="4" t="s">
        <v>8</v>
      </c>
      <c r="F867" s="4" t="s">
        <v>9</v>
      </c>
      <c r="G867" s="3">
        <v>4357.04</v>
      </c>
    </row>
    <row r="868" spans="1:7" ht="14.5">
      <c r="A868" s="3">
        <v>32</v>
      </c>
      <c r="B868" s="4" t="s">
        <v>7</v>
      </c>
      <c r="C868" s="3">
        <v>28.1</v>
      </c>
      <c r="D868" s="3">
        <v>4</v>
      </c>
      <c r="E868" s="4" t="s">
        <v>11</v>
      </c>
      <c r="F868" s="4" t="s">
        <v>9</v>
      </c>
      <c r="G868" s="3">
        <v>21472.48</v>
      </c>
    </row>
    <row r="869" spans="1:7" ht="14.5">
      <c r="A869" s="3">
        <v>31</v>
      </c>
      <c r="B869" s="4" t="s">
        <v>10</v>
      </c>
      <c r="C869" s="3">
        <v>25.7</v>
      </c>
      <c r="D869" s="3">
        <v>0</v>
      </c>
      <c r="E869" s="4" t="s">
        <v>8</v>
      </c>
      <c r="F869" s="4" t="s">
        <v>14</v>
      </c>
      <c r="G869" s="3">
        <v>3756.62</v>
      </c>
    </row>
    <row r="870" spans="1:7" ht="14.5">
      <c r="A870" s="3">
        <v>31</v>
      </c>
      <c r="B870" s="4" t="s">
        <v>7</v>
      </c>
      <c r="C870" s="3">
        <v>36.299999999999997</v>
      </c>
      <c r="D870" s="3">
        <v>2</v>
      </c>
      <c r="E870" s="4" t="s">
        <v>11</v>
      </c>
      <c r="F870" s="4" t="s">
        <v>12</v>
      </c>
      <c r="G870" s="3">
        <v>38711</v>
      </c>
    </row>
    <row r="871" spans="1:7" ht="14.5">
      <c r="A871" s="3">
        <v>31</v>
      </c>
      <c r="B871" s="4" t="s">
        <v>10</v>
      </c>
      <c r="C871" s="3">
        <v>36.6</v>
      </c>
      <c r="D871" s="3">
        <v>2</v>
      </c>
      <c r="E871" s="4" t="s">
        <v>8</v>
      </c>
      <c r="F871" s="4" t="s">
        <v>14</v>
      </c>
      <c r="G871" s="3">
        <v>4949.76</v>
      </c>
    </row>
    <row r="872" spans="1:7" ht="14.5">
      <c r="A872" s="3">
        <v>31</v>
      </c>
      <c r="B872" s="4" t="s">
        <v>7</v>
      </c>
      <c r="C872" s="3">
        <v>28.5</v>
      </c>
      <c r="D872" s="3">
        <v>5</v>
      </c>
      <c r="E872" s="4" t="s">
        <v>8</v>
      </c>
      <c r="F872" s="4" t="s">
        <v>13</v>
      </c>
      <c r="G872" s="3">
        <v>6799.46</v>
      </c>
    </row>
    <row r="873" spans="1:7" ht="14.5">
      <c r="A873" s="3">
        <v>31</v>
      </c>
      <c r="B873" s="4" t="s">
        <v>7</v>
      </c>
      <c r="C873" s="3">
        <v>26.9</v>
      </c>
      <c r="D873" s="3">
        <v>1</v>
      </c>
      <c r="E873" s="4" t="s">
        <v>8</v>
      </c>
      <c r="F873" s="4" t="s">
        <v>13</v>
      </c>
      <c r="G873" s="3">
        <v>4441.21</v>
      </c>
    </row>
    <row r="874" spans="1:7" ht="14.5">
      <c r="A874" s="3">
        <v>31</v>
      </c>
      <c r="B874" s="4" t="s">
        <v>7</v>
      </c>
      <c r="C874" s="3">
        <v>38.4</v>
      </c>
      <c r="D874" s="3">
        <v>2</v>
      </c>
      <c r="E874" s="4" t="s">
        <v>8</v>
      </c>
      <c r="F874" s="4" t="s">
        <v>14</v>
      </c>
      <c r="G874" s="3">
        <v>4463.21</v>
      </c>
    </row>
    <row r="875" spans="1:7" ht="14.5">
      <c r="A875" s="3">
        <v>31</v>
      </c>
      <c r="B875" s="4" t="s">
        <v>7</v>
      </c>
      <c r="C875" s="3">
        <v>34.4</v>
      </c>
      <c r="D875" s="3">
        <v>3</v>
      </c>
      <c r="E875" s="4" t="s">
        <v>11</v>
      </c>
      <c r="F875" s="4" t="s">
        <v>9</v>
      </c>
      <c r="G875" s="3">
        <v>38746.36</v>
      </c>
    </row>
    <row r="876" spans="1:7" ht="14.5">
      <c r="A876" s="3">
        <v>31</v>
      </c>
      <c r="B876" s="4" t="s">
        <v>7</v>
      </c>
      <c r="C876" s="3">
        <v>20.399999999999999</v>
      </c>
      <c r="D876" s="3">
        <v>0</v>
      </c>
      <c r="E876" s="4" t="s">
        <v>8</v>
      </c>
      <c r="F876" s="4" t="s">
        <v>12</v>
      </c>
      <c r="G876" s="3">
        <v>3260.2</v>
      </c>
    </row>
    <row r="877" spans="1:7" ht="14.5">
      <c r="A877" s="3">
        <v>31</v>
      </c>
      <c r="B877" s="4" t="s">
        <v>7</v>
      </c>
      <c r="C877" s="3">
        <v>28.6</v>
      </c>
      <c r="D877" s="3">
        <v>1</v>
      </c>
      <c r="E877" s="4" t="s">
        <v>8</v>
      </c>
      <c r="F877" s="4" t="s">
        <v>9</v>
      </c>
      <c r="G877" s="3">
        <v>4243.59</v>
      </c>
    </row>
    <row r="878" spans="1:7" ht="14.5">
      <c r="A878" s="3">
        <v>31</v>
      </c>
      <c r="B878" s="4" t="s">
        <v>10</v>
      </c>
      <c r="C878" s="3">
        <v>32.700000000000003</v>
      </c>
      <c r="D878" s="3">
        <v>1</v>
      </c>
      <c r="E878" s="4" t="s">
        <v>8</v>
      </c>
      <c r="F878" s="4" t="s">
        <v>9</v>
      </c>
      <c r="G878" s="3">
        <v>4738.2700000000004</v>
      </c>
    </row>
    <row r="879" spans="1:7" ht="14.5">
      <c r="A879" s="3">
        <v>31</v>
      </c>
      <c r="B879" s="4" t="s">
        <v>10</v>
      </c>
      <c r="C879" s="3">
        <v>31.1</v>
      </c>
      <c r="D879" s="3">
        <v>0</v>
      </c>
      <c r="E879" s="4" t="s">
        <v>8</v>
      </c>
      <c r="F879" s="4" t="s">
        <v>13</v>
      </c>
      <c r="G879" s="3">
        <v>4347.0200000000004</v>
      </c>
    </row>
    <row r="880" spans="1:7" ht="14.5">
      <c r="A880" s="3">
        <v>31</v>
      </c>
      <c r="B880" s="4" t="s">
        <v>10</v>
      </c>
      <c r="C880" s="3">
        <v>23.6</v>
      </c>
      <c r="D880" s="3">
        <v>2</v>
      </c>
      <c r="E880" s="4" t="s">
        <v>8</v>
      </c>
      <c r="F880" s="4" t="s">
        <v>12</v>
      </c>
      <c r="G880" s="3">
        <v>4931.6499999999996</v>
      </c>
    </row>
    <row r="881" spans="1:7" ht="14.5">
      <c r="A881" s="3">
        <v>31</v>
      </c>
      <c r="B881" s="4" t="s">
        <v>7</v>
      </c>
      <c r="C881" s="3">
        <v>30.9</v>
      </c>
      <c r="D881" s="3">
        <v>0</v>
      </c>
      <c r="E881" s="4" t="s">
        <v>8</v>
      </c>
      <c r="F881" s="4" t="s">
        <v>13</v>
      </c>
      <c r="G881" s="3">
        <v>3857.76</v>
      </c>
    </row>
    <row r="882" spans="1:7" ht="14.5">
      <c r="A882" s="3">
        <v>31</v>
      </c>
      <c r="B882" s="4" t="s">
        <v>10</v>
      </c>
      <c r="C882" s="3">
        <v>29.1</v>
      </c>
      <c r="D882" s="3">
        <v>0</v>
      </c>
      <c r="E882" s="4" t="s">
        <v>8</v>
      </c>
      <c r="F882" s="4" t="s">
        <v>12</v>
      </c>
      <c r="G882" s="3">
        <v>3761.29</v>
      </c>
    </row>
    <row r="883" spans="1:7" ht="14.5">
      <c r="A883" s="3">
        <v>31</v>
      </c>
      <c r="B883" s="4" t="s">
        <v>10</v>
      </c>
      <c r="C883" s="3">
        <v>38.1</v>
      </c>
      <c r="D883" s="3">
        <v>1</v>
      </c>
      <c r="E883" s="4" t="s">
        <v>11</v>
      </c>
      <c r="F883" s="4" t="s">
        <v>13</v>
      </c>
      <c r="G883" s="3">
        <v>58571.07</v>
      </c>
    </row>
    <row r="884" spans="1:7" ht="14.5">
      <c r="A884" s="3">
        <v>31</v>
      </c>
      <c r="B884" s="4" t="s">
        <v>10</v>
      </c>
      <c r="C884" s="3">
        <v>30.5</v>
      </c>
      <c r="D884" s="3">
        <v>3</v>
      </c>
      <c r="E884" s="4" t="s">
        <v>8</v>
      </c>
      <c r="F884" s="4" t="s">
        <v>13</v>
      </c>
      <c r="G884" s="3">
        <v>6113.23</v>
      </c>
    </row>
    <row r="885" spans="1:7" ht="14.5">
      <c r="A885" s="3">
        <v>31</v>
      </c>
      <c r="B885" s="4" t="s">
        <v>10</v>
      </c>
      <c r="C885" s="3">
        <v>26.6</v>
      </c>
      <c r="D885" s="3">
        <v>0</v>
      </c>
      <c r="E885" s="4" t="s">
        <v>8</v>
      </c>
      <c r="F885" s="4" t="s">
        <v>14</v>
      </c>
      <c r="G885" s="3">
        <v>3757.84</v>
      </c>
    </row>
    <row r="886" spans="1:7" ht="14.5">
      <c r="A886" s="3">
        <v>31</v>
      </c>
      <c r="B886" s="4" t="s">
        <v>7</v>
      </c>
      <c r="C886" s="3">
        <v>27.6</v>
      </c>
      <c r="D886" s="3">
        <v>2</v>
      </c>
      <c r="E886" s="4" t="s">
        <v>8</v>
      </c>
      <c r="F886" s="4" t="s">
        <v>13</v>
      </c>
      <c r="G886" s="3">
        <v>5031.2700000000004</v>
      </c>
    </row>
    <row r="887" spans="1:7" ht="14.5">
      <c r="A887" s="3">
        <v>31</v>
      </c>
      <c r="B887" s="4" t="s">
        <v>10</v>
      </c>
      <c r="C887" s="3">
        <v>29.3</v>
      </c>
      <c r="D887" s="3">
        <v>1</v>
      </c>
      <c r="E887" s="4" t="s">
        <v>8</v>
      </c>
      <c r="F887" s="4" t="s">
        <v>14</v>
      </c>
      <c r="G887" s="3">
        <v>4350.51</v>
      </c>
    </row>
    <row r="888" spans="1:7" ht="14.5">
      <c r="A888" s="3">
        <v>31</v>
      </c>
      <c r="B888" s="4" t="s">
        <v>7</v>
      </c>
      <c r="C888" s="3">
        <v>39.5</v>
      </c>
      <c r="D888" s="3">
        <v>1</v>
      </c>
      <c r="E888" s="4" t="s">
        <v>8</v>
      </c>
      <c r="F888" s="4" t="s">
        <v>14</v>
      </c>
      <c r="G888" s="3">
        <v>3875.73</v>
      </c>
    </row>
    <row r="889" spans="1:7" ht="14.5">
      <c r="A889" s="3">
        <v>31</v>
      </c>
      <c r="B889" s="4" t="s">
        <v>7</v>
      </c>
      <c r="C889" s="3">
        <v>25.9</v>
      </c>
      <c r="D889" s="3">
        <v>3</v>
      </c>
      <c r="E889" s="4" t="s">
        <v>11</v>
      </c>
      <c r="F889" s="4" t="s">
        <v>12</v>
      </c>
      <c r="G889" s="3">
        <v>19199.939999999999</v>
      </c>
    </row>
    <row r="890" spans="1:7" ht="14.5">
      <c r="A890" s="3">
        <v>31</v>
      </c>
      <c r="B890" s="4" t="s">
        <v>7</v>
      </c>
      <c r="C890" s="3">
        <v>29.8</v>
      </c>
      <c r="D890" s="3">
        <v>0</v>
      </c>
      <c r="E890" s="4" t="s">
        <v>11</v>
      </c>
      <c r="F890" s="4" t="s">
        <v>14</v>
      </c>
      <c r="G890" s="3">
        <v>19350.37</v>
      </c>
    </row>
    <row r="891" spans="1:7" ht="14.5">
      <c r="A891" s="3">
        <v>31</v>
      </c>
      <c r="B891" s="4" t="s">
        <v>10</v>
      </c>
      <c r="C891" s="3">
        <v>32.799999999999997</v>
      </c>
      <c r="D891" s="3">
        <v>2</v>
      </c>
      <c r="E891" s="4" t="s">
        <v>8</v>
      </c>
      <c r="F891" s="4" t="s">
        <v>9</v>
      </c>
      <c r="G891" s="3">
        <v>5327.4</v>
      </c>
    </row>
    <row r="892" spans="1:7" ht="14.5">
      <c r="A892" s="3">
        <v>31</v>
      </c>
      <c r="B892" s="4" t="s">
        <v>10</v>
      </c>
      <c r="C892" s="3">
        <v>21.8</v>
      </c>
      <c r="D892" s="3">
        <v>0</v>
      </c>
      <c r="E892" s="4" t="s">
        <v>8</v>
      </c>
      <c r="F892" s="4" t="s">
        <v>9</v>
      </c>
      <c r="G892" s="3">
        <v>4134.08</v>
      </c>
    </row>
    <row r="893" spans="1:7" ht="14.5">
      <c r="A893" s="3">
        <v>31</v>
      </c>
      <c r="B893" s="4" t="s">
        <v>10</v>
      </c>
      <c r="C893" s="3">
        <v>25.8</v>
      </c>
      <c r="D893" s="3">
        <v>2</v>
      </c>
      <c r="E893" s="4" t="s">
        <v>8</v>
      </c>
      <c r="F893" s="4" t="s">
        <v>12</v>
      </c>
      <c r="G893" s="3">
        <v>4934.71</v>
      </c>
    </row>
    <row r="894" spans="1:7" ht="14.5">
      <c r="A894" s="3">
        <v>31</v>
      </c>
      <c r="B894" s="4" t="s">
        <v>7</v>
      </c>
      <c r="C894" s="3">
        <v>31.1</v>
      </c>
      <c r="D894" s="3">
        <v>3</v>
      </c>
      <c r="E894" s="4" t="s">
        <v>8</v>
      </c>
      <c r="F894" s="4" t="s">
        <v>9</v>
      </c>
      <c r="G894" s="3">
        <v>5425.02</v>
      </c>
    </row>
    <row r="895" spans="1:7" ht="14.5">
      <c r="A895" s="3">
        <v>31</v>
      </c>
      <c r="B895" s="4" t="s">
        <v>7</v>
      </c>
      <c r="C895" s="3">
        <v>25.9</v>
      </c>
      <c r="D895" s="3">
        <v>1</v>
      </c>
      <c r="E895" s="4" t="s">
        <v>8</v>
      </c>
      <c r="F895" s="4" t="s">
        <v>9</v>
      </c>
      <c r="G895" s="3">
        <v>4239.8900000000003</v>
      </c>
    </row>
    <row r="896" spans="1:7" ht="14.5">
      <c r="A896" s="3">
        <v>30</v>
      </c>
      <c r="B896" s="4" t="s">
        <v>7</v>
      </c>
      <c r="C896" s="3">
        <v>35.299999999999997</v>
      </c>
      <c r="D896" s="3">
        <v>0</v>
      </c>
      <c r="E896" s="4" t="s">
        <v>11</v>
      </c>
      <c r="F896" s="4" t="s">
        <v>12</v>
      </c>
      <c r="G896" s="3">
        <v>36837.47</v>
      </c>
    </row>
    <row r="897" spans="1:7" ht="14.5">
      <c r="A897" s="3">
        <v>30</v>
      </c>
      <c r="B897" s="4" t="s">
        <v>10</v>
      </c>
      <c r="C897" s="3">
        <v>32.4</v>
      </c>
      <c r="D897" s="3">
        <v>1</v>
      </c>
      <c r="E897" s="4" t="s">
        <v>8</v>
      </c>
      <c r="F897" s="4" t="s">
        <v>12</v>
      </c>
      <c r="G897" s="3">
        <v>4149.74</v>
      </c>
    </row>
    <row r="898" spans="1:7" ht="14.5">
      <c r="A898" s="3">
        <v>30</v>
      </c>
      <c r="B898" s="4" t="s">
        <v>7</v>
      </c>
      <c r="C898" s="3">
        <v>25.5</v>
      </c>
      <c r="D898" s="3">
        <v>0</v>
      </c>
      <c r="E898" s="4" t="s">
        <v>8</v>
      </c>
      <c r="F898" s="4" t="s">
        <v>13</v>
      </c>
      <c r="G898" s="3">
        <v>3645.09</v>
      </c>
    </row>
    <row r="899" spans="1:7" ht="14.5">
      <c r="A899" s="3">
        <v>30</v>
      </c>
      <c r="B899" s="4" t="s">
        <v>7</v>
      </c>
      <c r="C899" s="3">
        <v>28.7</v>
      </c>
      <c r="D899" s="3">
        <v>3</v>
      </c>
      <c r="E899" s="4" t="s">
        <v>11</v>
      </c>
      <c r="F899" s="4" t="s">
        <v>9</v>
      </c>
      <c r="G899" s="3">
        <v>20745.990000000002</v>
      </c>
    </row>
    <row r="900" spans="1:7" ht="14.5">
      <c r="A900" s="3">
        <v>30</v>
      </c>
      <c r="B900" s="4" t="s">
        <v>7</v>
      </c>
      <c r="C900" s="3">
        <v>35.5</v>
      </c>
      <c r="D900" s="3">
        <v>0</v>
      </c>
      <c r="E900" s="4" t="s">
        <v>11</v>
      </c>
      <c r="F900" s="4" t="s">
        <v>14</v>
      </c>
      <c r="G900" s="3">
        <v>36950.26</v>
      </c>
    </row>
    <row r="901" spans="1:7" ht="14.5">
      <c r="A901" s="3">
        <v>30</v>
      </c>
      <c r="B901" s="4" t="s">
        <v>10</v>
      </c>
      <c r="C901" s="3">
        <v>30.9</v>
      </c>
      <c r="D901" s="3">
        <v>3</v>
      </c>
      <c r="E901" s="4" t="s">
        <v>8</v>
      </c>
      <c r="F901" s="4" t="s">
        <v>12</v>
      </c>
      <c r="G901" s="3">
        <v>5325.65</v>
      </c>
    </row>
    <row r="902" spans="1:7" ht="14.5">
      <c r="A902" s="3">
        <v>30</v>
      </c>
      <c r="B902" s="4" t="s">
        <v>7</v>
      </c>
      <c r="C902" s="3">
        <v>27.6</v>
      </c>
      <c r="D902" s="3">
        <v>1</v>
      </c>
      <c r="E902" s="4" t="s">
        <v>8</v>
      </c>
      <c r="F902" s="4" t="s">
        <v>13</v>
      </c>
      <c r="G902" s="3">
        <v>4237.13</v>
      </c>
    </row>
    <row r="903" spans="1:7" ht="14.5">
      <c r="A903" s="3">
        <v>30</v>
      </c>
      <c r="B903" s="4" t="s">
        <v>10</v>
      </c>
      <c r="C903" s="3">
        <v>33.299999999999997</v>
      </c>
      <c r="D903" s="3">
        <v>1</v>
      </c>
      <c r="E903" s="4" t="s">
        <v>8</v>
      </c>
      <c r="F903" s="4" t="s">
        <v>14</v>
      </c>
      <c r="G903" s="3">
        <v>4151.03</v>
      </c>
    </row>
    <row r="904" spans="1:7" ht="14.5">
      <c r="A904" s="3">
        <v>30</v>
      </c>
      <c r="B904" s="4" t="s">
        <v>10</v>
      </c>
      <c r="C904" s="3">
        <v>27.7</v>
      </c>
      <c r="D904" s="3">
        <v>0</v>
      </c>
      <c r="E904" s="4" t="s">
        <v>8</v>
      </c>
      <c r="F904" s="4" t="s">
        <v>12</v>
      </c>
      <c r="G904" s="3">
        <v>3554.2</v>
      </c>
    </row>
    <row r="905" spans="1:7" ht="14.5">
      <c r="A905" s="3">
        <v>30</v>
      </c>
      <c r="B905" s="4" t="s">
        <v>7</v>
      </c>
      <c r="C905" s="3">
        <v>24.1</v>
      </c>
      <c r="D905" s="3">
        <v>1</v>
      </c>
      <c r="E905" s="4" t="s">
        <v>8</v>
      </c>
      <c r="F905" s="4" t="s">
        <v>9</v>
      </c>
      <c r="G905" s="3">
        <v>4032.24</v>
      </c>
    </row>
    <row r="906" spans="1:7" ht="14.5">
      <c r="A906" s="3">
        <v>30</v>
      </c>
      <c r="B906" s="4" t="s">
        <v>10</v>
      </c>
      <c r="C906" s="3">
        <v>28.4</v>
      </c>
      <c r="D906" s="3">
        <v>1</v>
      </c>
      <c r="E906" s="4" t="s">
        <v>11</v>
      </c>
      <c r="F906" s="4" t="s">
        <v>14</v>
      </c>
      <c r="G906" s="3">
        <v>19521.97</v>
      </c>
    </row>
    <row r="907" spans="1:7" ht="14.5">
      <c r="A907" s="3">
        <v>30</v>
      </c>
      <c r="B907" s="4" t="s">
        <v>10</v>
      </c>
      <c r="C907" s="3">
        <v>43.1</v>
      </c>
      <c r="D907" s="3">
        <v>2</v>
      </c>
      <c r="E907" s="4" t="s">
        <v>8</v>
      </c>
      <c r="F907" s="4" t="s">
        <v>14</v>
      </c>
      <c r="G907" s="3">
        <v>4753.6400000000003</v>
      </c>
    </row>
    <row r="908" spans="1:7" ht="14.5">
      <c r="A908" s="3">
        <v>30</v>
      </c>
      <c r="B908" s="4" t="s">
        <v>7</v>
      </c>
      <c r="C908" s="3">
        <v>37.799999999999997</v>
      </c>
      <c r="D908" s="3">
        <v>2</v>
      </c>
      <c r="E908" s="4" t="s">
        <v>11</v>
      </c>
      <c r="F908" s="4" t="s">
        <v>12</v>
      </c>
      <c r="G908" s="3">
        <v>39241.440000000002</v>
      </c>
    </row>
    <row r="909" spans="1:7" ht="14.5">
      <c r="A909" s="3">
        <v>30</v>
      </c>
      <c r="B909" s="4" t="s">
        <v>7</v>
      </c>
      <c r="C909" s="3">
        <v>31.4</v>
      </c>
      <c r="D909" s="3">
        <v>1</v>
      </c>
      <c r="E909" s="4" t="s">
        <v>8</v>
      </c>
      <c r="F909" s="4" t="s">
        <v>12</v>
      </c>
      <c r="G909" s="3">
        <v>3659.35</v>
      </c>
    </row>
    <row r="910" spans="1:7" ht="14.5">
      <c r="A910" s="3">
        <v>30</v>
      </c>
      <c r="B910" s="4" t="s">
        <v>7</v>
      </c>
      <c r="C910" s="3">
        <v>31.6</v>
      </c>
      <c r="D910" s="3">
        <v>3</v>
      </c>
      <c r="E910" s="4" t="s">
        <v>8</v>
      </c>
      <c r="F910" s="4" t="s">
        <v>14</v>
      </c>
      <c r="G910" s="3">
        <v>4837.58</v>
      </c>
    </row>
    <row r="911" spans="1:7" ht="14.5">
      <c r="A911" s="3">
        <v>30</v>
      </c>
      <c r="B911" s="4" t="s">
        <v>10</v>
      </c>
      <c r="C911" s="3">
        <v>39.1</v>
      </c>
      <c r="D911" s="3">
        <v>3</v>
      </c>
      <c r="E911" s="4" t="s">
        <v>11</v>
      </c>
      <c r="F911" s="4" t="s">
        <v>14</v>
      </c>
      <c r="G911" s="3">
        <v>40932.43</v>
      </c>
    </row>
    <row r="912" spans="1:7" ht="14.5">
      <c r="A912" s="3">
        <v>30</v>
      </c>
      <c r="B912" s="4" t="s">
        <v>7</v>
      </c>
      <c r="C912" s="3">
        <v>37.4</v>
      </c>
      <c r="D912" s="3">
        <v>3</v>
      </c>
      <c r="E912" s="4" t="s">
        <v>8</v>
      </c>
      <c r="F912" s="4" t="s">
        <v>13</v>
      </c>
      <c r="G912" s="3">
        <v>5428.73</v>
      </c>
    </row>
    <row r="913" spans="1:7" ht="14.5">
      <c r="A913" s="3">
        <v>30</v>
      </c>
      <c r="B913" s="4" t="s">
        <v>7</v>
      </c>
      <c r="C913" s="3">
        <v>24.4</v>
      </c>
      <c r="D913" s="3">
        <v>3</v>
      </c>
      <c r="E913" s="4" t="s">
        <v>11</v>
      </c>
      <c r="F913" s="4" t="s">
        <v>12</v>
      </c>
      <c r="G913" s="3">
        <v>18259.22</v>
      </c>
    </row>
    <row r="914" spans="1:7" ht="14.5">
      <c r="A914" s="3">
        <v>30</v>
      </c>
      <c r="B914" s="4" t="s">
        <v>7</v>
      </c>
      <c r="C914" s="3">
        <v>44.2</v>
      </c>
      <c r="D914" s="3">
        <v>2</v>
      </c>
      <c r="E914" s="4" t="s">
        <v>8</v>
      </c>
      <c r="F914" s="4" t="s">
        <v>14</v>
      </c>
      <c r="G914" s="3">
        <v>4266.17</v>
      </c>
    </row>
    <row r="915" spans="1:7" ht="14.5">
      <c r="A915" s="3">
        <v>30</v>
      </c>
      <c r="B915" s="4" t="s">
        <v>10</v>
      </c>
      <c r="C915" s="3">
        <v>22.9</v>
      </c>
      <c r="D915" s="3">
        <v>1</v>
      </c>
      <c r="E915" s="4" t="s">
        <v>8</v>
      </c>
      <c r="F915" s="4" t="s">
        <v>13</v>
      </c>
      <c r="G915" s="3">
        <v>4719.5200000000004</v>
      </c>
    </row>
    <row r="916" spans="1:7" ht="14.5">
      <c r="A916" s="3">
        <v>30</v>
      </c>
      <c r="B916" s="4" t="s">
        <v>10</v>
      </c>
      <c r="C916" s="3">
        <v>28.4</v>
      </c>
      <c r="D916" s="3">
        <v>1</v>
      </c>
      <c r="E916" s="4" t="s">
        <v>8</v>
      </c>
      <c r="F916" s="4" t="s">
        <v>9</v>
      </c>
      <c r="G916" s="3">
        <v>4527.18</v>
      </c>
    </row>
    <row r="917" spans="1:7" ht="14.5">
      <c r="A917" s="3">
        <v>30</v>
      </c>
      <c r="B917" s="4" t="s">
        <v>7</v>
      </c>
      <c r="C917" s="3">
        <v>23</v>
      </c>
      <c r="D917" s="3">
        <v>2</v>
      </c>
      <c r="E917" s="4" t="s">
        <v>11</v>
      </c>
      <c r="F917" s="4" t="s">
        <v>9</v>
      </c>
      <c r="G917" s="3">
        <v>17361.77</v>
      </c>
    </row>
    <row r="918" spans="1:7" ht="14.5">
      <c r="A918" s="3">
        <v>30</v>
      </c>
      <c r="B918" s="4" t="s">
        <v>10</v>
      </c>
      <c r="C918" s="3">
        <v>27.9</v>
      </c>
      <c r="D918" s="3">
        <v>0</v>
      </c>
      <c r="E918" s="4" t="s">
        <v>8</v>
      </c>
      <c r="F918" s="4" t="s">
        <v>13</v>
      </c>
      <c r="G918" s="3">
        <v>4137.5200000000004</v>
      </c>
    </row>
    <row r="919" spans="1:7" ht="14.5">
      <c r="A919" s="3">
        <v>30</v>
      </c>
      <c r="B919" s="4" t="s">
        <v>10</v>
      </c>
      <c r="C919" s="3">
        <v>20</v>
      </c>
      <c r="D919" s="3">
        <v>3</v>
      </c>
      <c r="E919" s="4" t="s">
        <v>8</v>
      </c>
      <c r="F919" s="4" t="s">
        <v>9</v>
      </c>
      <c r="G919" s="3">
        <v>5693.43</v>
      </c>
    </row>
    <row r="920" spans="1:7" ht="14.5">
      <c r="A920" s="3">
        <v>30</v>
      </c>
      <c r="B920" s="4" t="s">
        <v>7</v>
      </c>
      <c r="C920" s="3">
        <v>38.799999999999997</v>
      </c>
      <c r="D920" s="3">
        <v>1</v>
      </c>
      <c r="E920" s="4" t="s">
        <v>8</v>
      </c>
      <c r="F920" s="4" t="s">
        <v>14</v>
      </c>
      <c r="G920" s="3">
        <v>18963.169999999998</v>
      </c>
    </row>
    <row r="921" spans="1:7" ht="14.5">
      <c r="A921" s="3">
        <v>30</v>
      </c>
      <c r="B921" s="4" t="s">
        <v>10</v>
      </c>
      <c r="C921" s="3">
        <v>21.9</v>
      </c>
      <c r="D921" s="3">
        <v>1</v>
      </c>
      <c r="E921" s="4" t="s">
        <v>8</v>
      </c>
      <c r="F921" s="4" t="s">
        <v>13</v>
      </c>
      <c r="G921" s="3">
        <v>4718.2</v>
      </c>
    </row>
    <row r="922" spans="1:7" ht="14.5">
      <c r="A922" s="3">
        <v>30</v>
      </c>
      <c r="B922" s="4" t="s">
        <v>10</v>
      </c>
      <c r="C922" s="3">
        <v>23.7</v>
      </c>
      <c r="D922" s="3">
        <v>3</v>
      </c>
      <c r="E922" s="4" t="s">
        <v>11</v>
      </c>
      <c r="F922" s="4" t="s">
        <v>9</v>
      </c>
      <c r="G922" s="3">
        <v>18765.88</v>
      </c>
    </row>
    <row r="923" spans="1:7" ht="14.5">
      <c r="A923" s="3">
        <v>29</v>
      </c>
      <c r="B923" s="4" t="s">
        <v>10</v>
      </c>
      <c r="C923" s="3">
        <v>29.6</v>
      </c>
      <c r="D923" s="3">
        <v>1</v>
      </c>
      <c r="E923" s="4" t="s">
        <v>8</v>
      </c>
      <c r="F923" s="4" t="s">
        <v>14</v>
      </c>
      <c r="G923" s="3">
        <v>3947.41</v>
      </c>
    </row>
    <row r="924" spans="1:7" ht="14.5">
      <c r="A924" s="3">
        <v>29</v>
      </c>
      <c r="B924" s="4" t="s">
        <v>7</v>
      </c>
      <c r="C924" s="3">
        <v>27.9</v>
      </c>
      <c r="D924" s="3">
        <v>0</v>
      </c>
      <c r="E924" s="4" t="s">
        <v>8</v>
      </c>
      <c r="F924" s="4" t="s">
        <v>14</v>
      </c>
      <c r="G924" s="3">
        <v>2867.12</v>
      </c>
    </row>
    <row r="925" spans="1:7" ht="14.5">
      <c r="A925" s="3">
        <v>29</v>
      </c>
      <c r="B925" s="4" t="s">
        <v>10</v>
      </c>
      <c r="C925" s="3">
        <v>27.9</v>
      </c>
      <c r="D925" s="3">
        <v>1</v>
      </c>
      <c r="E925" s="4" t="s">
        <v>11</v>
      </c>
      <c r="F925" s="4" t="s">
        <v>14</v>
      </c>
      <c r="G925" s="3">
        <v>19107.78</v>
      </c>
    </row>
    <row r="926" spans="1:7" ht="14.5">
      <c r="A926" s="3">
        <v>29</v>
      </c>
      <c r="B926" s="4" t="s">
        <v>7</v>
      </c>
      <c r="C926" s="3">
        <v>29.7</v>
      </c>
      <c r="D926" s="3">
        <v>2</v>
      </c>
      <c r="E926" s="4" t="s">
        <v>8</v>
      </c>
      <c r="F926" s="4" t="s">
        <v>9</v>
      </c>
      <c r="G926" s="3">
        <v>18157.88</v>
      </c>
    </row>
    <row r="927" spans="1:7" ht="14.5">
      <c r="A927" s="3">
        <v>29</v>
      </c>
      <c r="B927" s="4" t="s">
        <v>10</v>
      </c>
      <c r="C927" s="3">
        <v>38.799999999999997</v>
      </c>
      <c r="D927" s="3">
        <v>3</v>
      </c>
      <c r="E927" s="4" t="s">
        <v>8</v>
      </c>
      <c r="F927" s="4" t="s">
        <v>14</v>
      </c>
      <c r="G927" s="3">
        <v>5138.26</v>
      </c>
    </row>
    <row r="928" spans="1:7" ht="14.5">
      <c r="A928" s="3">
        <v>29</v>
      </c>
      <c r="B928" s="4" t="s">
        <v>10</v>
      </c>
      <c r="C928" s="3">
        <v>32.1</v>
      </c>
      <c r="D928" s="3">
        <v>2</v>
      </c>
      <c r="E928" s="4" t="s">
        <v>8</v>
      </c>
      <c r="F928" s="4" t="s">
        <v>9</v>
      </c>
      <c r="G928" s="3">
        <v>4922.92</v>
      </c>
    </row>
    <row r="929" spans="1:7" ht="14.5">
      <c r="A929" s="3">
        <v>29</v>
      </c>
      <c r="B929" s="4" t="s">
        <v>7</v>
      </c>
      <c r="C929" s="3">
        <v>29</v>
      </c>
      <c r="D929" s="3">
        <v>1</v>
      </c>
      <c r="E929" s="4" t="s">
        <v>8</v>
      </c>
      <c r="F929" s="4" t="s">
        <v>13</v>
      </c>
      <c r="G929" s="3">
        <v>4040.56</v>
      </c>
    </row>
    <row r="930" spans="1:7" ht="14.5">
      <c r="A930" s="3">
        <v>29</v>
      </c>
      <c r="B930" s="4" t="s">
        <v>7</v>
      </c>
      <c r="C930" s="3">
        <v>29.6</v>
      </c>
      <c r="D930" s="3">
        <v>1</v>
      </c>
      <c r="E930" s="4" t="s">
        <v>8</v>
      </c>
      <c r="F930" s="4" t="s">
        <v>13</v>
      </c>
      <c r="G930" s="3">
        <v>20277.810000000001</v>
      </c>
    </row>
    <row r="931" spans="1:7" ht="14.5">
      <c r="A931" s="3">
        <v>29</v>
      </c>
      <c r="B931" s="4" t="s">
        <v>7</v>
      </c>
      <c r="C931" s="3">
        <v>33.299999999999997</v>
      </c>
      <c r="D931" s="3">
        <v>2</v>
      </c>
      <c r="E931" s="4" t="s">
        <v>8</v>
      </c>
      <c r="F931" s="4" t="s">
        <v>9</v>
      </c>
      <c r="G931" s="3">
        <v>19442.349999999999</v>
      </c>
    </row>
    <row r="932" spans="1:7" ht="14.5">
      <c r="A932" s="3">
        <v>29</v>
      </c>
      <c r="B932" s="4" t="s">
        <v>7</v>
      </c>
      <c r="C932" s="3">
        <v>27.2</v>
      </c>
      <c r="D932" s="3">
        <v>0</v>
      </c>
      <c r="E932" s="4" t="s">
        <v>8</v>
      </c>
      <c r="F932" s="4" t="s">
        <v>12</v>
      </c>
      <c r="G932" s="3">
        <v>2866.09</v>
      </c>
    </row>
    <row r="933" spans="1:7" ht="14.5">
      <c r="A933" s="3">
        <v>29</v>
      </c>
      <c r="B933" s="4" t="s">
        <v>10</v>
      </c>
      <c r="C933" s="3">
        <v>20.2</v>
      </c>
      <c r="D933" s="3">
        <v>2</v>
      </c>
      <c r="E933" s="4" t="s">
        <v>8</v>
      </c>
      <c r="F933" s="4" t="s">
        <v>9</v>
      </c>
      <c r="G933" s="3">
        <v>4906.41</v>
      </c>
    </row>
    <row r="934" spans="1:7" ht="14.5">
      <c r="A934" s="3">
        <v>29</v>
      </c>
      <c r="B934" s="4" t="s">
        <v>7</v>
      </c>
      <c r="C934" s="3">
        <v>34.4</v>
      </c>
      <c r="D934" s="3">
        <v>0</v>
      </c>
      <c r="E934" s="4" t="s">
        <v>11</v>
      </c>
      <c r="F934" s="4" t="s">
        <v>12</v>
      </c>
      <c r="G934" s="3">
        <v>36197.699999999997</v>
      </c>
    </row>
    <row r="935" spans="1:7" ht="14.5">
      <c r="A935" s="3">
        <v>29</v>
      </c>
      <c r="B935" s="4" t="s">
        <v>10</v>
      </c>
      <c r="C935" s="3">
        <v>26</v>
      </c>
      <c r="D935" s="3">
        <v>0</v>
      </c>
      <c r="E935" s="4" t="s">
        <v>8</v>
      </c>
      <c r="F935" s="4" t="s">
        <v>9</v>
      </c>
      <c r="G935" s="3">
        <v>3736.46</v>
      </c>
    </row>
    <row r="936" spans="1:7" ht="14.5">
      <c r="A936" s="3">
        <v>29</v>
      </c>
      <c r="B936" s="4" t="s">
        <v>10</v>
      </c>
      <c r="C936" s="3">
        <v>35.5</v>
      </c>
      <c r="D936" s="3">
        <v>0</v>
      </c>
      <c r="E936" s="4" t="s">
        <v>8</v>
      </c>
      <c r="F936" s="4" t="s">
        <v>14</v>
      </c>
      <c r="G936" s="3">
        <v>3366.67</v>
      </c>
    </row>
    <row r="937" spans="1:7" ht="14.5">
      <c r="A937" s="3">
        <v>29</v>
      </c>
      <c r="B937" s="4" t="s">
        <v>10</v>
      </c>
      <c r="C937" s="3">
        <v>31.2</v>
      </c>
      <c r="D937" s="3">
        <v>0</v>
      </c>
      <c r="E937" s="4" t="s">
        <v>8</v>
      </c>
      <c r="F937" s="4" t="s">
        <v>13</v>
      </c>
      <c r="G937" s="3">
        <v>3943.6</v>
      </c>
    </row>
    <row r="938" spans="1:7" ht="14.5">
      <c r="A938" s="3">
        <v>29</v>
      </c>
      <c r="B938" s="4" t="s">
        <v>10</v>
      </c>
      <c r="C938" s="3">
        <v>21.8</v>
      </c>
      <c r="D938" s="3">
        <v>1</v>
      </c>
      <c r="E938" s="4" t="s">
        <v>11</v>
      </c>
      <c r="F938" s="4" t="s">
        <v>13</v>
      </c>
      <c r="G938" s="3">
        <v>16657.72</v>
      </c>
    </row>
    <row r="939" spans="1:7" ht="14.5">
      <c r="A939" s="3">
        <v>29</v>
      </c>
      <c r="B939" s="4" t="s">
        <v>7</v>
      </c>
      <c r="C939" s="3">
        <v>35.5</v>
      </c>
      <c r="D939" s="3">
        <v>2</v>
      </c>
      <c r="E939" s="4" t="s">
        <v>11</v>
      </c>
      <c r="F939" s="4" t="s">
        <v>12</v>
      </c>
      <c r="G939" s="3">
        <v>44585.46</v>
      </c>
    </row>
    <row r="940" spans="1:7" ht="14.5">
      <c r="A940" s="3">
        <v>29</v>
      </c>
      <c r="B940" s="4" t="s">
        <v>7</v>
      </c>
      <c r="C940" s="3">
        <v>22.5</v>
      </c>
      <c r="D940" s="3">
        <v>3</v>
      </c>
      <c r="E940" s="4" t="s">
        <v>8</v>
      </c>
      <c r="F940" s="4" t="s">
        <v>13</v>
      </c>
      <c r="G940" s="3">
        <v>5209.58</v>
      </c>
    </row>
    <row r="941" spans="1:7" ht="14.5">
      <c r="A941" s="3">
        <v>29</v>
      </c>
      <c r="B941" s="4" t="s">
        <v>10</v>
      </c>
      <c r="C941" s="3">
        <v>25.9</v>
      </c>
      <c r="D941" s="3">
        <v>0</v>
      </c>
      <c r="E941" s="4" t="s">
        <v>8</v>
      </c>
      <c r="F941" s="4" t="s">
        <v>12</v>
      </c>
      <c r="G941" s="3">
        <v>3353.28</v>
      </c>
    </row>
    <row r="942" spans="1:7" ht="14.5">
      <c r="A942" s="3">
        <v>29</v>
      </c>
      <c r="B942" s="4" t="s">
        <v>7</v>
      </c>
      <c r="C942" s="3">
        <v>22.9</v>
      </c>
      <c r="D942" s="3">
        <v>0</v>
      </c>
      <c r="E942" s="4" t="s">
        <v>11</v>
      </c>
      <c r="F942" s="4" t="s">
        <v>13</v>
      </c>
      <c r="G942" s="3">
        <v>16138.76</v>
      </c>
    </row>
    <row r="943" spans="1:7" ht="14.5">
      <c r="A943" s="3">
        <v>29</v>
      </c>
      <c r="B943" s="4" t="s">
        <v>7</v>
      </c>
      <c r="C943" s="3">
        <v>31.7</v>
      </c>
      <c r="D943" s="3">
        <v>2</v>
      </c>
      <c r="E943" s="4" t="s">
        <v>8</v>
      </c>
      <c r="F943" s="4" t="s">
        <v>9</v>
      </c>
      <c r="G943" s="3">
        <v>4433.3900000000003</v>
      </c>
    </row>
    <row r="944" spans="1:7" ht="14.5">
      <c r="A944" s="3">
        <v>29</v>
      </c>
      <c r="B944" s="4" t="s">
        <v>10</v>
      </c>
      <c r="C944" s="3">
        <v>25.6</v>
      </c>
      <c r="D944" s="3">
        <v>4</v>
      </c>
      <c r="E944" s="4" t="s">
        <v>8</v>
      </c>
      <c r="F944" s="4" t="s">
        <v>12</v>
      </c>
      <c r="G944" s="3">
        <v>5708.87</v>
      </c>
    </row>
    <row r="945" spans="1:7" ht="14.5">
      <c r="A945" s="3">
        <v>29</v>
      </c>
      <c r="B945" s="4" t="s">
        <v>7</v>
      </c>
      <c r="C945" s="3">
        <v>38.9</v>
      </c>
      <c r="D945" s="3">
        <v>1</v>
      </c>
      <c r="E945" s="4" t="s">
        <v>8</v>
      </c>
      <c r="F945" s="4" t="s">
        <v>14</v>
      </c>
      <c r="G945" s="3">
        <v>3471.41</v>
      </c>
    </row>
    <row r="946" spans="1:7" ht="14.5">
      <c r="A946" s="3">
        <v>29</v>
      </c>
      <c r="B946" s="4" t="s">
        <v>10</v>
      </c>
      <c r="C946" s="3">
        <v>24.6</v>
      </c>
      <c r="D946" s="3">
        <v>2</v>
      </c>
      <c r="E946" s="4" t="s">
        <v>8</v>
      </c>
      <c r="F946" s="4" t="s">
        <v>12</v>
      </c>
      <c r="G946" s="3">
        <v>4529.4799999999996</v>
      </c>
    </row>
    <row r="947" spans="1:7" ht="14.5">
      <c r="A947" s="3">
        <v>29</v>
      </c>
      <c r="B947" s="4" t="s">
        <v>7</v>
      </c>
      <c r="C947" s="3">
        <v>32.1</v>
      </c>
      <c r="D947" s="3">
        <v>2</v>
      </c>
      <c r="E947" s="4" t="s">
        <v>8</v>
      </c>
      <c r="F947" s="4" t="s">
        <v>9</v>
      </c>
      <c r="G947" s="3">
        <v>4433.92</v>
      </c>
    </row>
    <row r="948" spans="1:7" ht="14.5">
      <c r="A948" s="3">
        <v>29</v>
      </c>
      <c r="B948" s="4" t="s">
        <v>7</v>
      </c>
      <c r="C948" s="3">
        <v>37.299999999999997</v>
      </c>
      <c r="D948" s="3">
        <v>2</v>
      </c>
      <c r="E948" s="4" t="s">
        <v>8</v>
      </c>
      <c r="F948" s="4" t="s">
        <v>14</v>
      </c>
      <c r="G948" s="3">
        <v>4058.12</v>
      </c>
    </row>
    <row r="949" spans="1:7" ht="14.5">
      <c r="A949" s="3">
        <v>29</v>
      </c>
      <c r="B949" s="4" t="s">
        <v>10</v>
      </c>
      <c r="C949" s="3">
        <v>21.9</v>
      </c>
      <c r="D949" s="3">
        <v>0</v>
      </c>
      <c r="E949" s="4" t="s">
        <v>11</v>
      </c>
      <c r="F949" s="4" t="s">
        <v>13</v>
      </c>
      <c r="G949" s="3">
        <v>16115.3</v>
      </c>
    </row>
    <row r="950" spans="1:7" ht="14.5">
      <c r="A950" s="3">
        <v>28</v>
      </c>
      <c r="B950" s="4" t="s">
        <v>7</v>
      </c>
      <c r="C950" s="3">
        <v>33</v>
      </c>
      <c r="D950" s="3">
        <v>3</v>
      </c>
      <c r="E950" s="4" t="s">
        <v>8</v>
      </c>
      <c r="F950" s="4" t="s">
        <v>14</v>
      </c>
      <c r="G950" s="3">
        <v>4449.46</v>
      </c>
    </row>
    <row r="951" spans="1:7" ht="14.5">
      <c r="A951" s="3">
        <v>28</v>
      </c>
      <c r="B951" s="4" t="s">
        <v>7</v>
      </c>
      <c r="C951" s="3">
        <v>36.4</v>
      </c>
      <c r="D951" s="3">
        <v>1</v>
      </c>
      <c r="E951" s="4" t="s">
        <v>11</v>
      </c>
      <c r="F951" s="4" t="s">
        <v>12</v>
      </c>
      <c r="G951" s="3">
        <v>51194.559999999998</v>
      </c>
    </row>
    <row r="952" spans="1:7" ht="14.5">
      <c r="A952" s="3">
        <v>28</v>
      </c>
      <c r="B952" s="4" t="s">
        <v>10</v>
      </c>
      <c r="C952" s="3">
        <v>34.799999999999997</v>
      </c>
      <c r="D952" s="3">
        <v>0</v>
      </c>
      <c r="E952" s="4" t="s">
        <v>8</v>
      </c>
      <c r="F952" s="4" t="s">
        <v>9</v>
      </c>
      <c r="G952" s="3">
        <v>3556.92</v>
      </c>
    </row>
    <row r="953" spans="1:7" ht="14.5">
      <c r="A953" s="3">
        <v>28</v>
      </c>
      <c r="B953" s="4" t="s">
        <v>10</v>
      </c>
      <c r="C953" s="3">
        <v>25.9</v>
      </c>
      <c r="D953" s="3">
        <v>1</v>
      </c>
      <c r="E953" s="4" t="s">
        <v>8</v>
      </c>
      <c r="F953" s="4" t="s">
        <v>9</v>
      </c>
      <c r="G953" s="3">
        <v>4133.6400000000003</v>
      </c>
    </row>
    <row r="954" spans="1:7" ht="14.5">
      <c r="A954" s="3">
        <v>28</v>
      </c>
      <c r="B954" s="4" t="s">
        <v>7</v>
      </c>
      <c r="C954" s="3">
        <v>24</v>
      </c>
      <c r="D954" s="3">
        <v>3</v>
      </c>
      <c r="E954" s="4" t="s">
        <v>11</v>
      </c>
      <c r="F954" s="4" t="s">
        <v>14</v>
      </c>
      <c r="G954" s="3">
        <v>17663.14</v>
      </c>
    </row>
    <row r="955" spans="1:7" ht="14.5">
      <c r="A955" s="3">
        <v>28</v>
      </c>
      <c r="B955" s="4" t="s">
        <v>10</v>
      </c>
      <c r="C955" s="3">
        <v>37.6</v>
      </c>
      <c r="D955" s="3">
        <v>1</v>
      </c>
      <c r="E955" s="4" t="s">
        <v>8</v>
      </c>
      <c r="F955" s="4" t="s">
        <v>14</v>
      </c>
      <c r="G955" s="3">
        <v>3766.88</v>
      </c>
    </row>
    <row r="956" spans="1:7" ht="14.5">
      <c r="A956" s="3">
        <v>28</v>
      </c>
      <c r="B956" s="4" t="s">
        <v>10</v>
      </c>
      <c r="C956" s="3">
        <v>28.9</v>
      </c>
      <c r="D956" s="3">
        <v>1</v>
      </c>
      <c r="E956" s="4" t="s">
        <v>8</v>
      </c>
      <c r="F956" s="4" t="s">
        <v>13</v>
      </c>
      <c r="G956" s="3">
        <v>4337.74</v>
      </c>
    </row>
    <row r="957" spans="1:7" ht="14.5">
      <c r="A957" s="3">
        <v>28</v>
      </c>
      <c r="B957" s="4" t="s">
        <v>7</v>
      </c>
      <c r="C957" s="3">
        <v>38.1</v>
      </c>
      <c r="D957" s="3">
        <v>0</v>
      </c>
      <c r="E957" s="4" t="s">
        <v>8</v>
      </c>
      <c r="F957" s="4" t="s">
        <v>14</v>
      </c>
      <c r="G957" s="3">
        <v>2689.5</v>
      </c>
    </row>
    <row r="958" spans="1:7" ht="14.5">
      <c r="A958" s="3">
        <v>28</v>
      </c>
      <c r="B958" s="4" t="s">
        <v>10</v>
      </c>
      <c r="C958" s="3">
        <v>33.4</v>
      </c>
      <c r="D958" s="3">
        <v>0</v>
      </c>
      <c r="E958" s="4" t="s">
        <v>8</v>
      </c>
      <c r="F958" s="4" t="s">
        <v>12</v>
      </c>
      <c r="G958" s="3">
        <v>3172.02</v>
      </c>
    </row>
    <row r="959" spans="1:7" ht="14.5">
      <c r="A959" s="3">
        <v>28</v>
      </c>
      <c r="B959" s="4" t="s">
        <v>10</v>
      </c>
      <c r="C959" s="3">
        <v>33</v>
      </c>
      <c r="D959" s="3">
        <v>2</v>
      </c>
      <c r="E959" s="4" t="s">
        <v>8</v>
      </c>
      <c r="F959" s="4" t="s">
        <v>14</v>
      </c>
      <c r="G959" s="3">
        <v>4349.46</v>
      </c>
    </row>
    <row r="960" spans="1:7" ht="14.5">
      <c r="A960" s="3">
        <v>28</v>
      </c>
      <c r="B960" s="4" t="s">
        <v>10</v>
      </c>
      <c r="C960" s="3">
        <v>27.5</v>
      </c>
      <c r="D960" s="3">
        <v>2</v>
      </c>
      <c r="E960" s="4" t="s">
        <v>8</v>
      </c>
      <c r="F960" s="4" t="s">
        <v>12</v>
      </c>
      <c r="G960" s="3">
        <v>20177.669999999998</v>
      </c>
    </row>
    <row r="961" spans="1:7" ht="14.5">
      <c r="A961" s="3">
        <v>28</v>
      </c>
      <c r="B961" s="4" t="s">
        <v>10</v>
      </c>
      <c r="C961" s="3">
        <v>24.3</v>
      </c>
      <c r="D961" s="3">
        <v>1</v>
      </c>
      <c r="E961" s="4" t="s">
        <v>8</v>
      </c>
      <c r="F961" s="4" t="s">
        <v>13</v>
      </c>
      <c r="G961" s="3">
        <v>23288.93</v>
      </c>
    </row>
    <row r="962" spans="1:7" ht="14.5">
      <c r="A962" s="3">
        <v>28</v>
      </c>
      <c r="B962" s="4" t="s">
        <v>7</v>
      </c>
      <c r="C962" s="3">
        <v>35.4</v>
      </c>
      <c r="D962" s="3">
        <v>0</v>
      </c>
      <c r="E962" s="4" t="s">
        <v>8</v>
      </c>
      <c r="F962" s="4" t="s">
        <v>13</v>
      </c>
      <c r="G962" s="3">
        <v>3268.85</v>
      </c>
    </row>
    <row r="963" spans="1:7" ht="14.5">
      <c r="A963" s="3">
        <v>28</v>
      </c>
      <c r="B963" s="4" t="s">
        <v>7</v>
      </c>
      <c r="C963" s="3">
        <v>23.8</v>
      </c>
      <c r="D963" s="3">
        <v>2</v>
      </c>
      <c r="E963" s="4" t="s">
        <v>8</v>
      </c>
      <c r="F963" s="4" t="s">
        <v>12</v>
      </c>
      <c r="G963" s="3">
        <v>3847.67</v>
      </c>
    </row>
    <row r="964" spans="1:7" ht="14.5">
      <c r="A964" s="3">
        <v>28</v>
      </c>
      <c r="B964" s="4" t="s">
        <v>7</v>
      </c>
      <c r="C964" s="3">
        <v>27</v>
      </c>
      <c r="D964" s="3">
        <v>2</v>
      </c>
      <c r="E964" s="4" t="s">
        <v>8</v>
      </c>
      <c r="F964" s="4" t="s">
        <v>13</v>
      </c>
      <c r="G964" s="3">
        <v>4435.09</v>
      </c>
    </row>
    <row r="965" spans="1:7" ht="14.5">
      <c r="A965" s="3">
        <v>28</v>
      </c>
      <c r="B965" s="4" t="s">
        <v>7</v>
      </c>
      <c r="C965" s="3">
        <v>30.9</v>
      </c>
      <c r="D965" s="3">
        <v>0</v>
      </c>
      <c r="E965" s="4" t="s">
        <v>8</v>
      </c>
      <c r="F965" s="4" t="s">
        <v>9</v>
      </c>
      <c r="G965" s="3">
        <v>3062.51</v>
      </c>
    </row>
    <row r="966" spans="1:7" ht="14.5">
      <c r="A966" s="3">
        <v>28</v>
      </c>
      <c r="B966" s="4" t="s">
        <v>7</v>
      </c>
      <c r="C966" s="3">
        <v>22.5</v>
      </c>
      <c r="D966" s="3">
        <v>2</v>
      </c>
      <c r="E966" s="4" t="s">
        <v>8</v>
      </c>
      <c r="F966" s="4" t="s">
        <v>13</v>
      </c>
      <c r="G966" s="3">
        <v>4428.8900000000003</v>
      </c>
    </row>
    <row r="967" spans="1:7" ht="14.5">
      <c r="A967" s="3">
        <v>28</v>
      </c>
      <c r="B967" s="4" t="s">
        <v>10</v>
      </c>
      <c r="C967" s="3">
        <v>23.8</v>
      </c>
      <c r="D967" s="3">
        <v>2</v>
      </c>
      <c r="E967" s="4" t="s">
        <v>8</v>
      </c>
      <c r="F967" s="4" t="s">
        <v>9</v>
      </c>
      <c r="G967" s="3">
        <v>4719.74</v>
      </c>
    </row>
    <row r="968" spans="1:7" ht="14.5">
      <c r="A968" s="3">
        <v>28</v>
      </c>
      <c r="B968" s="4" t="s">
        <v>7</v>
      </c>
      <c r="C968" s="3">
        <v>29.3</v>
      </c>
      <c r="D968" s="3">
        <v>2</v>
      </c>
      <c r="E968" s="4" t="s">
        <v>8</v>
      </c>
      <c r="F968" s="4" t="s">
        <v>13</v>
      </c>
      <c r="G968" s="3">
        <v>4438.26</v>
      </c>
    </row>
    <row r="969" spans="1:7" ht="14.5">
      <c r="A969" s="3">
        <v>28</v>
      </c>
      <c r="B969" s="4" t="s">
        <v>10</v>
      </c>
      <c r="C969" s="3">
        <v>25.8</v>
      </c>
      <c r="D969" s="3">
        <v>0</v>
      </c>
      <c r="E969" s="4" t="s">
        <v>8</v>
      </c>
      <c r="F969" s="4" t="s">
        <v>12</v>
      </c>
      <c r="G969" s="3">
        <v>3161.45</v>
      </c>
    </row>
    <row r="970" spans="1:7" ht="14.5">
      <c r="A970" s="3">
        <v>28</v>
      </c>
      <c r="B970" s="4" t="s">
        <v>7</v>
      </c>
      <c r="C970" s="3">
        <v>31.7</v>
      </c>
      <c r="D970" s="3">
        <v>0</v>
      </c>
      <c r="E970" s="4" t="s">
        <v>11</v>
      </c>
      <c r="F970" s="4" t="s">
        <v>14</v>
      </c>
      <c r="G970" s="3">
        <v>34672.15</v>
      </c>
    </row>
    <row r="971" spans="1:7" ht="14.5">
      <c r="A971" s="3">
        <v>28</v>
      </c>
      <c r="B971" s="4" t="s">
        <v>10</v>
      </c>
      <c r="C971" s="3">
        <v>26.3</v>
      </c>
      <c r="D971" s="3">
        <v>3</v>
      </c>
      <c r="E971" s="4" t="s">
        <v>8</v>
      </c>
      <c r="F971" s="4" t="s">
        <v>9</v>
      </c>
      <c r="G971" s="3">
        <v>5312.17</v>
      </c>
    </row>
    <row r="972" spans="1:7" ht="14.5">
      <c r="A972" s="3">
        <v>28</v>
      </c>
      <c r="B972" s="4" t="s">
        <v>7</v>
      </c>
      <c r="C972" s="3">
        <v>33.799999999999997</v>
      </c>
      <c r="D972" s="3">
        <v>0</v>
      </c>
      <c r="E972" s="4" t="s">
        <v>8</v>
      </c>
      <c r="F972" s="4" t="s">
        <v>9</v>
      </c>
      <c r="G972" s="3">
        <v>19673.34</v>
      </c>
    </row>
    <row r="973" spans="1:7" ht="14.5">
      <c r="A973" s="3">
        <v>28</v>
      </c>
      <c r="B973" s="4" t="s">
        <v>10</v>
      </c>
      <c r="C973" s="3">
        <v>33.1</v>
      </c>
      <c r="D973" s="3">
        <v>0</v>
      </c>
      <c r="E973" s="4" t="s">
        <v>8</v>
      </c>
      <c r="F973" s="4" t="s">
        <v>14</v>
      </c>
      <c r="G973" s="3">
        <v>3171.61</v>
      </c>
    </row>
    <row r="974" spans="1:7" ht="14.5">
      <c r="A974" s="3">
        <v>28</v>
      </c>
      <c r="B974" s="4" t="s">
        <v>7</v>
      </c>
      <c r="C974" s="3">
        <v>24.3</v>
      </c>
      <c r="D974" s="3">
        <v>5</v>
      </c>
      <c r="E974" s="4" t="s">
        <v>8</v>
      </c>
      <c r="F974" s="4" t="s">
        <v>12</v>
      </c>
      <c r="G974" s="3">
        <v>5615.37</v>
      </c>
    </row>
    <row r="975" spans="1:7" ht="14.5">
      <c r="A975" s="3">
        <v>28</v>
      </c>
      <c r="B975" s="4" t="s">
        <v>7</v>
      </c>
      <c r="C975" s="3">
        <v>37.1</v>
      </c>
      <c r="D975" s="3">
        <v>1</v>
      </c>
      <c r="E975" s="4" t="s">
        <v>8</v>
      </c>
      <c r="F975" s="4" t="s">
        <v>12</v>
      </c>
      <c r="G975" s="3">
        <v>3277.16</v>
      </c>
    </row>
    <row r="976" spans="1:7" ht="14.5">
      <c r="A976" s="3">
        <v>28</v>
      </c>
      <c r="B976" s="4" t="s">
        <v>10</v>
      </c>
      <c r="C976" s="3">
        <v>17.3</v>
      </c>
      <c r="D976" s="3">
        <v>0</v>
      </c>
      <c r="E976" s="4" t="s">
        <v>8</v>
      </c>
      <c r="F976" s="4" t="s">
        <v>13</v>
      </c>
      <c r="G976" s="3">
        <v>3732.63</v>
      </c>
    </row>
    <row r="977" spans="1:7" ht="14.5">
      <c r="A977" s="3">
        <v>28</v>
      </c>
      <c r="B977" s="4" t="s">
        <v>10</v>
      </c>
      <c r="C977" s="3">
        <v>26.5</v>
      </c>
      <c r="D977" s="3">
        <v>2</v>
      </c>
      <c r="E977" s="4" t="s">
        <v>8</v>
      </c>
      <c r="F977" s="4" t="s">
        <v>14</v>
      </c>
      <c r="G977" s="3">
        <v>4340.4399999999996</v>
      </c>
    </row>
    <row r="978" spans="1:7" ht="14.5">
      <c r="A978" s="3">
        <v>27</v>
      </c>
      <c r="B978" s="4" t="s">
        <v>7</v>
      </c>
      <c r="C978" s="3">
        <v>42.1</v>
      </c>
      <c r="D978" s="3">
        <v>0</v>
      </c>
      <c r="E978" s="4" t="s">
        <v>11</v>
      </c>
      <c r="F978" s="4" t="s">
        <v>14</v>
      </c>
      <c r="G978" s="3">
        <v>39611.760000000002</v>
      </c>
    </row>
    <row r="979" spans="1:7" ht="14.5">
      <c r="A979" s="3">
        <v>27</v>
      </c>
      <c r="B979" s="4" t="s">
        <v>10</v>
      </c>
      <c r="C979" s="3">
        <v>24.8</v>
      </c>
      <c r="D979" s="3">
        <v>0</v>
      </c>
      <c r="E979" s="4" t="s">
        <v>11</v>
      </c>
      <c r="F979" s="4" t="s">
        <v>14</v>
      </c>
      <c r="G979" s="3">
        <v>16577.78</v>
      </c>
    </row>
    <row r="980" spans="1:7" ht="14.5">
      <c r="A980" s="3">
        <v>27</v>
      </c>
      <c r="B980" s="4" t="s">
        <v>7</v>
      </c>
      <c r="C980" s="3">
        <v>18.899999999999999</v>
      </c>
      <c r="D980" s="3">
        <v>3</v>
      </c>
      <c r="E980" s="4" t="s">
        <v>8</v>
      </c>
      <c r="F980" s="4" t="s">
        <v>13</v>
      </c>
      <c r="G980" s="3">
        <v>4827.8999999999996</v>
      </c>
    </row>
    <row r="981" spans="1:7" ht="14.5">
      <c r="A981" s="3">
        <v>27</v>
      </c>
      <c r="B981" s="4" t="s">
        <v>10</v>
      </c>
      <c r="C981" s="3">
        <v>36.1</v>
      </c>
      <c r="D981" s="3">
        <v>0</v>
      </c>
      <c r="E981" s="4" t="s">
        <v>11</v>
      </c>
      <c r="F981" s="4" t="s">
        <v>14</v>
      </c>
      <c r="G981" s="3">
        <v>37133.9</v>
      </c>
    </row>
    <row r="982" spans="1:7" ht="14.5">
      <c r="A982" s="3">
        <v>27</v>
      </c>
      <c r="B982" s="4" t="s">
        <v>7</v>
      </c>
      <c r="C982" s="3">
        <v>23.1</v>
      </c>
      <c r="D982" s="3">
        <v>0</v>
      </c>
      <c r="E982" s="4" t="s">
        <v>8</v>
      </c>
      <c r="F982" s="4" t="s">
        <v>14</v>
      </c>
      <c r="G982" s="3">
        <v>2483.7399999999998</v>
      </c>
    </row>
    <row r="983" spans="1:7" ht="14.5">
      <c r="A983" s="3">
        <v>27</v>
      </c>
      <c r="B983" s="4" t="s">
        <v>7</v>
      </c>
      <c r="C983" s="3">
        <v>30.3</v>
      </c>
      <c r="D983" s="3">
        <v>3</v>
      </c>
      <c r="E983" s="4" t="s">
        <v>8</v>
      </c>
      <c r="F983" s="4" t="s">
        <v>12</v>
      </c>
      <c r="G983" s="3">
        <v>4260.74</v>
      </c>
    </row>
    <row r="984" spans="1:7" ht="14.5">
      <c r="A984" s="3">
        <v>27</v>
      </c>
      <c r="B984" s="4" t="s">
        <v>10</v>
      </c>
      <c r="C984" s="3">
        <v>31.4</v>
      </c>
      <c r="D984" s="3">
        <v>0</v>
      </c>
      <c r="E984" s="4" t="s">
        <v>11</v>
      </c>
      <c r="F984" s="4" t="s">
        <v>12</v>
      </c>
      <c r="G984" s="3">
        <v>34838.870000000003</v>
      </c>
    </row>
    <row r="985" spans="1:7" ht="14.5">
      <c r="A985" s="3">
        <v>27</v>
      </c>
      <c r="B985" s="4" t="s">
        <v>10</v>
      </c>
      <c r="C985" s="3">
        <v>23.2</v>
      </c>
      <c r="D985" s="3">
        <v>1</v>
      </c>
      <c r="E985" s="4" t="s">
        <v>8</v>
      </c>
      <c r="F985" s="4" t="s">
        <v>14</v>
      </c>
      <c r="G985" s="3">
        <v>3561.89</v>
      </c>
    </row>
    <row r="986" spans="1:7" ht="14.5">
      <c r="A986" s="3">
        <v>27</v>
      </c>
      <c r="B986" s="4" t="s">
        <v>10</v>
      </c>
      <c r="C986" s="3">
        <v>18</v>
      </c>
      <c r="D986" s="3">
        <v>2</v>
      </c>
      <c r="E986" s="4" t="s">
        <v>11</v>
      </c>
      <c r="F986" s="4" t="s">
        <v>13</v>
      </c>
      <c r="G986" s="3">
        <v>15006.58</v>
      </c>
    </row>
    <row r="987" spans="1:7" ht="14.5">
      <c r="A987" s="3">
        <v>27</v>
      </c>
      <c r="B987" s="4" t="s">
        <v>10</v>
      </c>
      <c r="C987" s="3">
        <v>30.4</v>
      </c>
      <c r="D987" s="3">
        <v>3</v>
      </c>
      <c r="E987" s="4" t="s">
        <v>8</v>
      </c>
      <c r="F987" s="4" t="s">
        <v>9</v>
      </c>
      <c r="G987" s="3">
        <v>18804.75</v>
      </c>
    </row>
    <row r="988" spans="1:7" ht="14.5">
      <c r="A988" s="3">
        <v>27</v>
      </c>
      <c r="B988" s="4" t="s">
        <v>7</v>
      </c>
      <c r="C988" s="3">
        <v>32.700000000000003</v>
      </c>
      <c r="D988" s="3">
        <v>0</v>
      </c>
      <c r="E988" s="4" t="s">
        <v>8</v>
      </c>
      <c r="F988" s="4" t="s">
        <v>14</v>
      </c>
      <c r="G988" s="3">
        <v>2497.04</v>
      </c>
    </row>
    <row r="989" spans="1:7" ht="14.5">
      <c r="A989" s="3">
        <v>27</v>
      </c>
      <c r="B989" s="4" t="s">
        <v>7</v>
      </c>
      <c r="C989" s="3">
        <v>33.700000000000003</v>
      </c>
      <c r="D989" s="3">
        <v>0</v>
      </c>
      <c r="E989" s="4" t="s">
        <v>8</v>
      </c>
      <c r="F989" s="4" t="s">
        <v>14</v>
      </c>
      <c r="G989" s="3">
        <v>2498.41</v>
      </c>
    </row>
    <row r="990" spans="1:7" ht="14.5">
      <c r="A990" s="3">
        <v>27</v>
      </c>
      <c r="B990" s="4" t="s">
        <v>7</v>
      </c>
      <c r="C990" s="3">
        <v>30.5</v>
      </c>
      <c r="D990" s="3">
        <v>0</v>
      </c>
      <c r="E990" s="4" t="s">
        <v>8</v>
      </c>
      <c r="F990" s="4" t="s">
        <v>12</v>
      </c>
      <c r="G990" s="3">
        <v>2494.02</v>
      </c>
    </row>
    <row r="991" spans="1:7" ht="14.5">
      <c r="A991" s="3">
        <v>27</v>
      </c>
      <c r="B991" s="4" t="s">
        <v>10</v>
      </c>
      <c r="C991" s="3">
        <v>25.2</v>
      </c>
      <c r="D991" s="3">
        <v>0</v>
      </c>
      <c r="E991" s="4" t="s">
        <v>8</v>
      </c>
      <c r="F991" s="4" t="s">
        <v>13</v>
      </c>
      <c r="G991" s="3">
        <v>3558.62</v>
      </c>
    </row>
    <row r="992" spans="1:7" ht="14.5">
      <c r="A992" s="3">
        <v>27</v>
      </c>
      <c r="B992" s="4" t="s">
        <v>7</v>
      </c>
      <c r="C992" s="3">
        <v>33.200000000000003</v>
      </c>
      <c r="D992" s="3">
        <v>2</v>
      </c>
      <c r="E992" s="4" t="s">
        <v>8</v>
      </c>
      <c r="F992" s="4" t="s">
        <v>9</v>
      </c>
      <c r="G992" s="3">
        <v>4058.71</v>
      </c>
    </row>
    <row r="993" spans="1:7" ht="14.5">
      <c r="A993" s="3">
        <v>27</v>
      </c>
      <c r="B993" s="4" t="s">
        <v>7</v>
      </c>
      <c r="C993" s="3">
        <v>31.1</v>
      </c>
      <c r="D993" s="3">
        <v>1</v>
      </c>
      <c r="E993" s="4" t="s">
        <v>11</v>
      </c>
      <c r="F993" s="4" t="s">
        <v>14</v>
      </c>
      <c r="G993" s="3">
        <v>34806.47</v>
      </c>
    </row>
    <row r="994" spans="1:7" ht="14.5">
      <c r="A994" s="3">
        <v>27</v>
      </c>
      <c r="B994" s="4" t="s">
        <v>10</v>
      </c>
      <c r="C994" s="3">
        <v>34.799999999999997</v>
      </c>
      <c r="D994" s="3">
        <v>1</v>
      </c>
      <c r="E994" s="4" t="s">
        <v>8</v>
      </c>
      <c r="F994" s="4" t="s">
        <v>12</v>
      </c>
      <c r="G994" s="3">
        <v>3578</v>
      </c>
    </row>
    <row r="995" spans="1:7" ht="14.5">
      <c r="A995" s="3">
        <v>27</v>
      </c>
      <c r="B995" s="4" t="s">
        <v>7</v>
      </c>
      <c r="C995" s="3">
        <v>29.2</v>
      </c>
      <c r="D995" s="3">
        <v>0</v>
      </c>
      <c r="E995" s="4" t="s">
        <v>11</v>
      </c>
      <c r="F995" s="4" t="s">
        <v>14</v>
      </c>
      <c r="G995" s="3">
        <v>18246.5</v>
      </c>
    </row>
    <row r="996" spans="1:7" ht="14.5">
      <c r="A996" s="3">
        <v>27</v>
      </c>
      <c r="B996" s="4" t="s">
        <v>7</v>
      </c>
      <c r="C996" s="3">
        <v>26</v>
      </c>
      <c r="D996" s="3">
        <v>0</v>
      </c>
      <c r="E996" s="4" t="s">
        <v>8</v>
      </c>
      <c r="F996" s="4" t="s">
        <v>13</v>
      </c>
      <c r="G996" s="3">
        <v>3070.81</v>
      </c>
    </row>
    <row r="997" spans="1:7" ht="14.5">
      <c r="A997" s="3">
        <v>27</v>
      </c>
      <c r="B997" s="4" t="s">
        <v>7</v>
      </c>
      <c r="C997" s="3">
        <v>28.5</v>
      </c>
      <c r="D997" s="3">
        <v>0</v>
      </c>
      <c r="E997" s="4" t="s">
        <v>11</v>
      </c>
      <c r="F997" s="4" t="s">
        <v>9</v>
      </c>
      <c r="G997" s="3">
        <v>18310.740000000002</v>
      </c>
    </row>
    <row r="998" spans="1:7" ht="14.5">
      <c r="A998" s="3">
        <v>27</v>
      </c>
      <c r="B998" s="4" t="s">
        <v>10</v>
      </c>
      <c r="C998" s="3">
        <v>24.1</v>
      </c>
      <c r="D998" s="3">
        <v>0</v>
      </c>
      <c r="E998" s="4" t="s">
        <v>8</v>
      </c>
      <c r="F998" s="4" t="s">
        <v>12</v>
      </c>
      <c r="G998" s="3">
        <v>2974.13</v>
      </c>
    </row>
    <row r="999" spans="1:7" ht="14.5">
      <c r="A999" s="3">
        <v>27</v>
      </c>
      <c r="B999" s="4" t="s">
        <v>7</v>
      </c>
      <c r="C999" s="3">
        <v>32.6</v>
      </c>
      <c r="D999" s="3">
        <v>3</v>
      </c>
      <c r="E999" s="4" t="s">
        <v>8</v>
      </c>
      <c r="F999" s="4" t="s">
        <v>13</v>
      </c>
      <c r="G999" s="3">
        <v>4846.92</v>
      </c>
    </row>
    <row r="1000" spans="1:7" ht="14.5">
      <c r="A1000" s="3">
        <v>27</v>
      </c>
      <c r="B1000" s="4" t="s">
        <v>10</v>
      </c>
      <c r="C1000" s="3">
        <v>30.6</v>
      </c>
      <c r="D1000" s="3">
        <v>1</v>
      </c>
      <c r="E1000" s="4" t="s">
        <v>8</v>
      </c>
      <c r="F1000" s="4" t="s">
        <v>13</v>
      </c>
      <c r="G1000" s="3">
        <v>16796.41</v>
      </c>
    </row>
    <row r="1001" spans="1:7" ht="14.5">
      <c r="A1001" s="3">
        <v>27</v>
      </c>
      <c r="B1001" s="4" t="s">
        <v>10</v>
      </c>
      <c r="C1001" s="3">
        <v>20</v>
      </c>
      <c r="D1001" s="3">
        <v>3</v>
      </c>
      <c r="E1001" s="4" t="s">
        <v>11</v>
      </c>
      <c r="F1001" s="4" t="s">
        <v>9</v>
      </c>
      <c r="G1001" s="3">
        <v>16420.490000000002</v>
      </c>
    </row>
    <row r="1002" spans="1:7" ht="14.5">
      <c r="A1002" s="3">
        <v>27</v>
      </c>
      <c r="B1002" s="4" t="s">
        <v>10</v>
      </c>
      <c r="C1002" s="3">
        <v>21.5</v>
      </c>
      <c r="D1002" s="3">
        <v>0</v>
      </c>
      <c r="E1002" s="4" t="s">
        <v>8</v>
      </c>
      <c r="F1002" s="4" t="s">
        <v>9</v>
      </c>
      <c r="G1002" s="3">
        <v>3353.47</v>
      </c>
    </row>
    <row r="1003" spans="1:7" ht="14.5">
      <c r="A1003" s="3">
        <v>27</v>
      </c>
      <c r="B1003" s="4" t="s">
        <v>10</v>
      </c>
      <c r="C1003" s="3">
        <v>32.4</v>
      </c>
      <c r="D1003" s="3">
        <v>1</v>
      </c>
      <c r="E1003" s="4" t="s">
        <v>8</v>
      </c>
      <c r="F1003" s="4" t="s">
        <v>13</v>
      </c>
      <c r="G1003" s="3">
        <v>18903.490000000002</v>
      </c>
    </row>
    <row r="1004" spans="1:7" ht="14.5">
      <c r="A1004" s="3">
        <v>27</v>
      </c>
      <c r="B1004" s="4" t="s">
        <v>7</v>
      </c>
      <c r="C1004" s="3">
        <v>45.9</v>
      </c>
      <c r="D1004" s="3">
        <v>2</v>
      </c>
      <c r="E1004" s="4" t="s">
        <v>8</v>
      </c>
      <c r="F1004" s="4" t="s">
        <v>12</v>
      </c>
      <c r="G1004" s="3">
        <v>3693.43</v>
      </c>
    </row>
    <row r="1005" spans="1:7" ht="14.5">
      <c r="A1005" s="3">
        <v>27</v>
      </c>
      <c r="B1005" s="4" t="s">
        <v>10</v>
      </c>
      <c r="C1005" s="3">
        <v>31.3</v>
      </c>
      <c r="D1005" s="3">
        <v>1</v>
      </c>
      <c r="E1005" s="4" t="s">
        <v>8</v>
      </c>
      <c r="F1005" s="4" t="s">
        <v>9</v>
      </c>
      <c r="G1005" s="3">
        <v>3956.07</v>
      </c>
    </row>
    <row r="1006" spans="1:7" ht="14.5">
      <c r="A1006" s="3">
        <v>26</v>
      </c>
      <c r="B1006" s="4" t="s">
        <v>7</v>
      </c>
      <c r="C1006" s="3">
        <v>20.8</v>
      </c>
      <c r="D1006" s="3">
        <v>0</v>
      </c>
      <c r="E1006" s="4" t="s">
        <v>8</v>
      </c>
      <c r="F1006" s="4" t="s">
        <v>12</v>
      </c>
      <c r="G1006" s="3">
        <v>2302.3000000000002</v>
      </c>
    </row>
    <row r="1007" spans="1:7" ht="14.5">
      <c r="A1007" s="3">
        <v>26</v>
      </c>
      <c r="B1007" s="4" t="s">
        <v>7</v>
      </c>
      <c r="C1007" s="3">
        <v>30.9</v>
      </c>
      <c r="D1007" s="3">
        <v>2</v>
      </c>
      <c r="E1007" s="4" t="s">
        <v>8</v>
      </c>
      <c r="F1007" s="4" t="s">
        <v>9</v>
      </c>
      <c r="G1007" s="3">
        <v>3877.3</v>
      </c>
    </row>
    <row r="1008" spans="1:7" ht="14.5">
      <c r="A1008" s="3">
        <v>26</v>
      </c>
      <c r="B1008" s="4" t="s">
        <v>10</v>
      </c>
      <c r="C1008" s="3">
        <v>28.8</v>
      </c>
      <c r="D1008" s="3">
        <v>0</v>
      </c>
      <c r="E1008" s="4" t="s">
        <v>8</v>
      </c>
      <c r="F1008" s="4" t="s">
        <v>13</v>
      </c>
      <c r="G1008" s="3">
        <v>3385.4</v>
      </c>
    </row>
    <row r="1009" spans="1:7" ht="14.5">
      <c r="A1009" s="3">
        <v>26</v>
      </c>
      <c r="B1009" s="4" t="s">
        <v>7</v>
      </c>
      <c r="C1009" s="3">
        <v>32.5</v>
      </c>
      <c r="D1009" s="3">
        <v>1</v>
      </c>
      <c r="E1009" s="4" t="s">
        <v>8</v>
      </c>
      <c r="F1009" s="4" t="s">
        <v>13</v>
      </c>
      <c r="G1009" s="3">
        <v>3490.55</v>
      </c>
    </row>
    <row r="1010" spans="1:7" ht="14.5">
      <c r="A1010" s="3">
        <v>26</v>
      </c>
      <c r="B1010" s="4" t="s">
        <v>10</v>
      </c>
      <c r="C1010" s="3">
        <v>29.9</v>
      </c>
      <c r="D1010" s="3">
        <v>2</v>
      </c>
      <c r="E1010" s="4" t="s">
        <v>8</v>
      </c>
      <c r="F1010" s="4" t="s">
        <v>14</v>
      </c>
      <c r="G1010" s="3">
        <v>3981.98</v>
      </c>
    </row>
    <row r="1011" spans="1:7" ht="14.5">
      <c r="A1011" s="3">
        <v>26</v>
      </c>
      <c r="B1011" s="4" t="s">
        <v>10</v>
      </c>
      <c r="C1011" s="3">
        <v>29.9</v>
      </c>
      <c r="D1011" s="3">
        <v>1</v>
      </c>
      <c r="E1011" s="4" t="s">
        <v>8</v>
      </c>
      <c r="F1011" s="4" t="s">
        <v>14</v>
      </c>
      <c r="G1011" s="3">
        <v>3392.98</v>
      </c>
    </row>
    <row r="1012" spans="1:7" ht="14.5">
      <c r="A1012" s="3">
        <v>26</v>
      </c>
      <c r="B1012" s="4" t="s">
        <v>10</v>
      </c>
      <c r="C1012" s="3">
        <v>29.6</v>
      </c>
      <c r="D1012" s="3">
        <v>4</v>
      </c>
      <c r="E1012" s="4" t="s">
        <v>8</v>
      </c>
      <c r="F1012" s="4" t="s">
        <v>13</v>
      </c>
      <c r="G1012" s="3">
        <v>24671.66</v>
      </c>
    </row>
    <row r="1013" spans="1:7" ht="14.5">
      <c r="A1013" s="3">
        <v>26</v>
      </c>
      <c r="B1013" s="4" t="s">
        <v>7</v>
      </c>
      <c r="C1013" s="3">
        <v>32.9</v>
      </c>
      <c r="D1013" s="3">
        <v>2</v>
      </c>
      <c r="E1013" s="4" t="s">
        <v>11</v>
      </c>
      <c r="F1013" s="4" t="s">
        <v>12</v>
      </c>
      <c r="G1013" s="3">
        <v>36085.22</v>
      </c>
    </row>
    <row r="1014" spans="1:7" ht="14.5">
      <c r="A1014" s="3">
        <v>26</v>
      </c>
      <c r="B1014" s="4" t="s">
        <v>10</v>
      </c>
      <c r="C1014" s="3">
        <v>22.6</v>
      </c>
      <c r="D1014" s="3">
        <v>0</v>
      </c>
      <c r="E1014" s="4" t="s">
        <v>8</v>
      </c>
      <c r="F1014" s="4" t="s">
        <v>9</v>
      </c>
      <c r="G1014" s="3">
        <v>3176.82</v>
      </c>
    </row>
    <row r="1015" spans="1:7" ht="14.5">
      <c r="A1015" s="3">
        <v>26</v>
      </c>
      <c r="B1015" s="4" t="s">
        <v>10</v>
      </c>
      <c r="C1015" s="3">
        <v>17.2</v>
      </c>
      <c r="D1015" s="3">
        <v>2</v>
      </c>
      <c r="E1015" s="4" t="s">
        <v>11</v>
      </c>
      <c r="F1015" s="4" t="s">
        <v>13</v>
      </c>
      <c r="G1015" s="3">
        <v>14455.64</v>
      </c>
    </row>
    <row r="1016" spans="1:7" ht="14.5">
      <c r="A1016" s="3">
        <v>26</v>
      </c>
      <c r="B1016" s="4" t="s">
        <v>7</v>
      </c>
      <c r="C1016" s="3">
        <v>29.5</v>
      </c>
      <c r="D1016" s="3">
        <v>0</v>
      </c>
      <c r="E1016" s="4" t="s">
        <v>8</v>
      </c>
      <c r="F1016" s="4" t="s">
        <v>13</v>
      </c>
      <c r="G1016" s="3">
        <v>2897.32</v>
      </c>
    </row>
    <row r="1017" spans="1:7" ht="14.5">
      <c r="A1017" s="3">
        <v>26</v>
      </c>
      <c r="B1017" s="4" t="s">
        <v>10</v>
      </c>
      <c r="C1017" s="3">
        <v>42.4</v>
      </c>
      <c r="D1017" s="3">
        <v>1</v>
      </c>
      <c r="E1017" s="4" t="s">
        <v>8</v>
      </c>
      <c r="F1017" s="4" t="s">
        <v>12</v>
      </c>
      <c r="G1017" s="3">
        <v>3410.32</v>
      </c>
    </row>
    <row r="1018" spans="1:7" ht="14.5">
      <c r="A1018" s="3">
        <v>26</v>
      </c>
      <c r="B1018" s="4" t="s">
        <v>10</v>
      </c>
      <c r="C1018" s="3">
        <v>40.200000000000003</v>
      </c>
      <c r="D1018" s="3">
        <v>0</v>
      </c>
      <c r="E1018" s="4" t="s">
        <v>8</v>
      </c>
      <c r="F1018" s="4" t="s">
        <v>9</v>
      </c>
      <c r="G1018" s="3">
        <v>3201.25</v>
      </c>
    </row>
    <row r="1019" spans="1:7" ht="14.5">
      <c r="A1019" s="3">
        <v>26</v>
      </c>
      <c r="B1019" s="4" t="s">
        <v>7</v>
      </c>
      <c r="C1019" s="3">
        <v>23.7</v>
      </c>
      <c r="D1019" s="3">
        <v>2</v>
      </c>
      <c r="E1019" s="4" t="s">
        <v>8</v>
      </c>
      <c r="F1019" s="4" t="s">
        <v>12</v>
      </c>
      <c r="G1019" s="3">
        <v>3484.33</v>
      </c>
    </row>
    <row r="1020" spans="1:7" ht="14.5">
      <c r="A1020" s="3">
        <v>26</v>
      </c>
      <c r="B1020" s="4" t="s">
        <v>7</v>
      </c>
      <c r="C1020" s="3">
        <v>17.7</v>
      </c>
      <c r="D1020" s="3">
        <v>0</v>
      </c>
      <c r="E1020" s="4" t="s">
        <v>8</v>
      </c>
      <c r="F1020" s="4" t="s">
        <v>9</v>
      </c>
      <c r="G1020" s="3">
        <v>2680.95</v>
      </c>
    </row>
    <row r="1021" spans="1:7" ht="14.5">
      <c r="A1021" s="3">
        <v>26</v>
      </c>
      <c r="B1021" s="4" t="s">
        <v>10</v>
      </c>
      <c r="C1021" s="3">
        <v>29.5</v>
      </c>
      <c r="D1021" s="3">
        <v>1</v>
      </c>
      <c r="E1021" s="4" t="s">
        <v>8</v>
      </c>
      <c r="F1021" s="4" t="s">
        <v>14</v>
      </c>
      <c r="G1021" s="3">
        <v>3392.37</v>
      </c>
    </row>
    <row r="1022" spans="1:7" ht="14.5">
      <c r="A1022" s="3">
        <v>26</v>
      </c>
      <c r="B1022" s="4" t="s">
        <v>7</v>
      </c>
      <c r="C1022" s="3">
        <v>27.3</v>
      </c>
      <c r="D1022" s="3">
        <v>3</v>
      </c>
      <c r="E1022" s="4" t="s">
        <v>8</v>
      </c>
      <c r="F1022" s="4" t="s">
        <v>13</v>
      </c>
      <c r="G1022" s="3">
        <v>4661.29</v>
      </c>
    </row>
    <row r="1023" spans="1:7" ht="14.5">
      <c r="A1023" s="3">
        <v>26</v>
      </c>
      <c r="B1023" s="4" t="s">
        <v>10</v>
      </c>
      <c r="C1023" s="3">
        <v>29.4</v>
      </c>
      <c r="D1023" s="3">
        <v>2</v>
      </c>
      <c r="E1023" s="4" t="s">
        <v>8</v>
      </c>
      <c r="F1023" s="4" t="s">
        <v>13</v>
      </c>
      <c r="G1023" s="3">
        <v>4564.1899999999996</v>
      </c>
    </row>
    <row r="1024" spans="1:7" ht="14.5">
      <c r="A1024" s="3">
        <v>26</v>
      </c>
      <c r="B1024" s="4" t="s">
        <v>7</v>
      </c>
      <c r="C1024" s="3">
        <v>46.5</v>
      </c>
      <c r="D1024" s="3">
        <v>1</v>
      </c>
      <c r="E1024" s="4" t="s">
        <v>8</v>
      </c>
      <c r="F1024" s="4" t="s">
        <v>14</v>
      </c>
      <c r="G1024" s="3">
        <v>2927.06</v>
      </c>
    </row>
    <row r="1025" spans="1:7" ht="14.5">
      <c r="A1025" s="3">
        <v>26</v>
      </c>
      <c r="B1025" s="4" t="s">
        <v>7</v>
      </c>
      <c r="C1025" s="3">
        <v>35.4</v>
      </c>
      <c r="D1025" s="3">
        <v>0</v>
      </c>
      <c r="E1025" s="4" t="s">
        <v>8</v>
      </c>
      <c r="F1025" s="4" t="s">
        <v>14</v>
      </c>
      <c r="G1025" s="3">
        <v>2322.62</v>
      </c>
    </row>
    <row r="1026" spans="1:7" ht="14.5">
      <c r="A1026" s="3">
        <v>26</v>
      </c>
      <c r="B1026" s="4" t="s">
        <v>7</v>
      </c>
      <c r="C1026" s="3">
        <v>29.2</v>
      </c>
      <c r="D1026" s="3">
        <v>1</v>
      </c>
      <c r="E1026" s="4" t="s">
        <v>8</v>
      </c>
      <c r="F1026" s="4" t="s">
        <v>14</v>
      </c>
      <c r="G1026" s="3">
        <v>2902.91</v>
      </c>
    </row>
    <row r="1027" spans="1:7" ht="14.5">
      <c r="A1027" s="3">
        <v>26</v>
      </c>
      <c r="B1027" s="4" t="s">
        <v>10</v>
      </c>
      <c r="C1027" s="3">
        <v>19.8</v>
      </c>
      <c r="D1027" s="3">
        <v>1</v>
      </c>
      <c r="E1027" s="4" t="s">
        <v>8</v>
      </c>
      <c r="F1027" s="4" t="s">
        <v>12</v>
      </c>
      <c r="G1027" s="3">
        <v>3378.91</v>
      </c>
    </row>
    <row r="1028" spans="1:7" ht="14.5">
      <c r="A1028" s="3">
        <v>26</v>
      </c>
      <c r="B1028" s="4" t="s">
        <v>10</v>
      </c>
      <c r="C1028" s="3">
        <v>34.200000000000003</v>
      </c>
      <c r="D1028" s="3">
        <v>2</v>
      </c>
      <c r="E1028" s="4" t="s">
        <v>8</v>
      </c>
      <c r="F1028" s="4" t="s">
        <v>12</v>
      </c>
      <c r="G1028" s="3">
        <v>3987.93</v>
      </c>
    </row>
    <row r="1029" spans="1:7" ht="14.5">
      <c r="A1029" s="3">
        <v>26</v>
      </c>
      <c r="B1029" s="4" t="s">
        <v>7</v>
      </c>
      <c r="C1029" s="3">
        <v>30</v>
      </c>
      <c r="D1029" s="3">
        <v>1</v>
      </c>
      <c r="E1029" s="4" t="s">
        <v>8</v>
      </c>
      <c r="F1029" s="4" t="s">
        <v>12</v>
      </c>
      <c r="G1029" s="3">
        <v>2904.09</v>
      </c>
    </row>
    <row r="1030" spans="1:7" ht="14.5">
      <c r="A1030" s="3">
        <v>26</v>
      </c>
      <c r="B1030" s="4" t="s">
        <v>10</v>
      </c>
      <c r="C1030" s="3">
        <v>22.2</v>
      </c>
      <c r="D1030" s="3">
        <v>0</v>
      </c>
      <c r="E1030" s="4" t="s">
        <v>8</v>
      </c>
      <c r="F1030" s="4" t="s">
        <v>9</v>
      </c>
      <c r="G1030" s="3">
        <v>3176.29</v>
      </c>
    </row>
    <row r="1031" spans="1:7" ht="14.5">
      <c r="A1031" s="3">
        <v>26</v>
      </c>
      <c r="B1031" s="4" t="s">
        <v>7</v>
      </c>
      <c r="C1031" s="3">
        <v>31.1</v>
      </c>
      <c r="D1031" s="3">
        <v>0</v>
      </c>
      <c r="E1031" s="4" t="s">
        <v>8</v>
      </c>
      <c r="F1031" s="4" t="s">
        <v>9</v>
      </c>
      <c r="G1031" s="3">
        <v>2699.57</v>
      </c>
    </row>
    <row r="1032" spans="1:7" ht="14.5">
      <c r="A1032" s="3">
        <v>26</v>
      </c>
      <c r="B1032" s="4" t="s">
        <v>7</v>
      </c>
      <c r="C1032" s="3">
        <v>33.9</v>
      </c>
      <c r="D1032" s="3">
        <v>1</v>
      </c>
      <c r="E1032" s="4" t="s">
        <v>8</v>
      </c>
      <c r="F1032" s="4" t="s">
        <v>9</v>
      </c>
      <c r="G1032" s="3">
        <v>3292.53</v>
      </c>
    </row>
    <row r="1033" spans="1:7" ht="14.5">
      <c r="A1033" s="3">
        <v>26</v>
      </c>
      <c r="B1033" s="4" t="s">
        <v>7</v>
      </c>
      <c r="C1033" s="3">
        <v>27.1</v>
      </c>
      <c r="D1033" s="3">
        <v>0</v>
      </c>
      <c r="E1033" s="4" t="s">
        <v>11</v>
      </c>
      <c r="F1033" s="4" t="s">
        <v>14</v>
      </c>
      <c r="G1033" s="3">
        <v>17043.34</v>
      </c>
    </row>
    <row r="1034" spans="1:7" ht="14.5">
      <c r="A1034" s="3">
        <v>25</v>
      </c>
      <c r="B1034" s="4" t="s">
        <v>7</v>
      </c>
      <c r="C1034" s="3">
        <v>26.2</v>
      </c>
      <c r="D1034" s="3">
        <v>0</v>
      </c>
      <c r="E1034" s="4" t="s">
        <v>8</v>
      </c>
      <c r="F1034" s="4" t="s">
        <v>13</v>
      </c>
      <c r="G1034" s="3">
        <v>2721.32</v>
      </c>
    </row>
    <row r="1035" spans="1:7" ht="14.5">
      <c r="A1035" s="3">
        <v>25</v>
      </c>
      <c r="B1035" s="4" t="s">
        <v>7</v>
      </c>
      <c r="C1035" s="3">
        <v>33.700000000000003</v>
      </c>
      <c r="D1035" s="3">
        <v>4</v>
      </c>
      <c r="E1035" s="4" t="s">
        <v>8</v>
      </c>
      <c r="F1035" s="4" t="s">
        <v>14</v>
      </c>
      <c r="G1035" s="3">
        <v>4504.66</v>
      </c>
    </row>
    <row r="1036" spans="1:7" ht="14.5">
      <c r="A1036" s="3">
        <v>25</v>
      </c>
      <c r="B1036" s="4" t="s">
        <v>7</v>
      </c>
      <c r="C1036" s="3">
        <v>25.7</v>
      </c>
      <c r="D1036" s="3">
        <v>0</v>
      </c>
      <c r="E1036" s="4" t="s">
        <v>8</v>
      </c>
      <c r="F1036" s="4" t="s">
        <v>14</v>
      </c>
      <c r="G1036" s="3">
        <v>2137.65</v>
      </c>
    </row>
    <row r="1037" spans="1:7" ht="14.5">
      <c r="A1037" s="3">
        <v>25</v>
      </c>
      <c r="B1037" s="4" t="s">
        <v>7</v>
      </c>
      <c r="C1037" s="3">
        <v>27.6</v>
      </c>
      <c r="D1037" s="3">
        <v>0</v>
      </c>
      <c r="E1037" s="4" t="s">
        <v>8</v>
      </c>
      <c r="F1037" s="4" t="s">
        <v>9</v>
      </c>
      <c r="G1037" s="3">
        <v>2523.17</v>
      </c>
    </row>
    <row r="1038" spans="1:7" ht="14.5">
      <c r="A1038" s="3">
        <v>25</v>
      </c>
      <c r="B1038" s="4" t="s">
        <v>7</v>
      </c>
      <c r="C1038" s="3">
        <v>45.5</v>
      </c>
      <c r="D1038" s="3">
        <v>2</v>
      </c>
      <c r="E1038" s="4" t="s">
        <v>11</v>
      </c>
      <c r="F1038" s="4" t="s">
        <v>14</v>
      </c>
      <c r="G1038" s="3">
        <v>42112.24</v>
      </c>
    </row>
    <row r="1039" spans="1:7" ht="14.5">
      <c r="A1039" s="3">
        <v>25</v>
      </c>
      <c r="B1039" s="4" t="s">
        <v>7</v>
      </c>
      <c r="C1039" s="3">
        <v>26.8</v>
      </c>
      <c r="D1039" s="3">
        <v>3</v>
      </c>
      <c r="E1039" s="4" t="s">
        <v>8</v>
      </c>
      <c r="F1039" s="4" t="s">
        <v>12</v>
      </c>
      <c r="G1039" s="3">
        <v>3906.13</v>
      </c>
    </row>
    <row r="1040" spans="1:7" ht="14.5">
      <c r="A1040" s="3">
        <v>25</v>
      </c>
      <c r="B1040" s="4" t="s">
        <v>7</v>
      </c>
      <c r="C1040" s="3">
        <v>23.9</v>
      </c>
      <c r="D1040" s="3">
        <v>5</v>
      </c>
      <c r="E1040" s="4" t="s">
        <v>8</v>
      </c>
      <c r="F1040" s="4" t="s">
        <v>12</v>
      </c>
      <c r="G1040" s="3">
        <v>5080.1000000000004</v>
      </c>
    </row>
    <row r="1041" spans="1:7" ht="14.5">
      <c r="A1041" s="3">
        <v>25</v>
      </c>
      <c r="B1041" s="4" t="s">
        <v>7</v>
      </c>
      <c r="C1041" s="3">
        <v>30.6</v>
      </c>
      <c r="D1041" s="3">
        <v>0</v>
      </c>
      <c r="E1041" s="4" t="s">
        <v>8</v>
      </c>
      <c r="F1041" s="4" t="s">
        <v>13</v>
      </c>
      <c r="G1041" s="3">
        <v>2727.4</v>
      </c>
    </row>
    <row r="1042" spans="1:7" ht="14.5">
      <c r="A1042" s="3">
        <v>25</v>
      </c>
      <c r="B1042" s="4" t="s">
        <v>7</v>
      </c>
      <c r="C1042" s="3">
        <v>35.6</v>
      </c>
      <c r="D1042" s="3">
        <v>0</v>
      </c>
      <c r="E1042" s="4" t="s">
        <v>8</v>
      </c>
      <c r="F1042" s="4" t="s">
        <v>9</v>
      </c>
      <c r="G1042" s="3">
        <v>2534.39</v>
      </c>
    </row>
    <row r="1043" spans="1:7" ht="14.5">
      <c r="A1043" s="3">
        <v>25</v>
      </c>
      <c r="B1043" s="4" t="s">
        <v>10</v>
      </c>
      <c r="C1043" s="3">
        <v>28.6</v>
      </c>
      <c r="D1043" s="3">
        <v>0</v>
      </c>
      <c r="E1043" s="4" t="s">
        <v>8</v>
      </c>
      <c r="F1043" s="4" t="s">
        <v>13</v>
      </c>
      <c r="G1043" s="3">
        <v>3213.62</v>
      </c>
    </row>
    <row r="1044" spans="1:7" ht="14.5">
      <c r="A1044" s="3">
        <v>25</v>
      </c>
      <c r="B1044" s="4" t="s">
        <v>10</v>
      </c>
      <c r="C1044" s="3">
        <v>41.3</v>
      </c>
      <c r="D1044" s="3">
        <v>0</v>
      </c>
      <c r="E1044" s="4" t="s">
        <v>8</v>
      </c>
      <c r="F1044" s="4" t="s">
        <v>13</v>
      </c>
      <c r="G1044" s="3">
        <v>17878.900000000001</v>
      </c>
    </row>
    <row r="1045" spans="1:7" ht="14.5">
      <c r="A1045" s="3">
        <v>25</v>
      </c>
      <c r="B1045" s="4" t="s">
        <v>10</v>
      </c>
      <c r="C1045" s="3">
        <v>23.5</v>
      </c>
      <c r="D1045" s="3">
        <v>0</v>
      </c>
      <c r="E1045" s="4" t="s">
        <v>8</v>
      </c>
      <c r="F1045" s="4" t="s">
        <v>13</v>
      </c>
      <c r="G1045" s="3">
        <v>3206.49</v>
      </c>
    </row>
    <row r="1046" spans="1:7" ht="14.5">
      <c r="A1046" s="3">
        <v>25</v>
      </c>
      <c r="B1046" s="4" t="s">
        <v>7</v>
      </c>
      <c r="C1046" s="3">
        <v>25.8</v>
      </c>
      <c r="D1046" s="3">
        <v>1</v>
      </c>
      <c r="E1046" s="4" t="s">
        <v>8</v>
      </c>
      <c r="F1046" s="4" t="s">
        <v>13</v>
      </c>
      <c r="G1046" s="3">
        <v>3309.79</v>
      </c>
    </row>
    <row r="1047" spans="1:7" ht="14.5">
      <c r="A1047" s="3">
        <v>25</v>
      </c>
      <c r="B1047" s="4" t="s">
        <v>7</v>
      </c>
      <c r="C1047" s="3">
        <v>24.1</v>
      </c>
      <c r="D1047" s="3">
        <v>0</v>
      </c>
      <c r="E1047" s="4" t="s">
        <v>11</v>
      </c>
      <c r="F1047" s="4" t="s">
        <v>9</v>
      </c>
      <c r="G1047" s="3">
        <v>15817.99</v>
      </c>
    </row>
    <row r="1048" spans="1:7" ht="14.5">
      <c r="A1048" s="3">
        <v>25</v>
      </c>
      <c r="B1048" s="4" t="s">
        <v>10</v>
      </c>
      <c r="C1048" s="3">
        <v>32.200000000000003</v>
      </c>
      <c r="D1048" s="3">
        <v>1</v>
      </c>
      <c r="E1048" s="4" t="s">
        <v>8</v>
      </c>
      <c r="F1048" s="4" t="s">
        <v>14</v>
      </c>
      <c r="G1048" s="3">
        <v>18218.16</v>
      </c>
    </row>
    <row r="1049" spans="1:7" ht="14.5">
      <c r="A1049" s="3">
        <v>25</v>
      </c>
      <c r="B1049" s="4" t="s">
        <v>10</v>
      </c>
      <c r="C1049" s="3">
        <v>24.3</v>
      </c>
      <c r="D1049" s="3">
        <v>3</v>
      </c>
      <c r="E1049" s="4" t="s">
        <v>8</v>
      </c>
      <c r="F1049" s="4" t="s">
        <v>12</v>
      </c>
      <c r="G1049" s="3">
        <v>4391.6499999999996</v>
      </c>
    </row>
    <row r="1050" spans="1:7" ht="14.5">
      <c r="A1050" s="3">
        <v>25</v>
      </c>
      <c r="B1050" s="4" t="s">
        <v>7</v>
      </c>
      <c r="C1050" s="3">
        <v>26.7</v>
      </c>
      <c r="D1050" s="3">
        <v>4</v>
      </c>
      <c r="E1050" s="4" t="s">
        <v>8</v>
      </c>
      <c r="F1050" s="4" t="s">
        <v>9</v>
      </c>
      <c r="G1050" s="3">
        <v>4877.9799999999996</v>
      </c>
    </row>
    <row r="1051" spans="1:7" ht="14.5">
      <c r="A1051" s="3">
        <v>25</v>
      </c>
      <c r="B1051" s="4" t="s">
        <v>7</v>
      </c>
      <c r="C1051" s="3">
        <v>29.7</v>
      </c>
      <c r="D1051" s="3">
        <v>3</v>
      </c>
      <c r="E1051" s="4" t="s">
        <v>11</v>
      </c>
      <c r="F1051" s="4" t="s">
        <v>12</v>
      </c>
      <c r="G1051" s="3">
        <v>19933.46</v>
      </c>
    </row>
    <row r="1052" spans="1:7" ht="14.5">
      <c r="A1052" s="3">
        <v>25</v>
      </c>
      <c r="B1052" s="4" t="s">
        <v>7</v>
      </c>
      <c r="C1052" s="3">
        <v>25</v>
      </c>
      <c r="D1052" s="3">
        <v>2</v>
      </c>
      <c r="E1052" s="4" t="s">
        <v>8</v>
      </c>
      <c r="F1052" s="4" t="s">
        <v>13</v>
      </c>
      <c r="G1052" s="3">
        <v>23241.47</v>
      </c>
    </row>
    <row r="1053" spans="1:7" ht="14.5">
      <c r="A1053" s="3">
        <v>25</v>
      </c>
      <c r="B1053" s="4" t="s">
        <v>10</v>
      </c>
      <c r="C1053" s="3">
        <v>22.5</v>
      </c>
      <c r="D1053" s="3">
        <v>1</v>
      </c>
      <c r="E1053" s="4" t="s">
        <v>8</v>
      </c>
      <c r="F1053" s="4" t="s">
        <v>9</v>
      </c>
      <c r="G1053" s="3">
        <v>3594.17</v>
      </c>
    </row>
    <row r="1054" spans="1:7" ht="14.5">
      <c r="A1054" s="3">
        <v>25</v>
      </c>
      <c r="B1054" s="4" t="s">
        <v>10</v>
      </c>
      <c r="C1054" s="3">
        <v>34</v>
      </c>
      <c r="D1054" s="3">
        <v>1</v>
      </c>
      <c r="E1054" s="4" t="s">
        <v>8</v>
      </c>
      <c r="F1054" s="4" t="s">
        <v>14</v>
      </c>
      <c r="G1054" s="3">
        <v>3227.12</v>
      </c>
    </row>
    <row r="1055" spans="1:7" ht="14.5">
      <c r="A1055" s="3">
        <v>25</v>
      </c>
      <c r="B1055" s="4" t="s">
        <v>7</v>
      </c>
      <c r="C1055" s="3">
        <v>33.299999999999997</v>
      </c>
      <c r="D1055" s="3">
        <v>2</v>
      </c>
      <c r="E1055" s="4" t="s">
        <v>11</v>
      </c>
      <c r="F1055" s="4" t="s">
        <v>14</v>
      </c>
      <c r="G1055" s="3">
        <v>36124.57</v>
      </c>
    </row>
    <row r="1056" spans="1:7" ht="14.5">
      <c r="A1056" s="3">
        <v>25</v>
      </c>
      <c r="B1056" s="4" t="s">
        <v>10</v>
      </c>
      <c r="C1056" s="3">
        <v>30.3</v>
      </c>
      <c r="D1056" s="3">
        <v>0</v>
      </c>
      <c r="E1056" s="4" t="s">
        <v>8</v>
      </c>
      <c r="F1056" s="4" t="s">
        <v>12</v>
      </c>
      <c r="G1056" s="3">
        <v>2632.99</v>
      </c>
    </row>
    <row r="1057" spans="1:7" ht="14.5">
      <c r="A1057" s="3">
        <v>25</v>
      </c>
      <c r="B1057" s="4" t="s">
        <v>10</v>
      </c>
      <c r="C1057" s="3">
        <v>42.1</v>
      </c>
      <c r="D1057" s="3">
        <v>1</v>
      </c>
      <c r="E1057" s="4" t="s">
        <v>8</v>
      </c>
      <c r="F1057" s="4" t="s">
        <v>14</v>
      </c>
      <c r="G1057" s="3">
        <v>3238.44</v>
      </c>
    </row>
    <row r="1058" spans="1:7" ht="14.5">
      <c r="A1058" s="3">
        <v>25</v>
      </c>
      <c r="B1058" s="4" t="s">
        <v>10</v>
      </c>
      <c r="C1058" s="3">
        <v>34.5</v>
      </c>
      <c r="D1058" s="3">
        <v>0</v>
      </c>
      <c r="E1058" s="4" t="s">
        <v>8</v>
      </c>
      <c r="F1058" s="4" t="s">
        <v>9</v>
      </c>
      <c r="G1058" s="3">
        <v>3021.81</v>
      </c>
    </row>
    <row r="1059" spans="1:7" ht="14.5">
      <c r="A1059" s="3">
        <v>25</v>
      </c>
      <c r="B1059" s="4" t="s">
        <v>10</v>
      </c>
      <c r="C1059" s="3">
        <v>26.8</v>
      </c>
      <c r="D1059" s="3">
        <v>2</v>
      </c>
      <c r="E1059" s="4" t="s">
        <v>8</v>
      </c>
      <c r="F1059" s="4" t="s">
        <v>9</v>
      </c>
      <c r="G1059" s="3">
        <v>4189.1099999999997</v>
      </c>
    </row>
    <row r="1060" spans="1:7" ht="14.5">
      <c r="A1060" s="3">
        <v>25</v>
      </c>
      <c r="B1060" s="4" t="s">
        <v>10</v>
      </c>
      <c r="C1060" s="3">
        <v>20.8</v>
      </c>
      <c r="D1060" s="3">
        <v>1</v>
      </c>
      <c r="E1060" s="4" t="s">
        <v>8</v>
      </c>
      <c r="F1060" s="4" t="s">
        <v>12</v>
      </c>
      <c r="G1060" s="3">
        <v>3208.79</v>
      </c>
    </row>
    <row r="1061" spans="1:7" ht="14.5">
      <c r="A1061" s="3">
        <v>25</v>
      </c>
      <c r="B1061" s="4" t="s">
        <v>10</v>
      </c>
      <c r="C1061" s="3">
        <v>30.2</v>
      </c>
      <c r="D1061" s="3">
        <v>0</v>
      </c>
      <c r="E1061" s="4" t="s">
        <v>11</v>
      </c>
      <c r="F1061" s="4" t="s">
        <v>12</v>
      </c>
      <c r="G1061" s="3">
        <v>33900.65</v>
      </c>
    </row>
    <row r="1062" spans="1:7" ht="14.5">
      <c r="A1062" s="3">
        <v>24</v>
      </c>
      <c r="B1062" s="4" t="s">
        <v>10</v>
      </c>
      <c r="C1062" s="3">
        <v>26.6</v>
      </c>
      <c r="D1062" s="3">
        <v>0</v>
      </c>
      <c r="E1062" s="4" t="s">
        <v>8</v>
      </c>
      <c r="F1062" s="4" t="s">
        <v>13</v>
      </c>
      <c r="G1062" s="3">
        <v>3046.06</v>
      </c>
    </row>
    <row r="1063" spans="1:7" ht="14.5">
      <c r="A1063" s="3">
        <v>24</v>
      </c>
      <c r="B1063" s="4" t="s">
        <v>10</v>
      </c>
      <c r="C1063" s="3">
        <v>33.299999999999997</v>
      </c>
      <c r="D1063" s="3">
        <v>0</v>
      </c>
      <c r="E1063" s="4" t="s">
        <v>8</v>
      </c>
      <c r="F1063" s="4" t="s">
        <v>9</v>
      </c>
      <c r="G1063" s="3">
        <v>2855.44</v>
      </c>
    </row>
    <row r="1064" spans="1:7" ht="14.5">
      <c r="A1064" s="3">
        <v>24</v>
      </c>
      <c r="B1064" s="4" t="s">
        <v>7</v>
      </c>
      <c r="C1064" s="3">
        <v>28.5</v>
      </c>
      <c r="D1064" s="3">
        <v>2</v>
      </c>
      <c r="E1064" s="4" t="s">
        <v>8</v>
      </c>
      <c r="F1064" s="4" t="s">
        <v>9</v>
      </c>
      <c r="G1064" s="3">
        <v>3537.7</v>
      </c>
    </row>
    <row r="1065" spans="1:7" ht="14.5">
      <c r="A1065" s="3">
        <v>24</v>
      </c>
      <c r="B1065" s="4" t="s">
        <v>10</v>
      </c>
      <c r="C1065" s="3">
        <v>23.2</v>
      </c>
      <c r="D1065" s="3">
        <v>0</v>
      </c>
      <c r="E1065" s="4" t="s">
        <v>8</v>
      </c>
      <c r="F1065" s="4" t="s">
        <v>14</v>
      </c>
      <c r="G1065" s="3">
        <v>25081.77</v>
      </c>
    </row>
    <row r="1066" spans="1:7" ht="14.5">
      <c r="A1066" s="3">
        <v>24</v>
      </c>
      <c r="B1066" s="4" t="s">
        <v>7</v>
      </c>
      <c r="C1066" s="3">
        <v>35.9</v>
      </c>
      <c r="D1066" s="3">
        <v>0</v>
      </c>
      <c r="E1066" s="4" t="s">
        <v>8</v>
      </c>
      <c r="F1066" s="4" t="s">
        <v>14</v>
      </c>
      <c r="G1066" s="3">
        <v>1986.93</v>
      </c>
    </row>
    <row r="1067" spans="1:7" ht="14.5">
      <c r="A1067" s="3">
        <v>24</v>
      </c>
      <c r="B1067" s="4" t="s">
        <v>10</v>
      </c>
      <c r="C1067" s="3">
        <v>27.6</v>
      </c>
      <c r="D1067" s="3">
        <v>0</v>
      </c>
      <c r="E1067" s="4" t="s">
        <v>8</v>
      </c>
      <c r="F1067" s="4" t="s">
        <v>12</v>
      </c>
      <c r="G1067" s="3">
        <v>18955.22</v>
      </c>
    </row>
    <row r="1068" spans="1:7" ht="14.5">
      <c r="A1068" s="3">
        <v>24</v>
      </c>
      <c r="B1068" s="4" t="s">
        <v>7</v>
      </c>
      <c r="C1068" s="3">
        <v>40.200000000000003</v>
      </c>
      <c r="D1068" s="3">
        <v>0</v>
      </c>
      <c r="E1068" s="4" t="s">
        <v>11</v>
      </c>
      <c r="F1068" s="4" t="s">
        <v>14</v>
      </c>
      <c r="G1068" s="3">
        <v>38126.25</v>
      </c>
    </row>
    <row r="1069" spans="1:7" ht="14.5">
      <c r="A1069" s="3">
        <v>24</v>
      </c>
      <c r="B1069" s="4" t="s">
        <v>10</v>
      </c>
      <c r="C1069" s="3">
        <v>30.2</v>
      </c>
      <c r="D1069" s="3">
        <v>3</v>
      </c>
      <c r="E1069" s="4" t="s">
        <v>8</v>
      </c>
      <c r="F1069" s="4" t="s">
        <v>9</v>
      </c>
      <c r="G1069" s="3">
        <v>4618.08</v>
      </c>
    </row>
    <row r="1070" spans="1:7" ht="14.5">
      <c r="A1070" s="3">
        <v>24</v>
      </c>
      <c r="B1070" s="4" t="s">
        <v>7</v>
      </c>
      <c r="C1070" s="3">
        <v>23.4</v>
      </c>
      <c r="D1070" s="3">
        <v>0</v>
      </c>
      <c r="E1070" s="4" t="s">
        <v>8</v>
      </c>
      <c r="F1070" s="4" t="s">
        <v>12</v>
      </c>
      <c r="G1070" s="3">
        <v>1969.61</v>
      </c>
    </row>
    <row r="1071" spans="1:7" ht="14.5">
      <c r="A1071" s="3">
        <v>24</v>
      </c>
      <c r="B1071" s="4" t="s">
        <v>7</v>
      </c>
      <c r="C1071" s="3">
        <v>28.5</v>
      </c>
      <c r="D1071" s="3">
        <v>0</v>
      </c>
      <c r="E1071" s="4" t="s">
        <v>11</v>
      </c>
      <c r="F1071" s="4" t="s">
        <v>13</v>
      </c>
      <c r="G1071" s="3">
        <v>35147.53</v>
      </c>
    </row>
    <row r="1072" spans="1:7" ht="14.5">
      <c r="A1072" s="3">
        <v>24</v>
      </c>
      <c r="B1072" s="4" t="s">
        <v>10</v>
      </c>
      <c r="C1072" s="3">
        <v>25.3</v>
      </c>
      <c r="D1072" s="3">
        <v>0</v>
      </c>
      <c r="E1072" s="4" t="s">
        <v>8</v>
      </c>
      <c r="F1072" s="4" t="s">
        <v>13</v>
      </c>
      <c r="G1072" s="3">
        <v>3044.21</v>
      </c>
    </row>
    <row r="1073" spans="1:7" ht="14.5">
      <c r="A1073" s="3">
        <v>24</v>
      </c>
      <c r="B1073" s="4" t="s">
        <v>7</v>
      </c>
      <c r="C1073" s="3">
        <v>29.3</v>
      </c>
      <c r="D1073" s="3">
        <v>0</v>
      </c>
      <c r="E1073" s="4" t="s">
        <v>8</v>
      </c>
      <c r="F1073" s="4" t="s">
        <v>12</v>
      </c>
      <c r="G1073" s="3">
        <v>1977.82</v>
      </c>
    </row>
    <row r="1074" spans="1:7" ht="14.5">
      <c r="A1074" s="3">
        <v>24</v>
      </c>
      <c r="B1074" s="4" t="s">
        <v>7</v>
      </c>
      <c r="C1074" s="3">
        <v>23.7</v>
      </c>
      <c r="D1074" s="3">
        <v>0</v>
      </c>
      <c r="E1074" s="4" t="s">
        <v>8</v>
      </c>
      <c r="F1074" s="4" t="s">
        <v>9</v>
      </c>
      <c r="G1074" s="3">
        <v>2352.9699999999998</v>
      </c>
    </row>
    <row r="1075" spans="1:7" ht="14.5">
      <c r="A1075" s="3">
        <v>24</v>
      </c>
      <c r="B1075" s="4" t="s">
        <v>10</v>
      </c>
      <c r="C1075" s="3">
        <v>22.6</v>
      </c>
      <c r="D1075" s="3">
        <v>0</v>
      </c>
      <c r="E1075" s="4" t="s">
        <v>8</v>
      </c>
      <c r="F1075" s="4" t="s">
        <v>12</v>
      </c>
      <c r="G1075" s="3">
        <v>2457.5</v>
      </c>
    </row>
    <row r="1076" spans="1:7" ht="14.5">
      <c r="A1076" s="3">
        <v>24</v>
      </c>
      <c r="B1076" s="4" t="s">
        <v>10</v>
      </c>
      <c r="C1076" s="3">
        <v>30.1</v>
      </c>
      <c r="D1076" s="3">
        <v>3</v>
      </c>
      <c r="E1076" s="4" t="s">
        <v>8</v>
      </c>
      <c r="F1076" s="4" t="s">
        <v>12</v>
      </c>
      <c r="G1076" s="3">
        <v>4234.93</v>
      </c>
    </row>
    <row r="1077" spans="1:7" ht="14.5">
      <c r="A1077" s="3">
        <v>24</v>
      </c>
      <c r="B1077" s="4" t="s">
        <v>7</v>
      </c>
      <c r="C1077" s="3">
        <v>33.6</v>
      </c>
      <c r="D1077" s="3">
        <v>4</v>
      </c>
      <c r="E1077" s="4" t="s">
        <v>8</v>
      </c>
      <c r="F1077" s="4" t="s">
        <v>13</v>
      </c>
      <c r="G1077" s="3">
        <v>17128.43</v>
      </c>
    </row>
    <row r="1078" spans="1:7" ht="14.5">
      <c r="A1078" s="3">
        <v>24</v>
      </c>
      <c r="B1078" s="4" t="s">
        <v>10</v>
      </c>
      <c r="C1078" s="3">
        <v>24.2</v>
      </c>
      <c r="D1078" s="3">
        <v>0</v>
      </c>
      <c r="E1078" s="4" t="s">
        <v>8</v>
      </c>
      <c r="F1078" s="4" t="s">
        <v>9</v>
      </c>
      <c r="G1078" s="3">
        <v>2842.76</v>
      </c>
    </row>
    <row r="1079" spans="1:7" ht="14.5">
      <c r="A1079" s="3">
        <v>24</v>
      </c>
      <c r="B1079" s="4" t="s">
        <v>10</v>
      </c>
      <c r="C1079" s="3">
        <v>34</v>
      </c>
      <c r="D1079" s="3">
        <v>0</v>
      </c>
      <c r="E1079" s="4" t="s">
        <v>8</v>
      </c>
      <c r="F1079" s="4" t="s">
        <v>14</v>
      </c>
      <c r="G1079" s="3">
        <v>2473.33</v>
      </c>
    </row>
    <row r="1080" spans="1:7" ht="14.5">
      <c r="A1080" s="3">
        <v>24</v>
      </c>
      <c r="B1080" s="4" t="s">
        <v>7</v>
      </c>
      <c r="C1080" s="3">
        <v>26.8</v>
      </c>
      <c r="D1080" s="3">
        <v>1</v>
      </c>
      <c r="E1080" s="4" t="s">
        <v>8</v>
      </c>
      <c r="F1080" s="4" t="s">
        <v>9</v>
      </c>
      <c r="G1080" s="3">
        <v>12609.89</v>
      </c>
    </row>
    <row r="1081" spans="1:7" ht="14.5">
      <c r="A1081" s="3">
        <v>24</v>
      </c>
      <c r="B1081" s="4" t="s">
        <v>10</v>
      </c>
      <c r="C1081" s="3">
        <v>20.5</v>
      </c>
      <c r="D1081" s="3">
        <v>0</v>
      </c>
      <c r="E1081" s="4" t="s">
        <v>11</v>
      </c>
      <c r="F1081" s="4" t="s">
        <v>13</v>
      </c>
      <c r="G1081" s="3">
        <v>14571.89</v>
      </c>
    </row>
    <row r="1082" spans="1:7" ht="14.5">
      <c r="A1082" s="3">
        <v>24</v>
      </c>
      <c r="B1082" s="4" t="s">
        <v>7</v>
      </c>
      <c r="C1082" s="3">
        <v>32.700000000000003</v>
      </c>
      <c r="D1082" s="3">
        <v>0</v>
      </c>
      <c r="E1082" s="4" t="s">
        <v>11</v>
      </c>
      <c r="F1082" s="4" t="s">
        <v>12</v>
      </c>
      <c r="G1082" s="3">
        <v>34472.839999999997</v>
      </c>
    </row>
    <row r="1083" spans="1:7" ht="14.5">
      <c r="A1083" s="3">
        <v>24</v>
      </c>
      <c r="B1083" s="4" t="s">
        <v>7</v>
      </c>
      <c r="C1083" s="3">
        <v>25.8</v>
      </c>
      <c r="D1083" s="3">
        <v>0</v>
      </c>
      <c r="E1083" s="4" t="s">
        <v>8</v>
      </c>
      <c r="F1083" s="4" t="s">
        <v>12</v>
      </c>
      <c r="G1083" s="3">
        <v>1972.95</v>
      </c>
    </row>
    <row r="1084" spans="1:7" ht="14.5">
      <c r="A1084" s="3">
        <v>24</v>
      </c>
      <c r="B1084" s="4" t="s">
        <v>10</v>
      </c>
      <c r="C1084" s="3">
        <v>39.5</v>
      </c>
      <c r="D1084" s="3">
        <v>0</v>
      </c>
      <c r="E1084" s="4" t="s">
        <v>8</v>
      </c>
      <c r="F1084" s="4" t="s">
        <v>14</v>
      </c>
      <c r="G1084" s="3">
        <v>2480.98</v>
      </c>
    </row>
    <row r="1085" spans="1:7" ht="14.5">
      <c r="A1085" s="3">
        <v>24</v>
      </c>
      <c r="B1085" s="4" t="s">
        <v>7</v>
      </c>
      <c r="C1085" s="3">
        <v>32</v>
      </c>
      <c r="D1085" s="3">
        <v>0</v>
      </c>
      <c r="E1085" s="4" t="s">
        <v>8</v>
      </c>
      <c r="F1085" s="4" t="s">
        <v>14</v>
      </c>
      <c r="G1085" s="3">
        <v>1981.58</v>
      </c>
    </row>
    <row r="1086" spans="1:7" ht="14.5">
      <c r="A1086" s="3">
        <v>24</v>
      </c>
      <c r="B1086" s="4" t="s">
        <v>10</v>
      </c>
      <c r="C1086" s="3">
        <v>29.9</v>
      </c>
      <c r="D1086" s="3">
        <v>0</v>
      </c>
      <c r="E1086" s="4" t="s">
        <v>8</v>
      </c>
      <c r="F1086" s="4" t="s">
        <v>9</v>
      </c>
      <c r="G1086" s="3">
        <v>2850.68</v>
      </c>
    </row>
    <row r="1087" spans="1:7" ht="14.5">
      <c r="A1087" s="3">
        <v>24</v>
      </c>
      <c r="B1087" s="4" t="s">
        <v>7</v>
      </c>
      <c r="C1087" s="3">
        <v>29.8</v>
      </c>
      <c r="D1087" s="3">
        <v>0</v>
      </c>
      <c r="E1087" s="4" t="s">
        <v>11</v>
      </c>
      <c r="F1087" s="4" t="s">
        <v>13</v>
      </c>
      <c r="G1087" s="3">
        <v>18648.419999999998</v>
      </c>
    </row>
    <row r="1088" spans="1:7" ht="14.5">
      <c r="A1088" s="3">
        <v>24</v>
      </c>
      <c r="B1088" s="4" t="s">
        <v>7</v>
      </c>
      <c r="C1088" s="3">
        <v>31.1</v>
      </c>
      <c r="D1088" s="3">
        <v>0</v>
      </c>
      <c r="E1088" s="4" t="s">
        <v>11</v>
      </c>
      <c r="F1088" s="4" t="s">
        <v>13</v>
      </c>
      <c r="G1088" s="3">
        <v>34254.050000000003</v>
      </c>
    </row>
    <row r="1089" spans="1:7" ht="14.5">
      <c r="A1089" s="3">
        <v>24</v>
      </c>
      <c r="B1089" s="4" t="s">
        <v>10</v>
      </c>
      <c r="C1089" s="3">
        <v>27.7</v>
      </c>
      <c r="D1089" s="3">
        <v>0</v>
      </c>
      <c r="E1089" s="4" t="s">
        <v>8</v>
      </c>
      <c r="F1089" s="4" t="s">
        <v>14</v>
      </c>
      <c r="G1089" s="3">
        <v>2464.62</v>
      </c>
    </row>
    <row r="1090" spans="1:7" ht="14.5">
      <c r="A1090" s="3">
        <v>23</v>
      </c>
      <c r="B1090" s="4" t="s">
        <v>7</v>
      </c>
      <c r="C1090" s="3">
        <v>34.4</v>
      </c>
      <c r="D1090" s="3">
        <v>0</v>
      </c>
      <c r="E1090" s="4" t="s">
        <v>8</v>
      </c>
      <c r="F1090" s="4" t="s">
        <v>12</v>
      </c>
      <c r="G1090" s="3">
        <v>1826.84</v>
      </c>
    </row>
    <row r="1091" spans="1:7" ht="14.5">
      <c r="A1091" s="3">
        <v>23</v>
      </c>
      <c r="B1091" s="4" t="s">
        <v>7</v>
      </c>
      <c r="C1091" s="3">
        <v>23.8</v>
      </c>
      <c r="D1091" s="3">
        <v>0</v>
      </c>
      <c r="E1091" s="4" t="s">
        <v>8</v>
      </c>
      <c r="F1091" s="4" t="s">
        <v>13</v>
      </c>
      <c r="G1091" s="3">
        <v>2395.17</v>
      </c>
    </row>
    <row r="1092" spans="1:7" ht="14.5">
      <c r="A1092" s="3">
        <v>23</v>
      </c>
      <c r="B1092" s="4" t="s">
        <v>7</v>
      </c>
      <c r="C1092" s="3">
        <v>17.399999999999999</v>
      </c>
      <c r="D1092" s="3">
        <v>1</v>
      </c>
      <c r="E1092" s="4" t="s">
        <v>8</v>
      </c>
      <c r="F1092" s="4" t="s">
        <v>9</v>
      </c>
      <c r="G1092" s="3">
        <v>2775.19</v>
      </c>
    </row>
    <row r="1093" spans="1:7" ht="14.5">
      <c r="A1093" s="3">
        <v>23</v>
      </c>
      <c r="B1093" s="4" t="s">
        <v>10</v>
      </c>
      <c r="C1093" s="3">
        <v>36.700000000000003</v>
      </c>
      <c r="D1093" s="3">
        <v>2</v>
      </c>
      <c r="E1093" s="4" t="s">
        <v>11</v>
      </c>
      <c r="F1093" s="4" t="s">
        <v>13</v>
      </c>
      <c r="G1093" s="3">
        <v>38511.629999999997</v>
      </c>
    </row>
    <row r="1094" spans="1:7" ht="14.5">
      <c r="A1094" s="3">
        <v>23</v>
      </c>
      <c r="B1094" s="4" t="s">
        <v>7</v>
      </c>
      <c r="C1094" s="3">
        <v>41.9</v>
      </c>
      <c r="D1094" s="3">
        <v>0</v>
      </c>
      <c r="E1094" s="4" t="s">
        <v>8</v>
      </c>
      <c r="F1094" s="4" t="s">
        <v>14</v>
      </c>
      <c r="G1094" s="3">
        <v>1837.28</v>
      </c>
    </row>
    <row r="1095" spans="1:7" ht="14.5">
      <c r="A1095" s="3">
        <v>23</v>
      </c>
      <c r="B1095" s="4" t="s">
        <v>10</v>
      </c>
      <c r="C1095" s="3">
        <v>28.3</v>
      </c>
      <c r="D1095" s="3">
        <v>0</v>
      </c>
      <c r="E1095" s="4" t="s">
        <v>11</v>
      </c>
      <c r="F1095" s="4" t="s">
        <v>9</v>
      </c>
      <c r="G1095" s="3">
        <v>18033.97</v>
      </c>
    </row>
    <row r="1096" spans="1:7" ht="14.5">
      <c r="A1096" s="3">
        <v>23</v>
      </c>
      <c r="B1096" s="4" t="s">
        <v>7</v>
      </c>
      <c r="C1096" s="3">
        <v>32.6</v>
      </c>
      <c r="D1096" s="3">
        <v>0</v>
      </c>
      <c r="E1096" s="4" t="s">
        <v>8</v>
      </c>
      <c r="F1096" s="4" t="s">
        <v>14</v>
      </c>
      <c r="G1096" s="3">
        <v>1824.29</v>
      </c>
    </row>
    <row r="1097" spans="1:7" ht="14.5">
      <c r="A1097" s="3">
        <v>23</v>
      </c>
      <c r="B1097" s="4" t="s">
        <v>10</v>
      </c>
      <c r="C1097" s="3">
        <v>35</v>
      </c>
      <c r="D1097" s="3">
        <v>3</v>
      </c>
      <c r="E1097" s="4" t="s">
        <v>8</v>
      </c>
      <c r="F1097" s="4" t="s">
        <v>9</v>
      </c>
      <c r="G1097" s="3">
        <v>4466.62</v>
      </c>
    </row>
    <row r="1098" spans="1:7" ht="14.5">
      <c r="A1098" s="3">
        <v>23</v>
      </c>
      <c r="B1098" s="4" t="s">
        <v>10</v>
      </c>
      <c r="C1098" s="3">
        <v>39.299999999999997</v>
      </c>
      <c r="D1098" s="3">
        <v>2</v>
      </c>
      <c r="E1098" s="4" t="s">
        <v>8</v>
      </c>
      <c r="F1098" s="4" t="s">
        <v>14</v>
      </c>
      <c r="G1098" s="3">
        <v>3500.61</v>
      </c>
    </row>
    <row r="1099" spans="1:7" ht="14.5">
      <c r="A1099" s="3">
        <v>23</v>
      </c>
      <c r="B1099" s="4" t="s">
        <v>7</v>
      </c>
      <c r="C1099" s="3">
        <v>31.7</v>
      </c>
      <c r="D1099" s="3">
        <v>3</v>
      </c>
      <c r="E1099" s="4" t="s">
        <v>11</v>
      </c>
      <c r="F1099" s="4" t="s">
        <v>13</v>
      </c>
      <c r="G1099" s="3">
        <v>36189.1</v>
      </c>
    </row>
    <row r="1100" spans="1:7" ht="14.5">
      <c r="A1100" s="3">
        <v>23</v>
      </c>
      <c r="B1100" s="4" t="s">
        <v>7</v>
      </c>
      <c r="C1100" s="3">
        <v>35.200000000000003</v>
      </c>
      <c r="D1100" s="3">
        <v>1</v>
      </c>
      <c r="E1100" s="4" t="s">
        <v>8</v>
      </c>
      <c r="F1100" s="4" t="s">
        <v>12</v>
      </c>
      <c r="G1100" s="3">
        <v>2416.96</v>
      </c>
    </row>
    <row r="1101" spans="1:7" ht="14.5">
      <c r="A1101" s="3">
        <v>23</v>
      </c>
      <c r="B1101" s="4" t="s">
        <v>7</v>
      </c>
      <c r="C1101" s="3">
        <v>26.5</v>
      </c>
      <c r="D1101" s="3">
        <v>0</v>
      </c>
      <c r="E1101" s="4" t="s">
        <v>8</v>
      </c>
      <c r="F1101" s="4" t="s">
        <v>14</v>
      </c>
      <c r="G1101" s="3">
        <v>1815.88</v>
      </c>
    </row>
    <row r="1102" spans="1:7" ht="14.5">
      <c r="A1102" s="3">
        <v>23</v>
      </c>
      <c r="B1102" s="4" t="s">
        <v>7</v>
      </c>
      <c r="C1102" s="3">
        <v>37.1</v>
      </c>
      <c r="D1102" s="3">
        <v>3</v>
      </c>
      <c r="E1102" s="4" t="s">
        <v>8</v>
      </c>
      <c r="F1102" s="4" t="s">
        <v>12</v>
      </c>
      <c r="G1102" s="3">
        <v>3597.6</v>
      </c>
    </row>
    <row r="1103" spans="1:7" ht="14.5">
      <c r="A1103" s="3">
        <v>23</v>
      </c>
      <c r="B1103" s="4" t="s">
        <v>10</v>
      </c>
      <c r="C1103" s="3">
        <v>32.799999999999997</v>
      </c>
      <c r="D1103" s="3">
        <v>2</v>
      </c>
      <c r="E1103" s="4" t="s">
        <v>11</v>
      </c>
      <c r="F1103" s="4" t="s">
        <v>14</v>
      </c>
      <c r="G1103" s="3">
        <v>36021.01</v>
      </c>
    </row>
    <row r="1104" spans="1:7" ht="14.5">
      <c r="A1104" s="3">
        <v>23</v>
      </c>
      <c r="B1104" s="4" t="s">
        <v>7</v>
      </c>
      <c r="C1104" s="3">
        <v>50.4</v>
      </c>
      <c r="D1104" s="3">
        <v>1</v>
      </c>
      <c r="E1104" s="4" t="s">
        <v>8</v>
      </c>
      <c r="F1104" s="4" t="s">
        <v>14</v>
      </c>
      <c r="G1104" s="3">
        <v>2438.06</v>
      </c>
    </row>
    <row r="1105" spans="1:7" ht="14.5">
      <c r="A1105" s="3">
        <v>23</v>
      </c>
      <c r="B1105" s="4" t="s">
        <v>10</v>
      </c>
      <c r="C1105" s="3">
        <v>28.1</v>
      </c>
      <c r="D1105" s="3">
        <v>0</v>
      </c>
      <c r="E1105" s="4" t="s">
        <v>8</v>
      </c>
      <c r="F1105" s="4" t="s">
        <v>9</v>
      </c>
      <c r="G1105" s="3">
        <v>2690.11</v>
      </c>
    </row>
    <row r="1106" spans="1:7" ht="14.5">
      <c r="A1106" s="3">
        <v>23</v>
      </c>
      <c r="B1106" s="4" t="s">
        <v>7</v>
      </c>
      <c r="C1106" s="3">
        <v>27.4</v>
      </c>
      <c r="D1106" s="3">
        <v>1</v>
      </c>
      <c r="E1106" s="4" t="s">
        <v>8</v>
      </c>
      <c r="F1106" s="4" t="s">
        <v>9</v>
      </c>
      <c r="G1106" s="3">
        <v>2789.06</v>
      </c>
    </row>
    <row r="1107" spans="1:7" ht="14.5">
      <c r="A1107" s="3">
        <v>23</v>
      </c>
      <c r="B1107" s="4" t="s">
        <v>7</v>
      </c>
      <c r="C1107" s="3">
        <v>18.7</v>
      </c>
      <c r="D1107" s="3">
        <v>0</v>
      </c>
      <c r="E1107" s="4" t="s">
        <v>8</v>
      </c>
      <c r="F1107" s="4" t="s">
        <v>9</v>
      </c>
      <c r="G1107" s="3">
        <v>21595.38</v>
      </c>
    </row>
    <row r="1108" spans="1:7" ht="14.5">
      <c r="A1108" s="3">
        <v>23</v>
      </c>
      <c r="B1108" s="4" t="s">
        <v>7</v>
      </c>
      <c r="C1108" s="3">
        <v>32.700000000000003</v>
      </c>
      <c r="D1108" s="3">
        <v>3</v>
      </c>
      <c r="E1108" s="4" t="s">
        <v>8</v>
      </c>
      <c r="F1108" s="4" t="s">
        <v>12</v>
      </c>
      <c r="G1108" s="3">
        <v>3591.48</v>
      </c>
    </row>
    <row r="1109" spans="1:7" ht="14.5">
      <c r="A1109" s="3">
        <v>23</v>
      </c>
      <c r="B1109" s="4" t="s">
        <v>7</v>
      </c>
      <c r="C1109" s="3">
        <v>24.5</v>
      </c>
      <c r="D1109" s="3">
        <v>0</v>
      </c>
      <c r="E1109" s="4" t="s">
        <v>8</v>
      </c>
      <c r="F1109" s="4" t="s">
        <v>13</v>
      </c>
      <c r="G1109" s="3">
        <v>2396.1</v>
      </c>
    </row>
    <row r="1110" spans="1:7" ht="14.5">
      <c r="A1110" s="3">
        <v>23</v>
      </c>
      <c r="B1110" s="4" t="s">
        <v>10</v>
      </c>
      <c r="C1110" s="3">
        <v>31.4</v>
      </c>
      <c r="D1110" s="3">
        <v>0</v>
      </c>
      <c r="E1110" s="4" t="s">
        <v>11</v>
      </c>
      <c r="F1110" s="4" t="s">
        <v>12</v>
      </c>
      <c r="G1110" s="3">
        <v>34166.269999999997</v>
      </c>
    </row>
    <row r="1111" spans="1:7" ht="14.5">
      <c r="A1111" s="3">
        <v>23</v>
      </c>
      <c r="B1111" s="4" t="s">
        <v>10</v>
      </c>
      <c r="C1111" s="3">
        <v>42.8</v>
      </c>
      <c r="D1111" s="3">
        <v>1</v>
      </c>
      <c r="E1111" s="4" t="s">
        <v>11</v>
      </c>
      <c r="F1111" s="4" t="s">
        <v>13</v>
      </c>
      <c r="G1111" s="3">
        <v>40904.199999999997</v>
      </c>
    </row>
    <row r="1112" spans="1:7" ht="14.5">
      <c r="A1112" s="3">
        <v>23</v>
      </c>
      <c r="B1112" s="4" t="s">
        <v>10</v>
      </c>
      <c r="C1112" s="3">
        <v>23.2</v>
      </c>
      <c r="D1112" s="3">
        <v>2</v>
      </c>
      <c r="E1112" s="4" t="s">
        <v>8</v>
      </c>
      <c r="F1112" s="4" t="s">
        <v>9</v>
      </c>
      <c r="G1112" s="3">
        <v>14426.07</v>
      </c>
    </row>
    <row r="1113" spans="1:7" ht="14.5">
      <c r="A1113" s="3">
        <v>23</v>
      </c>
      <c r="B1113" s="4" t="s">
        <v>10</v>
      </c>
      <c r="C1113" s="3">
        <v>34.9</v>
      </c>
      <c r="D1113" s="3">
        <v>0</v>
      </c>
      <c r="E1113" s="4" t="s">
        <v>8</v>
      </c>
      <c r="F1113" s="4" t="s">
        <v>13</v>
      </c>
      <c r="G1113" s="3">
        <v>2899.49</v>
      </c>
    </row>
    <row r="1114" spans="1:7" ht="14.5">
      <c r="A1114" s="3">
        <v>23</v>
      </c>
      <c r="B1114" s="4" t="s">
        <v>10</v>
      </c>
      <c r="C1114" s="3">
        <v>28.5</v>
      </c>
      <c r="D1114" s="3">
        <v>1</v>
      </c>
      <c r="E1114" s="4" t="s">
        <v>11</v>
      </c>
      <c r="F1114" s="4" t="s">
        <v>14</v>
      </c>
      <c r="G1114" s="3">
        <v>18328.240000000002</v>
      </c>
    </row>
    <row r="1115" spans="1:7" ht="14.5">
      <c r="A1115" s="3">
        <v>23</v>
      </c>
      <c r="B1115" s="4" t="s">
        <v>10</v>
      </c>
      <c r="C1115" s="3">
        <v>28</v>
      </c>
      <c r="D1115" s="3">
        <v>0</v>
      </c>
      <c r="E1115" s="4" t="s">
        <v>8</v>
      </c>
      <c r="F1115" s="4" t="s">
        <v>12</v>
      </c>
      <c r="G1115" s="3">
        <v>13126.68</v>
      </c>
    </row>
    <row r="1116" spans="1:7" ht="14.5">
      <c r="A1116" s="3">
        <v>23</v>
      </c>
      <c r="B1116" s="4" t="s">
        <v>10</v>
      </c>
      <c r="C1116" s="3">
        <v>24.2</v>
      </c>
      <c r="D1116" s="3">
        <v>2</v>
      </c>
      <c r="E1116" s="4" t="s">
        <v>8</v>
      </c>
      <c r="F1116" s="4" t="s">
        <v>13</v>
      </c>
      <c r="G1116" s="3">
        <v>22395.74</v>
      </c>
    </row>
    <row r="1117" spans="1:7" ht="14.5">
      <c r="A1117" s="3">
        <v>23</v>
      </c>
      <c r="B1117" s="4" t="s">
        <v>10</v>
      </c>
      <c r="C1117" s="3">
        <v>33.4</v>
      </c>
      <c r="D1117" s="3">
        <v>0</v>
      </c>
      <c r="E1117" s="4" t="s">
        <v>8</v>
      </c>
      <c r="F1117" s="4" t="s">
        <v>12</v>
      </c>
      <c r="G1117" s="3">
        <v>10795.94</v>
      </c>
    </row>
    <row r="1118" spans="1:7" ht="14.5">
      <c r="A1118" s="3">
        <v>22</v>
      </c>
      <c r="B1118" s="4" t="s">
        <v>7</v>
      </c>
      <c r="C1118" s="3">
        <v>35.6</v>
      </c>
      <c r="D1118" s="3">
        <v>0</v>
      </c>
      <c r="E1118" s="4" t="s">
        <v>11</v>
      </c>
      <c r="F1118" s="4" t="s">
        <v>12</v>
      </c>
      <c r="G1118" s="3">
        <v>35585.58</v>
      </c>
    </row>
    <row r="1119" spans="1:7" ht="14.5">
      <c r="A1119" s="3">
        <v>22</v>
      </c>
      <c r="B1119" s="4" t="s">
        <v>10</v>
      </c>
      <c r="C1119" s="3">
        <v>39.799999999999997</v>
      </c>
      <c r="D1119" s="3">
        <v>0</v>
      </c>
      <c r="E1119" s="4" t="s">
        <v>8</v>
      </c>
      <c r="F1119" s="4" t="s">
        <v>13</v>
      </c>
      <c r="G1119" s="3">
        <v>2755.02</v>
      </c>
    </row>
    <row r="1120" spans="1:7" ht="14.5">
      <c r="A1120" s="3">
        <v>22</v>
      </c>
      <c r="B1120" s="4" t="s">
        <v>7</v>
      </c>
      <c r="C1120" s="3">
        <v>37.6</v>
      </c>
      <c r="D1120" s="3">
        <v>1</v>
      </c>
      <c r="E1120" s="4" t="s">
        <v>11</v>
      </c>
      <c r="F1120" s="4" t="s">
        <v>14</v>
      </c>
      <c r="G1120" s="3">
        <v>37165.160000000003</v>
      </c>
    </row>
    <row r="1121" spans="1:7" ht="14.5">
      <c r="A1121" s="3">
        <v>22</v>
      </c>
      <c r="B1121" s="4" t="s">
        <v>10</v>
      </c>
      <c r="C1121" s="3">
        <v>28.1</v>
      </c>
      <c r="D1121" s="3">
        <v>0</v>
      </c>
      <c r="E1121" s="4" t="s">
        <v>8</v>
      </c>
      <c r="F1121" s="4" t="s">
        <v>14</v>
      </c>
      <c r="G1121" s="3">
        <v>2155.6799999999998</v>
      </c>
    </row>
    <row r="1122" spans="1:7" ht="14.5">
      <c r="A1122" s="3">
        <v>22</v>
      </c>
      <c r="B1122" s="4" t="s">
        <v>7</v>
      </c>
      <c r="C1122" s="3">
        <v>25.2</v>
      </c>
      <c r="D1122" s="3">
        <v>0</v>
      </c>
      <c r="E1122" s="4" t="s">
        <v>8</v>
      </c>
      <c r="F1122" s="4" t="s">
        <v>9</v>
      </c>
      <c r="G1122" s="3">
        <v>2045.69</v>
      </c>
    </row>
    <row r="1123" spans="1:7" ht="14.5">
      <c r="A1123" s="3">
        <v>22</v>
      </c>
      <c r="B1123" s="4" t="s">
        <v>10</v>
      </c>
      <c r="C1123" s="3">
        <v>36</v>
      </c>
      <c r="D1123" s="3">
        <v>0</v>
      </c>
      <c r="E1123" s="4" t="s">
        <v>8</v>
      </c>
      <c r="F1123" s="4" t="s">
        <v>12</v>
      </c>
      <c r="G1123" s="3">
        <v>2166.73</v>
      </c>
    </row>
    <row r="1124" spans="1:7" ht="14.5">
      <c r="A1124" s="3">
        <v>22</v>
      </c>
      <c r="B1124" s="4" t="s">
        <v>7</v>
      </c>
      <c r="C1124" s="3">
        <v>20</v>
      </c>
      <c r="D1124" s="3">
        <v>3</v>
      </c>
      <c r="E1124" s="4" t="s">
        <v>8</v>
      </c>
      <c r="F1124" s="4" t="s">
        <v>13</v>
      </c>
      <c r="G1124" s="3">
        <v>4005.42</v>
      </c>
    </row>
    <row r="1125" spans="1:7" ht="14.5">
      <c r="A1125" s="3">
        <v>22</v>
      </c>
      <c r="B1125" s="4" t="s">
        <v>10</v>
      </c>
      <c r="C1125" s="3">
        <v>24.3</v>
      </c>
      <c r="D1125" s="3">
        <v>0</v>
      </c>
      <c r="E1125" s="4" t="s">
        <v>8</v>
      </c>
      <c r="F1125" s="4" t="s">
        <v>12</v>
      </c>
      <c r="G1125" s="3">
        <v>2150.4699999999998</v>
      </c>
    </row>
    <row r="1126" spans="1:7" ht="14.5">
      <c r="A1126" s="3">
        <v>22</v>
      </c>
      <c r="B1126" s="4" t="s">
        <v>10</v>
      </c>
      <c r="C1126" s="3">
        <v>28.8</v>
      </c>
      <c r="D1126" s="3">
        <v>0</v>
      </c>
      <c r="E1126" s="4" t="s">
        <v>8</v>
      </c>
      <c r="F1126" s="4" t="s">
        <v>14</v>
      </c>
      <c r="G1126" s="3">
        <v>2156.75</v>
      </c>
    </row>
    <row r="1127" spans="1:7" ht="14.5">
      <c r="A1127" s="3">
        <v>22</v>
      </c>
      <c r="B1127" s="4" t="s">
        <v>7</v>
      </c>
      <c r="C1127" s="3">
        <v>31.7</v>
      </c>
      <c r="D1127" s="3">
        <v>0</v>
      </c>
      <c r="E1127" s="4" t="s">
        <v>8</v>
      </c>
      <c r="F1127" s="4" t="s">
        <v>13</v>
      </c>
      <c r="G1127" s="3">
        <v>2254.8000000000002</v>
      </c>
    </row>
    <row r="1128" spans="1:7" ht="14.5">
      <c r="A1128" s="3">
        <v>22</v>
      </c>
      <c r="B1128" s="4" t="s">
        <v>7</v>
      </c>
      <c r="C1128" s="3">
        <v>31.4</v>
      </c>
      <c r="D1128" s="3">
        <v>1</v>
      </c>
      <c r="E1128" s="4" t="s">
        <v>8</v>
      </c>
      <c r="F1128" s="4" t="s">
        <v>9</v>
      </c>
      <c r="G1128" s="3">
        <v>2643.27</v>
      </c>
    </row>
    <row r="1129" spans="1:7" ht="14.5">
      <c r="A1129" s="3">
        <v>22</v>
      </c>
      <c r="B1129" s="4" t="s">
        <v>7</v>
      </c>
      <c r="C1129" s="3">
        <v>26.8</v>
      </c>
      <c r="D1129" s="3">
        <v>0</v>
      </c>
      <c r="E1129" s="4" t="s">
        <v>8</v>
      </c>
      <c r="F1129" s="4" t="s">
        <v>14</v>
      </c>
      <c r="G1129" s="3">
        <v>1665</v>
      </c>
    </row>
    <row r="1130" spans="1:7" ht="14.5">
      <c r="A1130" s="3">
        <v>22</v>
      </c>
      <c r="B1130" s="4" t="s">
        <v>10</v>
      </c>
      <c r="C1130" s="3">
        <v>34.6</v>
      </c>
      <c r="D1130" s="3">
        <v>2</v>
      </c>
      <c r="E1130" s="4" t="s">
        <v>8</v>
      </c>
      <c r="F1130" s="4" t="s">
        <v>13</v>
      </c>
      <c r="G1130" s="3">
        <v>3925.76</v>
      </c>
    </row>
    <row r="1131" spans="1:7" ht="14.5">
      <c r="A1131" s="3">
        <v>22</v>
      </c>
      <c r="B1131" s="4" t="s">
        <v>10</v>
      </c>
      <c r="C1131" s="3">
        <v>23.2</v>
      </c>
      <c r="D1131" s="3">
        <v>0</v>
      </c>
      <c r="E1131" s="4" t="s">
        <v>8</v>
      </c>
      <c r="F1131" s="4" t="s">
        <v>13</v>
      </c>
      <c r="G1131" s="3">
        <v>2731.91</v>
      </c>
    </row>
    <row r="1132" spans="1:7" ht="14.5">
      <c r="A1132" s="3">
        <v>22</v>
      </c>
      <c r="B1132" s="4" t="s">
        <v>7</v>
      </c>
      <c r="C1132" s="3">
        <v>34.799999999999997</v>
      </c>
      <c r="D1132" s="3">
        <v>3</v>
      </c>
      <c r="E1132" s="4" t="s">
        <v>8</v>
      </c>
      <c r="F1132" s="4" t="s">
        <v>12</v>
      </c>
      <c r="G1132" s="3">
        <v>3443.06</v>
      </c>
    </row>
    <row r="1133" spans="1:7" ht="14.5">
      <c r="A1133" s="3">
        <v>22</v>
      </c>
      <c r="B1133" s="4" t="s">
        <v>7</v>
      </c>
      <c r="C1133" s="3">
        <v>39.5</v>
      </c>
      <c r="D1133" s="3">
        <v>0</v>
      </c>
      <c r="E1133" s="4" t="s">
        <v>8</v>
      </c>
      <c r="F1133" s="4" t="s">
        <v>12</v>
      </c>
      <c r="G1133" s="3">
        <v>1682.6</v>
      </c>
    </row>
    <row r="1134" spans="1:7" ht="14.5">
      <c r="A1134" s="3">
        <v>22</v>
      </c>
      <c r="B1134" s="4" t="s">
        <v>7</v>
      </c>
      <c r="C1134" s="3">
        <v>28.3</v>
      </c>
      <c r="D1134" s="3">
        <v>1</v>
      </c>
      <c r="E1134" s="4" t="s">
        <v>8</v>
      </c>
      <c r="F1134" s="4" t="s">
        <v>9</v>
      </c>
      <c r="G1134" s="3">
        <v>2639.04</v>
      </c>
    </row>
    <row r="1135" spans="1:7" ht="14.5">
      <c r="A1135" s="3">
        <v>22</v>
      </c>
      <c r="B1135" s="4" t="s">
        <v>10</v>
      </c>
      <c r="C1135" s="3">
        <v>20.2</v>
      </c>
      <c r="D1135" s="3">
        <v>0</v>
      </c>
      <c r="E1135" s="4" t="s">
        <v>8</v>
      </c>
      <c r="F1135" s="4" t="s">
        <v>9</v>
      </c>
      <c r="G1135" s="3">
        <v>2527.8200000000002</v>
      </c>
    </row>
    <row r="1136" spans="1:7" ht="14.5">
      <c r="A1136" s="3">
        <v>22</v>
      </c>
      <c r="B1136" s="4" t="s">
        <v>10</v>
      </c>
      <c r="C1136" s="3">
        <v>31</v>
      </c>
      <c r="D1136" s="3">
        <v>3</v>
      </c>
      <c r="E1136" s="4" t="s">
        <v>11</v>
      </c>
      <c r="F1136" s="4" t="s">
        <v>14</v>
      </c>
      <c r="G1136" s="3">
        <v>35595.589999999997</v>
      </c>
    </row>
    <row r="1137" spans="1:7" ht="14.5">
      <c r="A1137" s="3">
        <v>22</v>
      </c>
      <c r="B1137" s="4" t="s">
        <v>7</v>
      </c>
      <c r="C1137" s="3">
        <v>37.1</v>
      </c>
      <c r="D1137" s="3">
        <v>2</v>
      </c>
      <c r="E1137" s="4" t="s">
        <v>11</v>
      </c>
      <c r="F1137" s="4" t="s">
        <v>14</v>
      </c>
      <c r="G1137" s="3">
        <v>37484.449999999997</v>
      </c>
    </row>
    <row r="1138" spans="1:7" ht="14.5">
      <c r="A1138" s="3">
        <v>22</v>
      </c>
      <c r="B1138" s="4" t="s">
        <v>7</v>
      </c>
      <c r="C1138" s="3">
        <v>28.9</v>
      </c>
      <c r="D1138" s="3">
        <v>0</v>
      </c>
      <c r="E1138" s="4" t="s">
        <v>8</v>
      </c>
      <c r="F1138" s="4" t="s">
        <v>13</v>
      </c>
      <c r="G1138" s="3">
        <v>2250.84</v>
      </c>
    </row>
    <row r="1139" spans="1:7" ht="14.5">
      <c r="A1139" s="3">
        <v>22</v>
      </c>
      <c r="B1139" s="4" t="s">
        <v>7</v>
      </c>
      <c r="C1139" s="3">
        <v>52.6</v>
      </c>
      <c r="D1139" s="3">
        <v>1</v>
      </c>
      <c r="E1139" s="4" t="s">
        <v>11</v>
      </c>
      <c r="F1139" s="4" t="s">
        <v>14</v>
      </c>
      <c r="G1139" s="3">
        <v>44501.4</v>
      </c>
    </row>
    <row r="1140" spans="1:7" ht="14.5">
      <c r="A1140" s="3">
        <v>22</v>
      </c>
      <c r="B1140" s="4" t="s">
        <v>10</v>
      </c>
      <c r="C1140" s="3">
        <v>30.4</v>
      </c>
      <c r="D1140" s="3">
        <v>0</v>
      </c>
      <c r="E1140" s="4" t="s">
        <v>11</v>
      </c>
      <c r="F1140" s="4" t="s">
        <v>9</v>
      </c>
      <c r="G1140" s="3">
        <v>33907.550000000003</v>
      </c>
    </row>
    <row r="1141" spans="1:7" ht="14.5">
      <c r="A1141" s="3">
        <v>22</v>
      </c>
      <c r="B1141" s="4" t="s">
        <v>7</v>
      </c>
      <c r="C1141" s="3">
        <v>33.799999999999997</v>
      </c>
      <c r="D1141" s="3">
        <v>0</v>
      </c>
      <c r="E1141" s="4" t="s">
        <v>8</v>
      </c>
      <c r="F1141" s="4" t="s">
        <v>14</v>
      </c>
      <c r="G1141" s="3">
        <v>1674.63</v>
      </c>
    </row>
    <row r="1142" spans="1:7" ht="14.5">
      <c r="A1142" s="3">
        <v>22</v>
      </c>
      <c r="B1142" s="4" t="s">
        <v>10</v>
      </c>
      <c r="C1142" s="3">
        <v>27.1</v>
      </c>
      <c r="D1142" s="3">
        <v>0</v>
      </c>
      <c r="E1142" s="4" t="s">
        <v>8</v>
      </c>
      <c r="F1142" s="4" t="s">
        <v>12</v>
      </c>
      <c r="G1142" s="3">
        <v>2154.36</v>
      </c>
    </row>
    <row r="1143" spans="1:7" ht="14.5">
      <c r="A1143" s="3">
        <v>22</v>
      </c>
      <c r="B1143" s="4" t="s">
        <v>7</v>
      </c>
      <c r="C1143" s="3">
        <v>32.1</v>
      </c>
      <c r="D1143" s="3">
        <v>0</v>
      </c>
      <c r="E1143" s="4" t="s">
        <v>8</v>
      </c>
      <c r="F1143" s="4" t="s">
        <v>9</v>
      </c>
      <c r="G1143" s="3">
        <v>2055.3200000000002</v>
      </c>
    </row>
    <row r="1144" spans="1:7" ht="14.5">
      <c r="A1144" s="3">
        <v>22</v>
      </c>
      <c r="B1144" s="4" t="s">
        <v>10</v>
      </c>
      <c r="C1144" s="3">
        <v>21.3</v>
      </c>
      <c r="D1144" s="3">
        <v>3</v>
      </c>
      <c r="E1144" s="4" t="s">
        <v>8</v>
      </c>
      <c r="F1144" s="4" t="s">
        <v>9</v>
      </c>
      <c r="G1144" s="3">
        <v>4296.2700000000004</v>
      </c>
    </row>
    <row r="1145" spans="1:7" ht="14.5">
      <c r="A1145" s="3">
        <v>22</v>
      </c>
      <c r="B1145" s="4" t="s">
        <v>10</v>
      </c>
      <c r="C1145" s="3">
        <v>30.4</v>
      </c>
      <c r="D1145" s="3">
        <v>0</v>
      </c>
      <c r="E1145" s="4" t="s">
        <v>8</v>
      </c>
      <c r="F1145" s="4" t="s">
        <v>13</v>
      </c>
      <c r="G1145" s="3">
        <v>2741.95</v>
      </c>
    </row>
    <row r="1146" spans="1:7" ht="14.5">
      <c r="A1146" s="3">
        <v>21</v>
      </c>
      <c r="B1146" s="4" t="s">
        <v>10</v>
      </c>
      <c r="C1146" s="3">
        <v>33.6</v>
      </c>
      <c r="D1146" s="3">
        <v>2</v>
      </c>
      <c r="E1146" s="4" t="s">
        <v>8</v>
      </c>
      <c r="F1146" s="4" t="s">
        <v>9</v>
      </c>
      <c r="G1146" s="3">
        <v>3579.83</v>
      </c>
    </row>
    <row r="1147" spans="1:7" ht="14.5">
      <c r="A1147" s="3">
        <v>21</v>
      </c>
      <c r="B1147" s="4" t="s">
        <v>7</v>
      </c>
      <c r="C1147" s="3">
        <v>35.5</v>
      </c>
      <c r="D1147" s="3">
        <v>0</v>
      </c>
      <c r="E1147" s="4" t="s">
        <v>8</v>
      </c>
      <c r="F1147" s="4" t="s">
        <v>14</v>
      </c>
      <c r="G1147" s="3">
        <v>1532.47</v>
      </c>
    </row>
    <row r="1148" spans="1:7" ht="14.5">
      <c r="A1148" s="3">
        <v>21</v>
      </c>
      <c r="B1148" s="4" t="s">
        <v>10</v>
      </c>
      <c r="C1148" s="3">
        <v>39.5</v>
      </c>
      <c r="D1148" s="3">
        <v>0</v>
      </c>
      <c r="E1148" s="4" t="s">
        <v>8</v>
      </c>
      <c r="F1148" s="4" t="s">
        <v>14</v>
      </c>
      <c r="G1148" s="3">
        <v>2026.97</v>
      </c>
    </row>
    <row r="1149" spans="1:7" ht="14.5">
      <c r="A1149" s="3">
        <v>21</v>
      </c>
      <c r="B1149" s="4" t="s">
        <v>10</v>
      </c>
      <c r="C1149" s="3">
        <v>35.700000000000003</v>
      </c>
      <c r="D1149" s="3">
        <v>0</v>
      </c>
      <c r="E1149" s="4" t="s">
        <v>8</v>
      </c>
      <c r="F1149" s="4" t="s">
        <v>9</v>
      </c>
      <c r="G1149" s="3">
        <v>2404.73</v>
      </c>
    </row>
    <row r="1150" spans="1:7" ht="14.5">
      <c r="A1150" s="3">
        <v>21</v>
      </c>
      <c r="B1150" s="4" t="s">
        <v>10</v>
      </c>
      <c r="C1150" s="3">
        <v>26.4</v>
      </c>
      <c r="D1150" s="3">
        <v>1</v>
      </c>
      <c r="E1150" s="4" t="s">
        <v>8</v>
      </c>
      <c r="F1150" s="4" t="s">
        <v>12</v>
      </c>
      <c r="G1150" s="3">
        <v>2597.7800000000002</v>
      </c>
    </row>
    <row r="1151" spans="1:7" ht="14.5">
      <c r="A1151" s="3">
        <v>21</v>
      </c>
      <c r="B1151" s="4" t="s">
        <v>10</v>
      </c>
      <c r="C1151" s="3">
        <v>21.9</v>
      </c>
      <c r="D1151" s="3">
        <v>2</v>
      </c>
      <c r="E1151" s="4" t="s">
        <v>8</v>
      </c>
      <c r="F1151" s="4" t="s">
        <v>14</v>
      </c>
      <c r="G1151" s="3">
        <v>3180.51</v>
      </c>
    </row>
    <row r="1152" spans="1:7" ht="14.5">
      <c r="A1152" s="3">
        <v>21</v>
      </c>
      <c r="B1152" s="4" t="s">
        <v>7</v>
      </c>
      <c r="C1152" s="3">
        <v>31</v>
      </c>
      <c r="D1152" s="3">
        <v>0</v>
      </c>
      <c r="E1152" s="4" t="s">
        <v>8</v>
      </c>
      <c r="F1152" s="4" t="s">
        <v>14</v>
      </c>
      <c r="G1152" s="3">
        <v>16586.5</v>
      </c>
    </row>
    <row r="1153" spans="1:7" ht="14.5">
      <c r="A1153" s="3">
        <v>21</v>
      </c>
      <c r="B1153" s="4" t="s">
        <v>10</v>
      </c>
      <c r="C1153" s="3">
        <v>16.8</v>
      </c>
      <c r="D1153" s="3">
        <v>1</v>
      </c>
      <c r="E1153" s="4" t="s">
        <v>8</v>
      </c>
      <c r="F1153" s="4" t="s">
        <v>13</v>
      </c>
      <c r="G1153" s="3">
        <v>3167.46</v>
      </c>
    </row>
    <row r="1154" spans="1:7" ht="14.5">
      <c r="A1154" s="3">
        <v>21</v>
      </c>
      <c r="B1154" s="4" t="s">
        <v>7</v>
      </c>
      <c r="C1154" s="3">
        <v>36.9</v>
      </c>
      <c r="D1154" s="3">
        <v>0</v>
      </c>
      <c r="E1154" s="4" t="s">
        <v>8</v>
      </c>
      <c r="F1154" s="4" t="s">
        <v>14</v>
      </c>
      <c r="G1154" s="3">
        <v>1534.3</v>
      </c>
    </row>
    <row r="1155" spans="1:7" ht="14.5">
      <c r="A1155" s="3">
        <v>21</v>
      </c>
      <c r="B1155" s="4" t="s">
        <v>7</v>
      </c>
      <c r="C1155" s="3">
        <v>25.7</v>
      </c>
      <c r="D1155" s="3">
        <v>4</v>
      </c>
      <c r="E1155" s="4" t="s">
        <v>11</v>
      </c>
      <c r="F1155" s="4" t="s">
        <v>12</v>
      </c>
      <c r="G1155" s="3">
        <v>17942.11</v>
      </c>
    </row>
    <row r="1156" spans="1:7" ht="14.5">
      <c r="A1156" s="3">
        <v>21</v>
      </c>
      <c r="B1156" s="4" t="s">
        <v>7</v>
      </c>
      <c r="C1156" s="3">
        <v>23.8</v>
      </c>
      <c r="D1156" s="3">
        <v>2</v>
      </c>
      <c r="E1156" s="4" t="s">
        <v>8</v>
      </c>
      <c r="F1156" s="4" t="s">
        <v>9</v>
      </c>
      <c r="G1156" s="3">
        <v>3077.1</v>
      </c>
    </row>
    <row r="1157" spans="1:7" ht="14.5">
      <c r="A1157" s="3">
        <v>21</v>
      </c>
      <c r="B1157" s="4" t="s">
        <v>7</v>
      </c>
      <c r="C1157" s="3">
        <v>20.2</v>
      </c>
      <c r="D1157" s="3">
        <v>3</v>
      </c>
      <c r="E1157" s="4" t="s">
        <v>8</v>
      </c>
      <c r="F1157" s="4" t="s">
        <v>13</v>
      </c>
      <c r="G1157" s="3">
        <v>3861.21</v>
      </c>
    </row>
    <row r="1158" spans="1:7" ht="14.5">
      <c r="A1158" s="3">
        <v>21</v>
      </c>
      <c r="B1158" s="4" t="s">
        <v>10</v>
      </c>
      <c r="C1158" s="3">
        <v>21.9</v>
      </c>
      <c r="D1158" s="3">
        <v>1</v>
      </c>
      <c r="E1158" s="4" t="s">
        <v>11</v>
      </c>
      <c r="F1158" s="4" t="s">
        <v>13</v>
      </c>
      <c r="G1158" s="3">
        <v>15359.1</v>
      </c>
    </row>
    <row r="1159" spans="1:7" ht="14.5">
      <c r="A1159" s="3">
        <v>21</v>
      </c>
      <c r="B1159" s="4" t="s">
        <v>10</v>
      </c>
      <c r="C1159" s="3">
        <v>17.399999999999999</v>
      </c>
      <c r="D1159" s="3">
        <v>1</v>
      </c>
      <c r="E1159" s="4" t="s">
        <v>8</v>
      </c>
      <c r="F1159" s="4" t="s">
        <v>12</v>
      </c>
      <c r="G1159" s="3">
        <v>2585.27</v>
      </c>
    </row>
    <row r="1160" spans="1:7" ht="14.5">
      <c r="A1160" s="3">
        <v>21</v>
      </c>
      <c r="B1160" s="4" t="s">
        <v>7</v>
      </c>
      <c r="C1160" s="3">
        <v>27.4</v>
      </c>
      <c r="D1160" s="3">
        <v>0</v>
      </c>
      <c r="E1160" s="4" t="s">
        <v>8</v>
      </c>
      <c r="F1160" s="4" t="s">
        <v>13</v>
      </c>
      <c r="G1160" s="3">
        <v>2104.11</v>
      </c>
    </row>
    <row r="1161" spans="1:7" ht="14.5">
      <c r="A1161" s="3">
        <v>21</v>
      </c>
      <c r="B1161" s="4" t="s">
        <v>10</v>
      </c>
      <c r="C1161" s="3">
        <v>34.9</v>
      </c>
      <c r="D1161" s="3">
        <v>0</v>
      </c>
      <c r="E1161" s="4" t="s">
        <v>8</v>
      </c>
      <c r="F1161" s="4" t="s">
        <v>14</v>
      </c>
      <c r="G1161" s="3">
        <v>2020.55</v>
      </c>
    </row>
    <row r="1162" spans="1:7" ht="14.5">
      <c r="A1162" s="3">
        <v>21</v>
      </c>
      <c r="B1162" s="4" t="s">
        <v>7</v>
      </c>
      <c r="C1162" s="3">
        <v>29</v>
      </c>
      <c r="D1162" s="3">
        <v>0</v>
      </c>
      <c r="E1162" s="4" t="s">
        <v>8</v>
      </c>
      <c r="F1162" s="4" t="s">
        <v>9</v>
      </c>
      <c r="G1162" s="3">
        <v>1906.36</v>
      </c>
    </row>
    <row r="1163" spans="1:7" ht="14.5">
      <c r="A1163" s="3">
        <v>21</v>
      </c>
      <c r="B1163" s="4" t="s">
        <v>7</v>
      </c>
      <c r="C1163" s="3">
        <v>36.9</v>
      </c>
      <c r="D1163" s="3">
        <v>0</v>
      </c>
      <c r="E1163" s="4" t="s">
        <v>8</v>
      </c>
      <c r="F1163" s="4" t="s">
        <v>9</v>
      </c>
      <c r="G1163" s="3">
        <v>1917.32</v>
      </c>
    </row>
    <row r="1164" spans="1:7" ht="14.5">
      <c r="A1164" s="3">
        <v>21</v>
      </c>
      <c r="B1164" s="4" t="s">
        <v>7</v>
      </c>
      <c r="C1164" s="3">
        <v>22.3</v>
      </c>
      <c r="D1164" s="3">
        <v>1</v>
      </c>
      <c r="E1164" s="4" t="s">
        <v>8</v>
      </c>
      <c r="F1164" s="4" t="s">
        <v>12</v>
      </c>
      <c r="G1164" s="3">
        <v>2103.08</v>
      </c>
    </row>
    <row r="1165" spans="1:7" ht="14.5">
      <c r="A1165" s="3">
        <v>21</v>
      </c>
      <c r="B1165" s="4" t="s">
        <v>7</v>
      </c>
      <c r="C1165" s="3">
        <v>31.1</v>
      </c>
      <c r="D1165" s="3">
        <v>0</v>
      </c>
      <c r="E1165" s="4" t="s">
        <v>8</v>
      </c>
      <c r="F1165" s="4" t="s">
        <v>12</v>
      </c>
      <c r="G1165" s="3">
        <v>1526.31</v>
      </c>
    </row>
    <row r="1166" spans="1:7" ht="14.5">
      <c r="A1166" s="3">
        <v>21</v>
      </c>
      <c r="B1166" s="4" t="s">
        <v>10</v>
      </c>
      <c r="C1166" s="3">
        <v>22.1</v>
      </c>
      <c r="D1166" s="3">
        <v>0</v>
      </c>
      <c r="E1166" s="4" t="s">
        <v>8</v>
      </c>
      <c r="F1166" s="4" t="s">
        <v>13</v>
      </c>
      <c r="G1166" s="3">
        <v>2585.85</v>
      </c>
    </row>
    <row r="1167" spans="1:7" ht="14.5">
      <c r="A1167" s="3">
        <v>21</v>
      </c>
      <c r="B1167" s="4" t="s">
        <v>7</v>
      </c>
      <c r="C1167" s="3">
        <v>25.7</v>
      </c>
      <c r="D1167" s="3">
        <v>2</v>
      </c>
      <c r="E1167" s="4" t="s">
        <v>8</v>
      </c>
      <c r="F1167" s="4" t="s">
        <v>13</v>
      </c>
      <c r="G1167" s="3">
        <v>3279.87</v>
      </c>
    </row>
    <row r="1168" spans="1:7" ht="14.5">
      <c r="A1168" s="3">
        <v>21</v>
      </c>
      <c r="B1168" s="4" t="s">
        <v>10</v>
      </c>
      <c r="C1168" s="3">
        <v>32.700000000000003</v>
      </c>
      <c r="D1168" s="3">
        <v>2</v>
      </c>
      <c r="E1168" s="4" t="s">
        <v>8</v>
      </c>
      <c r="F1168" s="4" t="s">
        <v>9</v>
      </c>
      <c r="G1168" s="3">
        <v>26018.95</v>
      </c>
    </row>
    <row r="1169" spans="1:7" ht="14.5">
      <c r="A1169" s="3">
        <v>21</v>
      </c>
      <c r="B1169" s="4" t="s">
        <v>10</v>
      </c>
      <c r="C1169" s="3">
        <v>34.6</v>
      </c>
      <c r="D1169" s="3">
        <v>0</v>
      </c>
      <c r="E1169" s="4" t="s">
        <v>8</v>
      </c>
      <c r="F1169" s="4" t="s">
        <v>12</v>
      </c>
      <c r="G1169" s="3">
        <v>2020.18</v>
      </c>
    </row>
    <row r="1170" spans="1:7" ht="14.5">
      <c r="A1170" s="3">
        <v>21</v>
      </c>
      <c r="B1170" s="4" t="s">
        <v>7</v>
      </c>
      <c r="C1170" s="3">
        <v>31.3</v>
      </c>
      <c r="D1170" s="3">
        <v>0</v>
      </c>
      <c r="E1170" s="4" t="s">
        <v>8</v>
      </c>
      <c r="F1170" s="4" t="s">
        <v>9</v>
      </c>
      <c r="G1170" s="3">
        <v>1909.53</v>
      </c>
    </row>
    <row r="1171" spans="1:7" ht="14.5">
      <c r="A1171" s="3">
        <v>21</v>
      </c>
      <c r="B1171" s="4" t="s">
        <v>7</v>
      </c>
      <c r="C1171" s="3">
        <v>26</v>
      </c>
      <c r="D1171" s="3">
        <v>0</v>
      </c>
      <c r="E1171" s="4" t="s">
        <v>8</v>
      </c>
      <c r="F1171" s="4" t="s">
        <v>13</v>
      </c>
      <c r="G1171" s="3">
        <v>2102.2600000000002</v>
      </c>
    </row>
    <row r="1172" spans="1:7" ht="14.5">
      <c r="A1172" s="3">
        <v>21</v>
      </c>
      <c r="B1172" s="4" t="s">
        <v>7</v>
      </c>
      <c r="C1172" s="3">
        <v>23.2</v>
      </c>
      <c r="D1172" s="3">
        <v>0</v>
      </c>
      <c r="E1172" s="4" t="s">
        <v>8</v>
      </c>
      <c r="F1172" s="4" t="s">
        <v>14</v>
      </c>
      <c r="G1172" s="3">
        <v>1515.34</v>
      </c>
    </row>
    <row r="1173" spans="1:7" ht="14.5">
      <c r="A1173" s="3">
        <v>21</v>
      </c>
      <c r="B1173" s="4" t="s">
        <v>10</v>
      </c>
      <c r="C1173" s="3">
        <v>25.8</v>
      </c>
      <c r="D1173" s="3">
        <v>0</v>
      </c>
      <c r="E1173" s="4" t="s">
        <v>8</v>
      </c>
      <c r="F1173" s="4" t="s">
        <v>12</v>
      </c>
      <c r="G1173" s="3">
        <v>2007.95</v>
      </c>
    </row>
    <row r="1174" spans="1:7" ht="14.5">
      <c r="A1174" s="3">
        <v>20</v>
      </c>
      <c r="B1174" s="4" t="s">
        <v>10</v>
      </c>
      <c r="C1174" s="3">
        <v>22.4</v>
      </c>
      <c r="D1174" s="3">
        <v>0</v>
      </c>
      <c r="E1174" s="4" t="s">
        <v>11</v>
      </c>
      <c r="F1174" s="4" t="s">
        <v>9</v>
      </c>
      <c r="G1174" s="3">
        <v>14711.74</v>
      </c>
    </row>
    <row r="1175" spans="1:7" ht="14.5">
      <c r="A1175" s="3">
        <v>20</v>
      </c>
      <c r="B1175" s="4" t="s">
        <v>7</v>
      </c>
      <c r="C1175" s="3">
        <v>28</v>
      </c>
      <c r="D1175" s="3">
        <v>1</v>
      </c>
      <c r="E1175" s="4" t="s">
        <v>11</v>
      </c>
      <c r="F1175" s="4" t="s">
        <v>9</v>
      </c>
      <c r="G1175" s="3">
        <v>17560.38</v>
      </c>
    </row>
    <row r="1176" spans="1:7" ht="14.5">
      <c r="A1176" s="3">
        <v>20</v>
      </c>
      <c r="B1176" s="4" t="s">
        <v>10</v>
      </c>
      <c r="C1176" s="3">
        <v>29</v>
      </c>
      <c r="D1176" s="3">
        <v>0</v>
      </c>
      <c r="E1176" s="4" t="s">
        <v>8</v>
      </c>
      <c r="F1176" s="4" t="s">
        <v>9</v>
      </c>
      <c r="G1176" s="3">
        <v>2257.48</v>
      </c>
    </row>
    <row r="1177" spans="1:7" ht="14.5">
      <c r="A1177" s="3">
        <v>20</v>
      </c>
      <c r="B1177" s="4" t="s">
        <v>10</v>
      </c>
      <c r="C1177" s="3">
        <v>28.8</v>
      </c>
      <c r="D1177" s="3">
        <v>0</v>
      </c>
      <c r="E1177" s="4" t="s">
        <v>8</v>
      </c>
      <c r="F1177" s="4" t="s">
        <v>13</v>
      </c>
      <c r="G1177" s="3">
        <v>2457.21</v>
      </c>
    </row>
    <row r="1178" spans="1:7" ht="14.5">
      <c r="A1178" s="3">
        <v>20</v>
      </c>
      <c r="B1178" s="4" t="s">
        <v>10</v>
      </c>
      <c r="C1178" s="3">
        <v>37</v>
      </c>
      <c r="D1178" s="3">
        <v>5</v>
      </c>
      <c r="E1178" s="4" t="s">
        <v>8</v>
      </c>
      <c r="F1178" s="4" t="s">
        <v>12</v>
      </c>
      <c r="G1178" s="3">
        <v>4830.63</v>
      </c>
    </row>
    <row r="1179" spans="1:7" ht="14.5">
      <c r="A1179" s="3">
        <v>20</v>
      </c>
      <c r="B1179" s="4" t="s">
        <v>7</v>
      </c>
      <c r="C1179" s="3">
        <v>33</v>
      </c>
      <c r="D1179" s="3">
        <v>1</v>
      </c>
      <c r="E1179" s="4" t="s">
        <v>8</v>
      </c>
      <c r="F1179" s="4" t="s">
        <v>12</v>
      </c>
      <c r="G1179" s="3">
        <v>1980.07</v>
      </c>
    </row>
    <row r="1180" spans="1:7" ht="14.5">
      <c r="A1180" s="3">
        <v>20</v>
      </c>
      <c r="B1180" s="4" t="s">
        <v>10</v>
      </c>
      <c r="C1180" s="3">
        <v>26.8</v>
      </c>
      <c r="D1180" s="3">
        <v>1</v>
      </c>
      <c r="E1180" s="4" t="s">
        <v>11</v>
      </c>
      <c r="F1180" s="4" t="s">
        <v>14</v>
      </c>
      <c r="G1180" s="3">
        <v>17085.27</v>
      </c>
    </row>
    <row r="1181" spans="1:7" ht="14.5">
      <c r="A1181" s="3">
        <v>20</v>
      </c>
      <c r="B1181" s="4" t="s">
        <v>7</v>
      </c>
      <c r="C1181" s="3">
        <v>33.299999999999997</v>
      </c>
      <c r="D1181" s="3">
        <v>0</v>
      </c>
      <c r="E1181" s="4" t="s">
        <v>8</v>
      </c>
      <c r="F1181" s="4" t="s">
        <v>14</v>
      </c>
      <c r="G1181" s="3">
        <v>1391.53</v>
      </c>
    </row>
    <row r="1182" spans="1:7" ht="14.5">
      <c r="A1182" s="3">
        <v>20</v>
      </c>
      <c r="B1182" s="4" t="s">
        <v>7</v>
      </c>
      <c r="C1182" s="3">
        <v>29.7</v>
      </c>
      <c r="D1182" s="3">
        <v>0</v>
      </c>
      <c r="E1182" s="4" t="s">
        <v>8</v>
      </c>
      <c r="F1182" s="4" t="s">
        <v>9</v>
      </c>
      <c r="G1182" s="3">
        <v>1769.53</v>
      </c>
    </row>
    <row r="1183" spans="1:7" ht="14.5">
      <c r="A1183" s="3">
        <v>20</v>
      </c>
      <c r="B1183" s="4" t="s">
        <v>7</v>
      </c>
      <c r="C1183" s="3">
        <v>27.9</v>
      </c>
      <c r="D1183" s="3">
        <v>0</v>
      </c>
      <c r="E1183" s="4" t="s">
        <v>8</v>
      </c>
      <c r="F1183" s="4" t="s">
        <v>13</v>
      </c>
      <c r="G1183" s="3">
        <v>1967.02</v>
      </c>
    </row>
    <row r="1184" spans="1:7" ht="14.5">
      <c r="A1184" s="3">
        <v>20</v>
      </c>
      <c r="B1184" s="4" t="s">
        <v>7</v>
      </c>
      <c r="C1184" s="3">
        <v>35.299999999999997</v>
      </c>
      <c r="D1184" s="3">
        <v>1</v>
      </c>
      <c r="E1184" s="4" t="s">
        <v>8</v>
      </c>
      <c r="F1184" s="4" t="s">
        <v>14</v>
      </c>
      <c r="G1184" s="3">
        <v>27724.29</v>
      </c>
    </row>
    <row r="1185" spans="1:7" ht="14.5">
      <c r="A1185" s="3">
        <v>20</v>
      </c>
      <c r="B1185" s="4" t="s">
        <v>10</v>
      </c>
      <c r="C1185" s="3">
        <v>31.8</v>
      </c>
      <c r="D1185" s="3">
        <v>2</v>
      </c>
      <c r="E1185" s="4" t="s">
        <v>8</v>
      </c>
      <c r="F1185" s="4" t="s">
        <v>14</v>
      </c>
      <c r="G1185" s="3">
        <v>3056.39</v>
      </c>
    </row>
    <row r="1186" spans="1:7" ht="14.5">
      <c r="A1186" s="3">
        <v>20</v>
      </c>
      <c r="B1186" s="4" t="s">
        <v>7</v>
      </c>
      <c r="C1186" s="3">
        <v>31.1</v>
      </c>
      <c r="D1186" s="3">
        <v>2</v>
      </c>
      <c r="E1186" s="4" t="s">
        <v>8</v>
      </c>
      <c r="F1186" s="4" t="s">
        <v>14</v>
      </c>
      <c r="G1186" s="3">
        <v>2566.4699999999998</v>
      </c>
    </row>
    <row r="1187" spans="1:7" ht="14.5">
      <c r="A1187" s="3">
        <v>20</v>
      </c>
      <c r="B1187" s="4" t="s">
        <v>10</v>
      </c>
      <c r="C1187" s="3">
        <v>33</v>
      </c>
      <c r="D1187" s="3">
        <v>0</v>
      </c>
      <c r="E1187" s="4" t="s">
        <v>8</v>
      </c>
      <c r="F1187" s="4" t="s">
        <v>14</v>
      </c>
      <c r="G1187" s="3">
        <v>1880.07</v>
      </c>
    </row>
    <row r="1188" spans="1:7" ht="14.5">
      <c r="A1188" s="3">
        <v>20</v>
      </c>
      <c r="B1188" s="4" t="s">
        <v>7</v>
      </c>
      <c r="C1188" s="3">
        <v>32.4</v>
      </c>
      <c r="D1188" s="3">
        <v>1</v>
      </c>
      <c r="E1188" s="4" t="s">
        <v>8</v>
      </c>
      <c r="F1188" s="4" t="s">
        <v>9</v>
      </c>
      <c r="G1188" s="3">
        <v>2362.23</v>
      </c>
    </row>
    <row r="1189" spans="1:7" ht="14.5">
      <c r="A1189" s="3">
        <v>20</v>
      </c>
      <c r="B1189" s="4" t="s">
        <v>7</v>
      </c>
      <c r="C1189" s="3">
        <v>40.5</v>
      </c>
      <c r="D1189" s="3">
        <v>0</v>
      </c>
      <c r="E1189" s="4" t="s">
        <v>8</v>
      </c>
      <c r="F1189" s="4" t="s">
        <v>13</v>
      </c>
      <c r="G1189" s="3">
        <v>1984.45</v>
      </c>
    </row>
    <row r="1190" spans="1:7" ht="14.5">
      <c r="A1190" s="3">
        <v>20</v>
      </c>
      <c r="B1190" s="4" t="s">
        <v>10</v>
      </c>
      <c r="C1190" s="3">
        <v>31.5</v>
      </c>
      <c r="D1190" s="3">
        <v>0</v>
      </c>
      <c r="E1190" s="4" t="s">
        <v>8</v>
      </c>
      <c r="F1190" s="4" t="s">
        <v>14</v>
      </c>
      <c r="G1190" s="3">
        <v>1877.93</v>
      </c>
    </row>
    <row r="1191" spans="1:7" ht="14.5">
      <c r="A1191" s="3">
        <v>20</v>
      </c>
      <c r="B1191" s="4" t="s">
        <v>10</v>
      </c>
      <c r="C1191" s="3">
        <v>29.6</v>
      </c>
      <c r="D1191" s="3">
        <v>0</v>
      </c>
      <c r="E1191" s="4" t="s">
        <v>8</v>
      </c>
      <c r="F1191" s="4" t="s">
        <v>12</v>
      </c>
      <c r="G1191" s="3">
        <v>1875.34</v>
      </c>
    </row>
    <row r="1192" spans="1:7" ht="14.5">
      <c r="A1192" s="3">
        <v>20</v>
      </c>
      <c r="B1192" s="4" t="s">
        <v>7</v>
      </c>
      <c r="C1192" s="3">
        <v>30.1</v>
      </c>
      <c r="D1192" s="3">
        <v>5</v>
      </c>
      <c r="E1192" s="4" t="s">
        <v>8</v>
      </c>
      <c r="F1192" s="4" t="s">
        <v>13</v>
      </c>
      <c r="G1192" s="3">
        <v>4915.0600000000004</v>
      </c>
    </row>
    <row r="1193" spans="1:7" ht="14.5">
      <c r="A1193" s="3">
        <v>20</v>
      </c>
      <c r="B1193" s="4" t="s">
        <v>7</v>
      </c>
      <c r="C1193" s="3">
        <v>30.7</v>
      </c>
      <c r="D1193" s="3">
        <v>0</v>
      </c>
      <c r="E1193" s="4" t="s">
        <v>11</v>
      </c>
      <c r="F1193" s="4" t="s">
        <v>13</v>
      </c>
      <c r="G1193" s="3">
        <v>33475.82</v>
      </c>
    </row>
    <row r="1194" spans="1:7" ht="14.5">
      <c r="A1194" s="3">
        <v>20</v>
      </c>
      <c r="B1194" s="4" t="s">
        <v>10</v>
      </c>
      <c r="C1194" s="3">
        <v>31.9</v>
      </c>
      <c r="D1194" s="3">
        <v>0</v>
      </c>
      <c r="E1194" s="4" t="s">
        <v>8</v>
      </c>
      <c r="F1194" s="4" t="s">
        <v>9</v>
      </c>
      <c r="G1194" s="3">
        <v>2261.5700000000002</v>
      </c>
    </row>
    <row r="1195" spans="1:7" ht="14.5">
      <c r="A1195" s="3">
        <v>20</v>
      </c>
      <c r="B1195" s="4" t="s">
        <v>10</v>
      </c>
      <c r="C1195" s="3">
        <v>30.6</v>
      </c>
      <c r="D1195" s="3">
        <v>0</v>
      </c>
      <c r="E1195" s="4" t="s">
        <v>8</v>
      </c>
      <c r="F1195" s="4" t="s">
        <v>13</v>
      </c>
      <c r="G1195" s="3">
        <v>2459.7199999999998</v>
      </c>
    </row>
    <row r="1196" spans="1:7" ht="14.5">
      <c r="A1196" s="3">
        <v>20</v>
      </c>
      <c r="B1196" s="4" t="s">
        <v>7</v>
      </c>
      <c r="C1196" s="3">
        <v>35.6</v>
      </c>
      <c r="D1196" s="3">
        <v>3</v>
      </c>
      <c r="E1196" s="4" t="s">
        <v>11</v>
      </c>
      <c r="F1196" s="4" t="s">
        <v>9</v>
      </c>
      <c r="G1196" s="3">
        <v>37465.339999999997</v>
      </c>
    </row>
    <row r="1197" spans="1:7" ht="14.5">
      <c r="A1197" s="3">
        <v>20</v>
      </c>
      <c r="B1197" s="4" t="s">
        <v>10</v>
      </c>
      <c r="C1197" s="3">
        <v>24.4</v>
      </c>
      <c r="D1197" s="3">
        <v>0</v>
      </c>
      <c r="E1197" s="4" t="s">
        <v>11</v>
      </c>
      <c r="F1197" s="4" t="s">
        <v>14</v>
      </c>
      <c r="G1197" s="3">
        <v>26125.67</v>
      </c>
    </row>
    <row r="1198" spans="1:7" ht="14.5">
      <c r="A1198" s="3">
        <v>20</v>
      </c>
      <c r="B1198" s="4" t="s">
        <v>10</v>
      </c>
      <c r="C1198" s="3">
        <v>21.8</v>
      </c>
      <c r="D1198" s="3">
        <v>0</v>
      </c>
      <c r="E1198" s="4" t="s">
        <v>11</v>
      </c>
      <c r="F1198" s="4" t="s">
        <v>12</v>
      </c>
      <c r="G1198" s="3">
        <v>20167.34</v>
      </c>
    </row>
    <row r="1199" spans="1:7" ht="14.5">
      <c r="A1199" s="3">
        <v>20</v>
      </c>
      <c r="B1199" s="4" t="s">
        <v>7</v>
      </c>
      <c r="C1199" s="3">
        <v>27.3</v>
      </c>
      <c r="D1199" s="3">
        <v>0</v>
      </c>
      <c r="E1199" s="4" t="s">
        <v>11</v>
      </c>
      <c r="F1199" s="4" t="s">
        <v>12</v>
      </c>
      <c r="G1199" s="3">
        <v>16232.85</v>
      </c>
    </row>
    <row r="1200" spans="1:7" ht="14.5">
      <c r="A1200" s="3">
        <v>20</v>
      </c>
      <c r="B1200" s="4" t="s">
        <v>10</v>
      </c>
      <c r="C1200" s="3">
        <v>33.299999999999997</v>
      </c>
      <c r="D1200" s="3">
        <v>0</v>
      </c>
      <c r="E1200" s="4" t="s">
        <v>8</v>
      </c>
      <c r="F1200" s="4" t="s">
        <v>12</v>
      </c>
      <c r="G1200" s="3">
        <v>1880.49</v>
      </c>
    </row>
    <row r="1201" spans="1:7" ht="14.5">
      <c r="A1201" s="3">
        <v>20</v>
      </c>
      <c r="B1201" s="4" t="s">
        <v>7</v>
      </c>
      <c r="C1201" s="3">
        <v>39.4</v>
      </c>
      <c r="D1201" s="3">
        <v>2</v>
      </c>
      <c r="E1201" s="4" t="s">
        <v>11</v>
      </c>
      <c r="F1201" s="4" t="s">
        <v>12</v>
      </c>
      <c r="G1201" s="3">
        <v>38344.57</v>
      </c>
    </row>
    <row r="1202" spans="1:7" ht="14.5">
      <c r="A1202" s="3">
        <v>20</v>
      </c>
      <c r="B1202" s="4" t="s">
        <v>7</v>
      </c>
      <c r="C1202" s="3">
        <v>22</v>
      </c>
      <c r="D1202" s="3">
        <v>1</v>
      </c>
      <c r="E1202" s="4" t="s">
        <v>8</v>
      </c>
      <c r="F1202" s="4" t="s">
        <v>12</v>
      </c>
      <c r="G1202" s="3">
        <v>1964.78</v>
      </c>
    </row>
    <row r="1203" spans="1:7" ht="14.5">
      <c r="A1203" s="3">
        <v>19</v>
      </c>
      <c r="B1203" s="4" t="s">
        <v>10</v>
      </c>
      <c r="C1203" s="3">
        <v>27.9</v>
      </c>
      <c r="D1203" s="3">
        <v>0</v>
      </c>
      <c r="E1203" s="4" t="s">
        <v>11</v>
      </c>
      <c r="F1203" s="4" t="s">
        <v>12</v>
      </c>
      <c r="G1203" s="3">
        <v>16884.919999999998</v>
      </c>
    </row>
    <row r="1204" spans="1:7" ht="14.5">
      <c r="A1204" s="3">
        <v>19</v>
      </c>
      <c r="B1204" s="4" t="s">
        <v>7</v>
      </c>
      <c r="C1204" s="3">
        <v>24.6</v>
      </c>
      <c r="D1204" s="3">
        <v>1</v>
      </c>
      <c r="E1204" s="4" t="s">
        <v>8</v>
      </c>
      <c r="F1204" s="4" t="s">
        <v>12</v>
      </c>
      <c r="G1204" s="3">
        <v>1837.24</v>
      </c>
    </row>
    <row r="1205" spans="1:7" ht="14.5">
      <c r="A1205" s="3">
        <v>19</v>
      </c>
      <c r="B1205" s="4" t="s">
        <v>10</v>
      </c>
      <c r="C1205" s="3">
        <v>28.6</v>
      </c>
      <c r="D1205" s="3">
        <v>5</v>
      </c>
      <c r="E1205" s="4" t="s">
        <v>8</v>
      </c>
      <c r="F1205" s="4" t="s">
        <v>12</v>
      </c>
      <c r="G1205" s="3">
        <v>4687.8</v>
      </c>
    </row>
    <row r="1206" spans="1:7" ht="14.5">
      <c r="A1206" s="3">
        <v>19</v>
      </c>
      <c r="B1206" s="4" t="s">
        <v>7</v>
      </c>
      <c r="C1206" s="3">
        <v>20.399999999999999</v>
      </c>
      <c r="D1206" s="3">
        <v>0</v>
      </c>
      <c r="E1206" s="4" t="s">
        <v>8</v>
      </c>
      <c r="F1206" s="4" t="s">
        <v>9</v>
      </c>
      <c r="G1206" s="3">
        <v>1625.43</v>
      </c>
    </row>
    <row r="1207" spans="1:7" ht="14.5">
      <c r="A1207" s="3">
        <v>19</v>
      </c>
      <c r="B1207" s="4" t="s">
        <v>10</v>
      </c>
      <c r="C1207" s="3">
        <v>28.9</v>
      </c>
      <c r="D1207" s="3">
        <v>0</v>
      </c>
      <c r="E1207" s="4" t="s">
        <v>8</v>
      </c>
      <c r="F1207" s="4" t="s">
        <v>12</v>
      </c>
      <c r="G1207" s="3">
        <v>1743.21</v>
      </c>
    </row>
    <row r="1208" spans="1:7" ht="14.5">
      <c r="A1208" s="3">
        <v>19</v>
      </c>
      <c r="B1208" s="4" t="s">
        <v>10</v>
      </c>
      <c r="C1208" s="3">
        <v>28.4</v>
      </c>
      <c r="D1208" s="3">
        <v>1</v>
      </c>
      <c r="E1208" s="4" t="s">
        <v>8</v>
      </c>
      <c r="F1208" s="4" t="s">
        <v>12</v>
      </c>
      <c r="G1208" s="3">
        <v>2331.52</v>
      </c>
    </row>
    <row r="1209" spans="1:7" ht="14.5">
      <c r="A1209" s="3">
        <v>19</v>
      </c>
      <c r="B1209" s="4" t="s">
        <v>10</v>
      </c>
      <c r="C1209" s="3">
        <v>28.3</v>
      </c>
      <c r="D1209" s="3">
        <v>0</v>
      </c>
      <c r="E1209" s="4" t="s">
        <v>11</v>
      </c>
      <c r="F1209" s="4" t="s">
        <v>12</v>
      </c>
      <c r="G1209" s="3">
        <v>17081.080000000002</v>
      </c>
    </row>
    <row r="1210" spans="1:7" ht="14.5">
      <c r="A1210" s="3">
        <v>19</v>
      </c>
      <c r="B1210" s="4" t="s">
        <v>7</v>
      </c>
      <c r="C1210" s="3">
        <v>25.6</v>
      </c>
      <c r="D1210" s="3">
        <v>0</v>
      </c>
      <c r="E1210" s="4" t="s">
        <v>8</v>
      </c>
      <c r="F1210" s="4" t="s">
        <v>9</v>
      </c>
      <c r="G1210" s="3">
        <v>1632.56</v>
      </c>
    </row>
    <row r="1211" spans="1:7" ht="14.5">
      <c r="A1211" s="3">
        <v>19</v>
      </c>
      <c r="B1211" s="4" t="s">
        <v>7</v>
      </c>
      <c r="C1211" s="3">
        <v>34.1</v>
      </c>
      <c r="D1211" s="3">
        <v>0</v>
      </c>
      <c r="E1211" s="4" t="s">
        <v>8</v>
      </c>
      <c r="F1211" s="4" t="s">
        <v>12</v>
      </c>
      <c r="G1211" s="3">
        <v>1261.44</v>
      </c>
    </row>
    <row r="1212" spans="1:7" ht="14.5">
      <c r="A1212" s="3">
        <v>19</v>
      </c>
      <c r="B1212" s="4" t="s">
        <v>7</v>
      </c>
      <c r="C1212" s="3">
        <v>28.4</v>
      </c>
      <c r="D1212" s="3">
        <v>1</v>
      </c>
      <c r="E1212" s="4" t="s">
        <v>8</v>
      </c>
      <c r="F1212" s="4" t="s">
        <v>12</v>
      </c>
      <c r="G1212" s="3">
        <v>1842.52</v>
      </c>
    </row>
    <row r="1213" spans="1:7" ht="14.5">
      <c r="A1213" s="3">
        <v>19</v>
      </c>
      <c r="B1213" s="4" t="s">
        <v>10</v>
      </c>
      <c r="C1213" s="3">
        <v>31.8</v>
      </c>
      <c r="D1213" s="3">
        <v>1</v>
      </c>
      <c r="E1213" s="4" t="s">
        <v>8</v>
      </c>
      <c r="F1213" s="4" t="s">
        <v>9</v>
      </c>
      <c r="G1213" s="3">
        <v>2719.28</v>
      </c>
    </row>
    <row r="1214" spans="1:7" ht="14.5">
      <c r="A1214" s="3">
        <v>19</v>
      </c>
      <c r="B1214" s="4" t="s">
        <v>7</v>
      </c>
      <c r="C1214" s="3">
        <v>30.6</v>
      </c>
      <c r="D1214" s="3">
        <v>0</v>
      </c>
      <c r="E1214" s="4" t="s">
        <v>8</v>
      </c>
      <c r="F1214" s="4" t="s">
        <v>9</v>
      </c>
      <c r="G1214" s="3">
        <v>1639.56</v>
      </c>
    </row>
    <row r="1215" spans="1:7" ht="14.5">
      <c r="A1215" s="3">
        <v>19</v>
      </c>
      <c r="B1215" s="4" t="s">
        <v>10</v>
      </c>
      <c r="C1215" s="3">
        <v>32.1</v>
      </c>
      <c r="D1215" s="3">
        <v>0</v>
      </c>
      <c r="E1215" s="4" t="s">
        <v>8</v>
      </c>
      <c r="F1215" s="4" t="s">
        <v>9</v>
      </c>
      <c r="G1215" s="3">
        <v>2130.6799999999998</v>
      </c>
    </row>
    <row r="1216" spans="1:7" ht="14.5">
      <c r="A1216" s="3">
        <v>19</v>
      </c>
      <c r="B1216" s="4" t="s">
        <v>7</v>
      </c>
      <c r="C1216" s="3">
        <v>34.799999999999997</v>
      </c>
      <c r="D1216" s="3">
        <v>0</v>
      </c>
      <c r="E1216" s="4" t="s">
        <v>11</v>
      </c>
      <c r="F1216" s="4" t="s">
        <v>12</v>
      </c>
      <c r="G1216" s="3">
        <v>34779.620000000003</v>
      </c>
    </row>
    <row r="1217" spans="1:7" ht="14.5">
      <c r="A1217" s="3">
        <v>19</v>
      </c>
      <c r="B1217" s="4" t="s">
        <v>10</v>
      </c>
      <c r="C1217" s="3">
        <v>17.8</v>
      </c>
      <c r="D1217" s="3">
        <v>0</v>
      </c>
      <c r="E1217" s="4" t="s">
        <v>8</v>
      </c>
      <c r="F1217" s="4" t="s">
        <v>12</v>
      </c>
      <c r="G1217" s="3">
        <v>1727.79</v>
      </c>
    </row>
    <row r="1218" spans="1:7" ht="14.5">
      <c r="A1218" s="3">
        <v>19</v>
      </c>
      <c r="B1218" s="4" t="s">
        <v>7</v>
      </c>
      <c r="C1218" s="3">
        <v>29.1</v>
      </c>
      <c r="D1218" s="3">
        <v>0</v>
      </c>
      <c r="E1218" s="4" t="s">
        <v>11</v>
      </c>
      <c r="F1218" s="4" t="s">
        <v>9</v>
      </c>
      <c r="G1218" s="3">
        <v>17352.68</v>
      </c>
    </row>
    <row r="1219" spans="1:7" ht="14.5">
      <c r="A1219" s="3">
        <v>19</v>
      </c>
      <c r="B1219" s="4" t="s">
        <v>7</v>
      </c>
      <c r="C1219" s="3">
        <v>20.9</v>
      </c>
      <c r="D1219" s="3">
        <v>1</v>
      </c>
      <c r="E1219" s="4" t="s">
        <v>8</v>
      </c>
      <c r="F1219" s="4" t="s">
        <v>12</v>
      </c>
      <c r="G1219" s="3">
        <v>1832.09</v>
      </c>
    </row>
    <row r="1220" spans="1:7" ht="14.5">
      <c r="A1220" s="3">
        <v>19</v>
      </c>
      <c r="B1220" s="4" t="s">
        <v>7</v>
      </c>
      <c r="C1220" s="3">
        <v>31.9</v>
      </c>
      <c r="D1220" s="3">
        <v>0</v>
      </c>
      <c r="E1220" s="4" t="s">
        <v>11</v>
      </c>
      <c r="F1220" s="4" t="s">
        <v>9</v>
      </c>
      <c r="G1220" s="3">
        <v>33750.29</v>
      </c>
    </row>
    <row r="1221" spans="1:7" ht="14.5">
      <c r="A1221" s="3">
        <v>19</v>
      </c>
      <c r="B1221" s="4" t="s">
        <v>7</v>
      </c>
      <c r="C1221" s="3">
        <v>37</v>
      </c>
      <c r="D1221" s="3">
        <v>0</v>
      </c>
      <c r="E1221" s="4" t="s">
        <v>11</v>
      </c>
      <c r="F1221" s="4" t="s">
        <v>9</v>
      </c>
      <c r="G1221" s="3">
        <v>36219.410000000003</v>
      </c>
    </row>
    <row r="1222" spans="1:7" ht="14.5">
      <c r="A1222" s="3">
        <v>19</v>
      </c>
      <c r="B1222" s="4" t="s">
        <v>7</v>
      </c>
      <c r="C1222" s="3">
        <v>20.6</v>
      </c>
      <c r="D1222" s="3">
        <v>2</v>
      </c>
      <c r="E1222" s="4" t="s">
        <v>8</v>
      </c>
      <c r="F1222" s="4" t="s">
        <v>9</v>
      </c>
      <c r="G1222" s="3">
        <v>2803.7</v>
      </c>
    </row>
    <row r="1223" spans="1:7" ht="14.5">
      <c r="A1223" s="3">
        <v>19</v>
      </c>
      <c r="B1223" s="4" t="s">
        <v>7</v>
      </c>
      <c r="C1223" s="3">
        <v>27.7</v>
      </c>
      <c r="D1223" s="3">
        <v>0</v>
      </c>
      <c r="E1223" s="4" t="s">
        <v>11</v>
      </c>
      <c r="F1223" s="4" t="s">
        <v>12</v>
      </c>
      <c r="G1223" s="3">
        <v>16297.85</v>
      </c>
    </row>
    <row r="1224" spans="1:7" ht="14.5">
      <c r="A1224" s="3">
        <v>19</v>
      </c>
      <c r="B1224" s="4" t="s">
        <v>10</v>
      </c>
      <c r="C1224" s="3">
        <v>24.7</v>
      </c>
      <c r="D1224" s="3">
        <v>0</v>
      </c>
      <c r="E1224" s="4" t="s">
        <v>8</v>
      </c>
      <c r="F1224" s="4" t="s">
        <v>12</v>
      </c>
      <c r="G1224" s="3">
        <v>1737.38</v>
      </c>
    </row>
    <row r="1225" spans="1:7" ht="14.5">
      <c r="A1225" s="3">
        <v>19</v>
      </c>
      <c r="B1225" s="4" t="s">
        <v>7</v>
      </c>
      <c r="C1225" s="3">
        <v>27.8</v>
      </c>
      <c r="D1225" s="3">
        <v>0</v>
      </c>
      <c r="E1225" s="4" t="s">
        <v>8</v>
      </c>
      <c r="F1225" s="4" t="s">
        <v>9</v>
      </c>
      <c r="G1225" s="3">
        <v>1635.73</v>
      </c>
    </row>
    <row r="1226" spans="1:7" ht="14.5">
      <c r="A1226" s="3">
        <v>19</v>
      </c>
      <c r="B1226" s="4" t="s">
        <v>10</v>
      </c>
      <c r="C1226" s="3">
        <v>21.7</v>
      </c>
      <c r="D1226" s="3">
        <v>0</v>
      </c>
      <c r="E1226" s="4" t="s">
        <v>11</v>
      </c>
      <c r="F1226" s="4" t="s">
        <v>12</v>
      </c>
      <c r="G1226" s="3">
        <v>13844.51</v>
      </c>
    </row>
    <row r="1227" spans="1:7" ht="14.5">
      <c r="A1227" s="3">
        <v>19</v>
      </c>
      <c r="B1227" s="4" t="s">
        <v>7</v>
      </c>
      <c r="C1227" s="3">
        <v>34.4</v>
      </c>
      <c r="D1227" s="3">
        <v>0</v>
      </c>
      <c r="E1227" s="4" t="s">
        <v>8</v>
      </c>
      <c r="F1227" s="4" t="s">
        <v>12</v>
      </c>
      <c r="G1227" s="3">
        <v>1261.8599999999999</v>
      </c>
    </row>
    <row r="1228" spans="1:7" ht="14.5">
      <c r="A1228" s="3">
        <v>19</v>
      </c>
      <c r="B1228" s="4" t="s">
        <v>10</v>
      </c>
      <c r="C1228" s="3">
        <v>37.4</v>
      </c>
      <c r="D1228" s="3">
        <v>0</v>
      </c>
      <c r="E1228" s="4" t="s">
        <v>8</v>
      </c>
      <c r="F1228" s="4" t="s">
        <v>9</v>
      </c>
      <c r="G1228" s="3">
        <v>2138.0700000000002</v>
      </c>
    </row>
    <row r="1229" spans="1:7" ht="14.5">
      <c r="A1229" s="3">
        <v>19</v>
      </c>
      <c r="B1229" s="4" t="s">
        <v>7</v>
      </c>
      <c r="C1229" s="3">
        <v>17.5</v>
      </c>
      <c r="D1229" s="3">
        <v>0</v>
      </c>
      <c r="E1229" s="4" t="s">
        <v>8</v>
      </c>
      <c r="F1229" s="4" t="s">
        <v>9</v>
      </c>
      <c r="G1229" s="3">
        <v>1621.34</v>
      </c>
    </row>
    <row r="1230" spans="1:7" ht="14.5">
      <c r="A1230" s="3">
        <v>19</v>
      </c>
      <c r="B1230" s="4" t="s">
        <v>10</v>
      </c>
      <c r="C1230" s="3">
        <v>35.200000000000003</v>
      </c>
      <c r="D1230" s="3">
        <v>0</v>
      </c>
      <c r="E1230" s="4" t="s">
        <v>8</v>
      </c>
      <c r="F1230" s="4" t="s">
        <v>9</v>
      </c>
      <c r="G1230" s="3">
        <v>2134.9</v>
      </c>
    </row>
    <row r="1231" spans="1:7" ht="14.5">
      <c r="A1231" s="3">
        <v>19</v>
      </c>
      <c r="B1231" s="4" t="s">
        <v>7</v>
      </c>
      <c r="C1231" s="3">
        <v>33.1</v>
      </c>
      <c r="D1231" s="3">
        <v>0</v>
      </c>
      <c r="E1231" s="4" t="s">
        <v>8</v>
      </c>
      <c r="F1231" s="4" t="s">
        <v>12</v>
      </c>
      <c r="G1231" s="3">
        <v>23082.959999999999</v>
      </c>
    </row>
    <row r="1232" spans="1:7" ht="14.5">
      <c r="A1232" s="3">
        <v>19</v>
      </c>
      <c r="B1232" s="4" t="s">
        <v>7</v>
      </c>
      <c r="C1232" s="3">
        <v>25.2</v>
      </c>
      <c r="D1232" s="3">
        <v>0</v>
      </c>
      <c r="E1232" s="4" t="s">
        <v>8</v>
      </c>
      <c r="F1232" s="4" t="s">
        <v>9</v>
      </c>
      <c r="G1232" s="3">
        <v>1632.04</v>
      </c>
    </row>
    <row r="1233" spans="1:7" ht="14.5">
      <c r="A1233" s="3">
        <v>19</v>
      </c>
      <c r="B1233" s="4" t="s">
        <v>10</v>
      </c>
      <c r="C1233" s="3">
        <v>29.8</v>
      </c>
      <c r="D1233" s="3">
        <v>0</v>
      </c>
      <c r="E1233" s="4" t="s">
        <v>8</v>
      </c>
      <c r="F1233" s="4" t="s">
        <v>12</v>
      </c>
      <c r="G1233" s="3">
        <v>1744.47</v>
      </c>
    </row>
    <row r="1234" spans="1:7" ht="14.5">
      <c r="A1234" s="3">
        <v>19</v>
      </c>
      <c r="B1234" s="4" t="s">
        <v>7</v>
      </c>
      <c r="C1234" s="3">
        <v>28.7</v>
      </c>
      <c r="D1234" s="3">
        <v>0</v>
      </c>
      <c r="E1234" s="4" t="s">
        <v>8</v>
      </c>
      <c r="F1234" s="4" t="s">
        <v>12</v>
      </c>
      <c r="G1234" s="3">
        <v>1253.94</v>
      </c>
    </row>
    <row r="1235" spans="1:7" ht="14.5">
      <c r="A1235" s="3">
        <v>19</v>
      </c>
      <c r="B1235" s="4" t="s">
        <v>10</v>
      </c>
      <c r="C1235" s="3">
        <v>32.9</v>
      </c>
      <c r="D1235" s="3">
        <v>0</v>
      </c>
      <c r="E1235" s="4" t="s">
        <v>8</v>
      </c>
      <c r="F1235" s="4" t="s">
        <v>12</v>
      </c>
      <c r="G1235" s="3">
        <v>1748.77</v>
      </c>
    </row>
    <row r="1236" spans="1:7" ht="14.5">
      <c r="A1236" s="3">
        <v>19</v>
      </c>
      <c r="B1236" s="4" t="s">
        <v>7</v>
      </c>
      <c r="C1236" s="3">
        <v>30.3</v>
      </c>
      <c r="D1236" s="3">
        <v>0</v>
      </c>
      <c r="E1236" s="4" t="s">
        <v>11</v>
      </c>
      <c r="F1236" s="4" t="s">
        <v>14</v>
      </c>
      <c r="G1236" s="3">
        <v>32548.34</v>
      </c>
    </row>
    <row r="1237" spans="1:7" ht="14.5">
      <c r="A1237" s="3">
        <v>19</v>
      </c>
      <c r="B1237" s="4" t="s">
        <v>7</v>
      </c>
      <c r="C1237" s="3">
        <v>30.4</v>
      </c>
      <c r="D1237" s="3">
        <v>0</v>
      </c>
      <c r="E1237" s="4" t="s">
        <v>8</v>
      </c>
      <c r="F1237" s="4" t="s">
        <v>12</v>
      </c>
      <c r="G1237" s="3">
        <v>1256.3</v>
      </c>
    </row>
    <row r="1238" spans="1:7" ht="14.5">
      <c r="A1238" s="3">
        <v>19</v>
      </c>
      <c r="B1238" s="4" t="s">
        <v>10</v>
      </c>
      <c r="C1238" s="3">
        <v>30.6</v>
      </c>
      <c r="D1238" s="3">
        <v>2</v>
      </c>
      <c r="E1238" s="4" t="s">
        <v>8</v>
      </c>
      <c r="F1238" s="4" t="s">
        <v>9</v>
      </c>
      <c r="G1238" s="3">
        <v>24059.68</v>
      </c>
    </row>
    <row r="1239" spans="1:7" ht="14.5">
      <c r="A1239" s="3">
        <v>19</v>
      </c>
      <c r="B1239" s="4" t="s">
        <v>7</v>
      </c>
      <c r="C1239" s="3">
        <v>35.5</v>
      </c>
      <c r="D1239" s="3">
        <v>0</v>
      </c>
      <c r="E1239" s="4" t="s">
        <v>8</v>
      </c>
      <c r="F1239" s="4" t="s">
        <v>9</v>
      </c>
      <c r="G1239" s="3">
        <v>1646.43</v>
      </c>
    </row>
    <row r="1240" spans="1:7" ht="14.5">
      <c r="A1240" s="3">
        <v>19</v>
      </c>
      <c r="B1240" s="4" t="s">
        <v>10</v>
      </c>
      <c r="C1240" s="3">
        <v>30.5</v>
      </c>
      <c r="D1240" s="3">
        <v>0</v>
      </c>
      <c r="E1240" s="4" t="s">
        <v>8</v>
      </c>
      <c r="F1240" s="4" t="s">
        <v>9</v>
      </c>
      <c r="G1240" s="3">
        <v>2128.4299999999998</v>
      </c>
    </row>
    <row r="1241" spans="1:7" ht="14.5">
      <c r="A1241" s="3">
        <v>19</v>
      </c>
      <c r="B1241" s="4" t="s">
        <v>7</v>
      </c>
      <c r="C1241" s="3">
        <v>30.6</v>
      </c>
      <c r="D1241" s="3">
        <v>0</v>
      </c>
      <c r="E1241" s="4" t="s">
        <v>8</v>
      </c>
      <c r="F1241" s="4" t="s">
        <v>9</v>
      </c>
      <c r="G1241" s="3">
        <v>1639.56</v>
      </c>
    </row>
    <row r="1242" spans="1:7" ht="14.5">
      <c r="A1242" s="3">
        <v>19</v>
      </c>
      <c r="B1242" s="4" t="s">
        <v>7</v>
      </c>
      <c r="C1242" s="3">
        <v>20.7</v>
      </c>
      <c r="D1242" s="3">
        <v>0</v>
      </c>
      <c r="E1242" s="4" t="s">
        <v>8</v>
      </c>
      <c r="F1242" s="4" t="s">
        <v>12</v>
      </c>
      <c r="G1242" s="3">
        <v>1242.82</v>
      </c>
    </row>
    <row r="1243" spans="1:7" ht="14.5">
      <c r="A1243" s="3">
        <v>19</v>
      </c>
      <c r="B1243" s="4" t="s">
        <v>10</v>
      </c>
      <c r="C1243" s="3">
        <v>28.3</v>
      </c>
      <c r="D1243" s="3">
        <v>0</v>
      </c>
      <c r="E1243" s="4" t="s">
        <v>11</v>
      </c>
      <c r="F1243" s="4" t="s">
        <v>9</v>
      </c>
      <c r="G1243" s="3">
        <v>17468.98</v>
      </c>
    </row>
    <row r="1244" spans="1:7" ht="14.5">
      <c r="A1244" s="3">
        <v>19</v>
      </c>
      <c r="B1244" s="4" t="s">
        <v>10</v>
      </c>
      <c r="C1244" s="3">
        <v>33.1</v>
      </c>
      <c r="D1244" s="3">
        <v>0</v>
      </c>
      <c r="E1244" s="4" t="s">
        <v>11</v>
      </c>
      <c r="F1244" s="4" t="s">
        <v>14</v>
      </c>
      <c r="G1244" s="3">
        <v>34439.86</v>
      </c>
    </row>
    <row r="1245" spans="1:7" ht="14.5">
      <c r="A1245" s="3">
        <v>19</v>
      </c>
      <c r="B1245" s="4" t="s">
        <v>10</v>
      </c>
      <c r="C1245" s="3">
        <v>24.5</v>
      </c>
      <c r="D1245" s="3">
        <v>1</v>
      </c>
      <c r="E1245" s="4" t="s">
        <v>8</v>
      </c>
      <c r="F1245" s="4" t="s">
        <v>9</v>
      </c>
      <c r="G1245" s="3">
        <v>2709.11</v>
      </c>
    </row>
    <row r="1246" spans="1:7" ht="14.5">
      <c r="A1246" s="3">
        <v>19</v>
      </c>
      <c r="B1246" s="4" t="s">
        <v>7</v>
      </c>
      <c r="C1246" s="3">
        <v>20.3</v>
      </c>
      <c r="D1246" s="3">
        <v>0</v>
      </c>
      <c r="E1246" s="4" t="s">
        <v>8</v>
      </c>
      <c r="F1246" s="4" t="s">
        <v>12</v>
      </c>
      <c r="G1246" s="3">
        <v>1242.26</v>
      </c>
    </row>
    <row r="1247" spans="1:7" ht="14.5">
      <c r="A1247" s="3">
        <v>19</v>
      </c>
      <c r="B1247" s="4" t="s">
        <v>7</v>
      </c>
      <c r="C1247" s="3">
        <v>35.4</v>
      </c>
      <c r="D1247" s="3">
        <v>0</v>
      </c>
      <c r="E1247" s="4" t="s">
        <v>8</v>
      </c>
      <c r="F1247" s="4" t="s">
        <v>12</v>
      </c>
      <c r="G1247" s="3">
        <v>1263.25</v>
      </c>
    </row>
    <row r="1248" spans="1:7" ht="14.5">
      <c r="A1248" s="3">
        <v>19</v>
      </c>
      <c r="B1248" s="4" t="s">
        <v>7</v>
      </c>
      <c r="C1248" s="3">
        <v>21.8</v>
      </c>
      <c r="D1248" s="3">
        <v>0</v>
      </c>
      <c r="E1248" s="4" t="s">
        <v>8</v>
      </c>
      <c r="F1248" s="4" t="s">
        <v>9</v>
      </c>
      <c r="G1248" s="3">
        <v>1627.28</v>
      </c>
    </row>
    <row r="1249" spans="1:7" ht="14.5">
      <c r="A1249" s="3">
        <v>19</v>
      </c>
      <c r="B1249" s="4" t="s">
        <v>10</v>
      </c>
      <c r="C1249" s="3">
        <v>28.9</v>
      </c>
      <c r="D1249" s="3">
        <v>0</v>
      </c>
      <c r="E1249" s="4" t="s">
        <v>11</v>
      </c>
      <c r="F1249" s="4" t="s">
        <v>9</v>
      </c>
      <c r="G1249" s="3">
        <v>17748.509999999998</v>
      </c>
    </row>
    <row r="1250" spans="1:7" ht="14.5">
      <c r="A1250" s="3">
        <v>19</v>
      </c>
      <c r="B1250" s="4" t="s">
        <v>7</v>
      </c>
      <c r="C1250" s="3">
        <v>27.6</v>
      </c>
      <c r="D1250" s="3">
        <v>0</v>
      </c>
      <c r="E1250" s="4" t="s">
        <v>8</v>
      </c>
      <c r="F1250" s="4" t="s">
        <v>12</v>
      </c>
      <c r="G1250" s="3">
        <v>1252.4100000000001</v>
      </c>
    </row>
    <row r="1251" spans="1:7" ht="14.5">
      <c r="A1251" s="3">
        <v>19</v>
      </c>
      <c r="B1251" s="4" t="s">
        <v>10</v>
      </c>
      <c r="C1251" s="3">
        <v>36.6</v>
      </c>
      <c r="D1251" s="3">
        <v>0</v>
      </c>
      <c r="E1251" s="4" t="s">
        <v>8</v>
      </c>
      <c r="F1251" s="4" t="s">
        <v>9</v>
      </c>
      <c r="G1251" s="3">
        <v>2136.88</v>
      </c>
    </row>
    <row r="1252" spans="1:7" ht="14.5">
      <c r="A1252" s="3">
        <v>19</v>
      </c>
      <c r="B1252" s="4" t="s">
        <v>7</v>
      </c>
      <c r="C1252" s="3">
        <v>25.6</v>
      </c>
      <c r="D1252" s="3">
        <v>1</v>
      </c>
      <c r="E1252" s="4" t="s">
        <v>8</v>
      </c>
      <c r="F1252" s="4" t="s">
        <v>9</v>
      </c>
      <c r="G1252" s="3">
        <v>2221.56</v>
      </c>
    </row>
    <row r="1253" spans="1:7" ht="14.5">
      <c r="A1253" s="3">
        <v>19</v>
      </c>
      <c r="B1253" s="4" t="s">
        <v>10</v>
      </c>
      <c r="C1253" s="3">
        <v>22.5</v>
      </c>
      <c r="D1253" s="3">
        <v>0</v>
      </c>
      <c r="E1253" s="4" t="s">
        <v>8</v>
      </c>
      <c r="F1253" s="4" t="s">
        <v>9</v>
      </c>
      <c r="G1253" s="3">
        <v>2117.34</v>
      </c>
    </row>
    <row r="1254" spans="1:7" ht="14.5">
      <c r="A1254" s="3">
        <v>19</v>
      </c>
      <c r="B1254" s="4" t="s">
        <v>10</v>
      </c>
      <c r="C1254" s="3">
        <v>23.4</v>
      </c>
      <c r="D1254" s="3">
        <v>2</v>
      </c>
      <c r="E1254" s="4" t="s">
        <v>8</v>
      </c>
      <c r="F1254" s="4" t="s">
        <v>12</v>
      </c>
      <c r="G1254" s="3">
        <v>2913.57</v>
      </c>
    </row>
    <row r="1255" spans="1:7" ht="14.5">
      <c r="A1255" s="3">
        <v>19</v>
      </c>
      <c r="B1255" s="4" t="s">
        <v>7</v>
      </c>
      <c r="C1255" s="3">
        <v>22.6</v>
      </c>
      <c r="D1255" s="3">
        <v>0</v>
      </c>
      <c r="E1255" s="4" t="s">
        <v>8</v>
      </c>
      <c r="F1255" s="4" t="s">
        <v>9</v>
      </c>
      <c r="G1255" s="3">
        <v>1628.47</v>
      </c>
    </row>
    <row r="1256" spans="1:7" ht="14.5">
      <c r="A1256" s="3">
        <v>19</v>
      </c>
      <c r="B1256" s="4" t="s">
        <v>10</v>
      </c>
      <c r="C1256" s="3">
        <v>39.6</v>
      </c>
      <c r="D1256" s="3">
        <v>1</v>
      </c>
      <c r="E1256" s="4" t="s">
        <v>8</v>
      </c>
      <c r="F1256" s="4" t="s">
        <v>9</v>
      </c>
      <c r="G1256" s="3">
        <v>2730.11</v>
      </c>
    </row>
    <row r="1257" spans="1:7" ht="14.5">
      <c r="A1257" s="3">
        <v>19</v>
      </c>
      <c r="B1257" s="4" t="s">
        <v>10</v>
      </c>
      <c r="C1257" s="3">
        <v>40.5</v>
      </c>
      <c r="D1257" s="3">
        <v>0</v>
      </c>
      <c r="E1257" s="4" t="s">
        <v>8</v>
      </c>
      <c r="F1257" s="4" t="s">
        <v>12</v>
      </c>
      <c r="G1257" s="3">
        <v>1759.34</v>
      </c>
    </row>
    <row r="1258" spans="1:7" ht="14.5">
      <c r="A1258" s="3">
        <v>19</v>
      </c>
      <c r="B1258" s="4" t="s">
        <v>10</v>
      </c>
      <c r="C1258" s="3">
        <v>24.6</v>
      </c>
      <c r="D1258" s="3">
        <v>1</v>
      </c>
      <c r="E1258" s="4" t="s">
        <v>8</v>
      </c>
      <c r="F1258" s="4" t="s">
        <v>9</v>
      </c>
      <c r="G1258" s="3">
        <v>2709.24</v>
      </c>
    </row>
    <row r="1259" spans="1:7" ht="14.5">
      <c r="A1259" s="3">
        <v>19</v>
      </c>
      <c r="B1259" s="4" t="s">
        <v>7</v>
      </c>
      <c r="C1259" s="3">
        <v>26</v>
      </c>
      <c r="D1259" s="3">
        <v>1</v>
      </c>
      <c r="E1259" s="4" t="s">
        <v>11</v>
      </c>
      <c r="F1259" s="4" t="s">
        <v>9</v>
      </c>
      <c r="G1259" s="3">
        <v>16450.89</v>
      </c>
    </row>
    <row r="1260" spans="1:7" ht="14.5">
      <c r="A1260" s="3">
        <v>19</v>
      </c>
      <c r="B1260" s="4" t="s">
        <v>7</v>
      </c>
      <c r="C1260" s="3">
        <v>27.3</v>
      </c>
      <c r="D1260" s="3">
        <v>2</v>
      </c>
      <c r="E1260" s="4" t="s">
        <v>8</v>
      </c>
      <c r="F1260" s="4" t="s">
        <v>9</v>
      </c>
      <c r="G1260" s="3">
        <v>22493.66</v>
      </c>
    </row>
    <row r="1261" spans="1:7" ht="14.5">
      <c r="A1261" s="3">
        <v>19</v>
      </c>
      <c r="B1261" s="4" t="s">
        <v>10</v>
      </c>
      <c r="C1261" s="3">
        <v>18.600000000000001</v>
      </c>
      <c r="D1261" s="3">
        <v>0</v>
      </c>
      <c r="E1261" s="4" t="s">
        <v>8</v>
      </c>
      <c r="F1261" s="4" t="s">
        <v>12</v>
      </c>
      <c r="G1261" s="3">
        <v>1728.9</v>
      </c>
    </row>
    <row r="1262" spans="1:7" ht="14.5">
      <c r="A1262" s="3">
        <v>19</v>
      </c>
      <c r="B1262" s="4" t="s">
        <v>10</v>
      </c>
      <c r="C1262" s="3">
        <v>32.5</v>
      </c>
      <c r="D1262" s="3">
        <v>0</v>
      </c>
      <c r="E1262" s="4" t="s">
        <v>11</v>
      </c>
      <c r="F1262" s="4" t="s">
        <v>9</v>
      </c>
      <c r="G1262" s="3">
        <v>36898.730000000003</v>
      </c>
    </row>
    <row r="1263" spans="1:7" ht="14.5">
      <c r="A1263" s="3">
        <v>19</v>
      </c>
      <c r="B1263" s="4" t="s">
        <v>7</v>
      </c>
      <c r="C1263" s="3">
        <v>44.9</v>
      </c>
      <c r="D1263" s="3">
        <v>0</v>
      </c>
      <c r="E1263" s="4" t="s">
        <v>11</v>
      </c>
      <c r="F1263" s="4" t="s">
        <v>14</v>
      </c>
      <c r="G1263" s="3">
        <v>39722.75</v>
      </c>
    </row>
    <row r="1264" spans="1:7" ht="14.5">
      <c r="A1264" s="3">
        <v>19</v>
      </c>
      <c r="B1264" s="4" t="s">
        <v>10</v>
      </c>
      <c r="C1264" s="3">
        <v>27.9</v>
      </c>
      <c r="D1264" s="3">
        <v>3</v>
      </c>
      <c r="E1264" s="4" t="s">
        <v>8</v>
      </c>
      <c r="F1264" s="4" t="s">
        <v>9</v>
      </c>
      <c r="G1264" s="3">
        <v>18838.7</v>
      </c>
    </row>
    <row r="1265" spans="1:7" ht="14.5">
      <c r="A1265" s="3">
        <v>19</v>
      </c>
      <c r="B1265" s="4" t="s">
        <v>10</v>
      </c>
      <c r="C1265" s="3">
        <v>30</v>
      </c>
      <c r="D1265" s="3">
        <v>0</v>
      </c>
      <c r="E1265" s="4" t="s">
        <v>11</v>
      </c>
      <c r="F1265" s="4" t="s">
        <v>9</v>
      </c>
      <c r="G1265" s="3">
        <v>33307.550000000003</v>
      </c>
    </row>
    <row r="1266" spans="1:7" ht="14.5">
      <c r="A1266" s="3">
        <v>19</v>
      </c>
      <c r="B1266" s="4" t="s">
        <v>7</v>
      </c>
      <c r="C1266" s="3">
        <v>19.8</v>
      </c>
      <c r="D1266" s="3">
        <v>0</v>
      </c>
      <c r="E1266" s="4" t="s">
        <v>8</v>
      </c>
      <c r="F1266" s="4" t="s">
        <v>12</v>
      </c>
      <c r="G1266" s="3">
        <v>1241.57</v>
      </c>
    </row>
    <row r="1267" spans="1:7" ht="14.5">
      <c r="A1267" s="3">
        <v>19</v>
      </c>
      <c r="B1267" s="4" t="s">
        <v>7</v>
      </c>
      <c r="C1267" s="3">
        <v>34.9</v>
      </c>
      <c r="D1267" s="3">
        <v>0</v>
      </c>
      <c r="E1267" s="4" t="s">
        <v>11</v>
      </c>
      <c r="F1267" s="4" t="s">
        <v>12</v>
      </c>
      <c r="G1267" s="3">
        <v>34828.65</v>
      </c>
    </row>
    <row r="1268" spans="1:7" ht="14.5">
      <c r="A1268" s="3">
        <v>19</v>
      </c>
      <c r="B1268" s="4" t="s">
        <v>10</v>
      </c>
      <c r="C1268" s="3">
        <v>25.7</v>
      </c>
      <c r="D1268" s="3">
        <v>1</v>
      </c>
      <c r="E1268" s="4" t="s">
        <v>8</v>
      </c>
      <c r="F1268" s="4" t="s">
        <v>9</v>
      </c>
      <c r="G1268" s="3">
        <v>2710.83</v>
      </c>
    </row>
    <row r="1269" spans="1:7" ht="14.5">
      <c r="A1269" s="3">
        <v>19</v>
      </c>
      <c r="B1269" s="4" t="s">
        <v>10</v>
      </c>
      <c r="C1269" s="3">
        <v>34.700000000000003</v>
      </c>
      <c r="D1269" s="3">
        <v>2</v>
      </c>
      <c r="E1269" s="4" t="s">
        <v>11</v>
      </c>
      <c r="F1269" s="4" t="s">
        <v>12</v>
      </c>
      <c r="G1269" s="3">
        <v>36397.58</v>
      </c>
    </row>
    <row r="1270" spans="1:7" ht="14.5">
      <c r="A1270" s="3">
        <v>19</v>
      </c>
      <c r="B1270" s="4" t="s">
        <v>10</v>
      </c>
      <c r="C1270" s="3">
        <v>20.6</v>
      </c>
      <c r="D1270" s="3">
        <v>0</v>
      </c>
      <c r="E1270" s="4" t="s">
        <v>8</v>
      </c>
      <c r="F1270" s="4" t="s">
        <v>12</v>
      </c>
      <c r="G1270" s="3">
        <v>1731.68</v>
      </c>
    </row>
    <row r="1271" spans="1:7" ht="14.5">
      <c r="A1271" s="3">
        <v>18</v>
      </c>
      <c r="B1271" s="4" t="s">
        <v>7</v>
      </c>
      <c r="C1271" s="3">
        <v>33.799999999999997</v>
      </c>
      <c r="D1271" s="3">
        <v>1</v>
      </c>
      <c r="E1271" s="4" t="s">
        <v>8</v>
      </c>
      <c r="F1271" s="4" t="s">
        <v>14</v>
      </c>
      <c r="G1271" s="3">
        <v>1725.55</v>
      </c>
    </row>
    <row r="1272" spans="1:7" ht="14.5">
      <c r="A1272" s="3">
        <v>18</v>
      </c>
      <c r="B1272" s="4" t="s">
        <v>7</v>
      </c>
      <c r="C1272" s="3">
        <v>34.1</v>
      </c>
      <c r="D1272" s="3">
        <v>0</v>
      </c>
      <c r="E1272" s="4" t="s">
        <v>8</v>
      </c>
      <c r="F1272" s="4" t="s">
        <v>14</v>
      </c>
      <c r="G1272" s="3">
        <v>1137.01</v>
      </c>
    </row>
    <row r="1273" spans="1:7" ht="14.5">
      <c r="A1273" s="3">
        <v>18</v>
      </c>
      <c r="B1273" s="4" t="s">
        <v>10</v>
      </c>
      <c r="C1273" s="3">
        <v>26.3</v>
      </c>
      <c r="D1273" s="3">
        <v>0</v>
      </c>
      <c r="E1273" s="4" t="s">
        <v>8</v>
      </c>
      <c r="F1273" s="4" t="s">
        <v>13</v>
      </c>
      <c r="G1273" s="3">
        <v>2198.19</v>
      </c>
    </row>
    <row r="1274" spans="1:7" ht="14.5">
      <c r="A1274" s="3">
        <v>18</v>
      </c>
      <c r="B1274" s="4" t="s">
        <v>10</v>
      </c>
      <c r="C1274" s="3">
        <v>38.700000000000003</v>
      </c>
      <c r="D1274" s="3">
        <v>2</v>
      </c>
      <c r="E1274" s="4" t="s">
        <v>8</v>
      </c>
      <c r="F1274" s="4" t="s">
        <v>13</v>
      </c>
      <c r="G1274" s="3">
        <v>3393.36</v>
      </c>
    </row>
    <row r="1275" spans="1:7" ht="14.5">
      <c r="A1275" s="3">
        <v>18</v>
      </c>
      <c r="B1275" s="4" t="s">
        <v>10</v>
      </c>
      <c r="C1275" s="3">
        <v>35.6</v>
      </c>
      <c r="D1275" s="3">
        <v>0</v>
      </c>
      <c r="E1275" s="4" t="s">
        <v>8</v>
      </c>
      <c r="F1275" s="4" t="s">
        <v>13</v>
      </c>
      <c r="G1275" s="3">
        <v>2211.13</v>
      </c>
    </row>
    <row r="1276" spans="1:7" ht="14.5">
      <c r="A1276" s="3">
        <v>18</v>
      </c>
      <c r="B1276" s="4" t="s">
        <v>7</v>
      </c>
      <c r="C1276" s="3">
        <v>31.7</v>
      </c>
      <c r="D1276" s="3">
        <v>2</v>
      </c>
      <c r="E1276" s="4" t="s">
        <v>11</v>
      </c>
      <c r="F1276" s="4" t="s">
        <v>14</v>
      </c>
      <c r="G1276" s="3">
        <v>34303.17</v>
      </c>
    </row>
    <row r="1277" spans="1:7" ht="14.5">
      <c r="A1277" s="3">
        <v>18</v>
      </c>
      <c r="B1277" s="4" t="s">
        <v>10</v>
      </c>
      <c r="C1277" s="3">
        <v>30.1</v>
      </c>
      <c r="D1277" s="3">
        <v>0</v>
      </c>
      <c r="E1277" s="4" t="s">
        <v>8</v>
      </c>
      <c r="F1277" s="4" t="s">
        <v>13</v>
      </c>
      <c r="G1277" s="3">
        <v>21344.85</v>
      </c>
    </row>
    <row r="1278" spans="1:7" ht="14.5">
      <c r="A1278" s="3">
        <v>18</v>
      </c>
      <c r="B1278" s="4" t="s">
        <v>7</v>
      </c>
      <c r="C1278" s="3">
        <v>23.8</v>
      </c>
      <c r="D1278" s="3">
        <v>0</v>
      </c>
      <c r="E1278" s="4" t="s">
        <v>8</v>
      </c>
      <c r="F1278" s="4" t="s">
        <v>13</v>
      </c>
      <c r="G1278" s="3">
        <v>1705.62</v>
      </c>
    </row>
    <row r="1279" spans="1:7" ht="14.5">
      <c r="A1279" s="3">
        <v>18</v>
      </c>
      <c r="B1279" s="4" t="s">
        <v>7</v>
      </c>
      <c r="C1279" s="3">
        <v>25.2</v>
      </c>
      <c r="D1279" s="3">
        <v>0</v>
      </c>
      <c r="E1279" s="4" t="s">
        <v>11</v>
      </c>
      <c r="F1279" s="4" t="s">
        <v>13</v>
      </c>
      <c r="G1279" s="3">
        <v>15518.18</v>
      </c>
    </row>
    <row r="1280" spans="1:7" ht="14.5">
      <c r="A1280" s="3">
        <v>18</v>
      </c>
      <c r="B1280" s="4" t="s">
        <v>10</v>
      </c>
      <c r="C1280" s="3">
        <v>36.9</v>
      </c>
      <c r="D1280" s="3">
        <v>0</v>
      </c>
      <c r="E1280" s="4" t="s">
        <v>11</v>
      </c>
      <c r="F1280" s="4" t="s">
        <v>14</v>
      </c>
      <c r="G1280" s="3">
        <v>36149.480000000003</v>
      </c>
    </row>
    <row r="1281" spans="1:7" ht="14.5">
      <c r="A1281" s="3">
        <v>18</v>
      </c>
      <c r="B1281" s="4" t="s">
        <v>7</v>
      </c>
      <c r="C1281" s="3">
        <v>16</v>
      </c>
      <c r="D1281" s="3">
        <v>0</v>
      </c>
      <c r="E1281" s="4" t="s">
        <v>8</v>
      </c>
      <c r="F1281" s="4" t="s">
        <v>13</v>
      </c>
      <c r="G1281" s="3">
        <v>1694.8</v>
      </c>
    </row>
    <row r="1282" spans="1:7" ht="14.5">
      <c r="A1282" s="3">
        <v>18</v>
      </c>
      <c r="B1282" s="4" t="s">
        <v>10</v>
      </c>
      <c r="C1282" s="3">
        <v>38.299999999999997</v>
      </c>
      <c r="D1282" s="3">
        <v>0</v>
      </c>
      <c r="E1282" s="4" t="s">
        <v>8</v>
      </c>
      <c r="F1282" s="4" t="s">
        <v>14</v>
      </c>
      <c r="G1282" s="3">
        <v>1631.82</v>
      </c>
    </row>
    <row r="1283" spans="1:7" ht="14.5">
      <c r="A1283" s="3">
        <v>18</v>
      </c>
      <c r="B1283" s="4" t="s">
        <v>7</v>
      </c>
      <c r="C1283" s="3">
        <v>34.4</v>
      </c>
      <c r="D1283" s="3">
        <v>0</v>
      </c>
      <c r="E1283" s="4" t="s">
        <v>8</v>
      </c>
      <c r="F1283" s="4" t="s">
        <v>14</v>
      </c>
      <c r="G1283" s="3">
        <v>1137.47</v>
      </c>
    </row>
    <row r="1284" spans="1:7" ht="14.5">
      <c r="A1284" s="3">
        <v>18</v>
      </c>
      <c r="B1284" s="4" t="s">
        <v>10</v>
      </c>
      <c r="C1284" s="3">
        <v>26.7</v>
      </c>
      <c r="D1284" s="3">
        <v>0</v>
      </c>
      <c r="E1284" s="4" t="s">
        <v>8</v>
      </c>
      <c r="F1284" s="4" t="s">
        <v>14</v>
      </c>
      <c r="G1284" s="3">
        <v>1615.77</v>
      </c>
    </row>
    <row r="1285" spans="1:7" ht="14.5">
      <c r="A1285" s="3">
        <v>18</v>
      </c>
      <c r="B1285" s="4" t="s">
        <v>7</v>
      </c>
      <c r="C1285" s="3">
        <v>17.3</v>
      </c>
      <c r="D1285" s="3">
        <v>2</v>
      </c>
      <c r="E1285" s="4" t="s">
        <v>11</v>
      </c>
      <c r="F1285" s="4" t="s">
        <v>13</v>
      </c>
      <c r="G1285" s="3">
        <v>12829.46</v>
      </c>
    </row>
    <row r="1286" spans="1:7" ht="14.5">
      <c r="A1286" s="3">
        <v>18</v>
      </c>
      <c r="B1286" s="4" t="s">
        <v>7</v>
      </c>
      <c r="C1286" s="3">
        <v>29.4</v>
      </c>
      <c r="D1286" s="3">
        <v>1</v>
      </c>
      <c r="E1286" s="4" t="s">
        <v>8</v>
      </c>
      <c r="F1286" s="4" t="s">
        <v>14</v>
      </c>
      <c r="G1286" s="3">
        <v>1719.44</v>
      </c>
    </row>
    <row r="1287" spans="1:7" ht="14.5">
      <c r="A1287" s="3">
        <v>18</v>
      </c>
      <c r="B1287" s="4" t="s">
        <v>7</v>
      </c>
      <c r="C1287" s="3">
        <v>23</v>
      </c>
      <c r="D1287" s="3">
        <v>0</v>
      </c>
      <c r="E1287" s="4" t="s">
        <v>8</v>
      </c>
      <c r="F1287" s="4" t="s">
        <v>13</v>
      </c>
      <c r="G1287" s="3">
        <v>1704.57</v>
      </c>
    </row>
    <row r="1288" spans="1:7" ht="14.5">
      <c r="A1288" s="3">
        <v>18</v>
      </c>
      <c r="B1288" s="4" t="s">
        <v>10</v>
      </c>
      <c r="C1288" s="3">
        <v>38.299999999999997</v>
      </c>
      <c r="D1288" s="3">
        <v>0</v>
      </c>
      <c r="E1288" s="4" t="s">
        <v>8</v>
      </c>
      <c r="F1288" s="4" t="s">
        <v>14</v>
      </c>
      <c r="G1288" s="3">
        <v>14133.04</v>
      </c>
    </row>
    <row r="1289" spans="1:7" ht="14.5">
      <c r="A1289" s="3">
        <v>18</v>
      </c>
      <c r="B1289" s="4" t="s">
        <v>10</v>
      </c>
      <c r="C1289" s="3">
        <v>20.8</v>
      </c>
      <c r="D1289" s="3">
        <v>0</v>
      </c>
      <c r="E1289" s="4" t="s">
        <v>8</v>
      </c>
      <c r="F1289" s="4" t="s">
        <v>14</v>
      </c>
      <c r="G1289" s="3">
        <v>1607.51</v>
      </c>
    </row>
    <row r="1290" spans="1:7" ht="14.5">
      <c r="A1290" s="3">
        <v>18</v>
      </c>
      <c r="B1290" s="4" t="s">
        <v>7</v>
      </c>
      <c r="C1290" s="3">
        <v>30.4</v>
      </c>
      <c r="D1290" s="3">
        <v>3</v>
      </c>
      <c r="E1290" s="4" t="s">
        <v>8</v>
      </c>
      <c r="F1290" s="4" t="s">
        <v>13</v>
      </c>
      <c r="G1290" s="3">
        <v>3481.87</v>
      </c>
    </row>
    <row r="1291" spans="1:7" ht="14.5">
      <c r="A1291" s="3">
        <v>18</v>
      </c>
      <c r="B1291" s="4" t="s">
        <v>10</v>
      </c>
      <c r="C1291" s="3">
        <v>38.200000000000003</v>
      </c>
      <c r="D1291" s="3">
        <v>0</v>
      </c>
      <c r="E1291" s="4" t="s">
        <v>8</v>
      </c>
      <c r="F1291" s="4" t="s">
        <v>14</v>
      </c>
      <c r="G1291" s="3">
        <v>1631.67</v>
      </c>
    </row>
    <row r="1292" spans="1:7" ht="14.5">
      <c r="A1292" s="3">
        <v>18</v>
      </c>
      <c r="B1292" s="4" t="s">
        <v>10</v>
      </c>
      <c r="C1292" s="3">
        <v>29.2</v>
      </c>
      <c r="D1292" s="3">
        <v>0</v>
      </c>
      <c r="E1292" s="4" t="s">
        <v>8</v>
      </c>
      <c r="F1292" s="4" t="s">
        <v>13</v>
      </c>
      <c r="G1292" s="3">
        <v>7323.73</v>
      </c>
    </row>
    <row r="1293" spans="1:7" ht="14.5">
      <c r="A1293" s="3">
        <v>18</v>
      </c>
      <c r="B1293" s="4" t="s">
        <v>7</v>
      </c>
      <c r="C1293" s="3">
        <v>43</v>
      </c>
      <c r="D1293" s="3">
        <v>0</v>
      </c>
      <c r="E1293" s="4" t="s">
        <v>8</v>
      </c>
      <c r="F1293" s="4" t="s">
        <v>14</v>
      </c>
      <c r="G1293" s="3">
        <v>1149.4000000000001</v>
      </c>
    </row>
    <row r="1294" spans="1:7" ht="14.5">
      <c r="A1294" s="3">
        <v>18</v>
      </c>
      <c r="B1294" s="4" t="s">
        <v>10</v>
      </c>
      <c r="C1294" s="3">
        <v>24.1</v>
      </c>
      <c r="D1294" s="3">
        <v>1</v>
      </c>
      <c r="E1294" s="4" t="s">
        <v>8</v>
      </c>
      <c r="F1294" s="4" t="s">
        <v>14</v>
      </c>
      <c r="G1294" s="3">
        <v>2201.1</v>
      </c>
    </row>
    <row r="1295" spans="1:7" ht="14.5">
      <c r="A1295" s="3">
        <v>18</v>
      </c>
      <c r="B1295" s="4" t="s">
        <v>10</v>
      </c>
      <c r="C1295" s="3">
        <v>30.1</v>
      </c>
      <c r="D1295" s="3">
        <v>0</v>
      </c>
      <c r="E1295" s="4" t="s">
        <v>8</v>
      </c>
      <c r="F1295" s="4" t="s">
        <v>13</v>
      </c>
      <c r="G1295" s="3">
        <v>2203.4699999999998</v>
      </c>
    </row>
    <row r="1296" spans="1:7" ht="14.5">
      <c r="A1296" s="3">
        <v>18</v>
      </c>
      <c r="B1296" s="4" t="s">
        <v>10</v>
      </c>
      <c r="C1296" s="3">
        <v>31.4</v>
      </c>
      <c r="D1296" s="3">
        <v>0</v>
      </c>
      <c r="E1296" s="4" t="s">
        <v>8</v>
      </c>
      <c r="F1296" s="4" t="s">
        <v>14</v>
      </c>
      <c r="G1296" s="3">
        <v>1622.19</v>
      </c>
    </row>
    <row r="1297" spans="1:7" ht="14.5">
      <c r="A1297" s="3">
        <v>18</v>
      </c>
      <c r="B1297" s="4" t="s">
        <v>10</v>
      </c>
      <c r="C1297" s="3">
        <v>25.1</v>
      </c>
      <c r="D1297" s="3">
        <v>0</v>
      </c>
      <c r="E1297" s="4" t="s">
        <v>8</v>
      </c>
      <c r="F1297" s="4" t="s">
        <v>13</v>
      </c>
      <c r="G1297" s="3">
        <v>2196.4699999999998</v>
      </c>
    </row>
    <row r="1298" spans="1:7" ht="14.5">
      <c r="A1298" s="3">
        <v>18</v>
      </c>
      <c r="B1298" s="4" t="s">
        <v>10</v>
      </c>
      <c r="C1298" s="3">
        <v>33.9</v>
      </c>
      <c r="D1298" s="3">
        <v>0</v>
      </c>
      <c r="E1298" s="4" t="s">
        <v>8</v>
      </c>
      <c r="F1298" s="4" t="s">
        <v>14</v>
      </c>
      <c r="G1298" s="3">
        <v>11482.63</v>
      </c>
    </row>
    <row r="1299" spans="1:7" ht="14.5">
      <c r="A1299" s="3">
        <v>18</v>
      </c>
      <c r="B1299" s="4" t="s">
        <v>7</v>
      </c>
      <c r="C1299" s="3">
        <v>25.5</v>
      </c>
      <c r="D1299" s="3">
        <v>0</v>
      </c>
      <c r="E1299" s="4" t="s">
        <v>8</v>
      </c>
      <c r="F1299" s="4" t="s">
        <v>13</v>
      </c>
      <c r="G1299" s="3">
        <v>1708</v>
      </c>
    </row>
    <row r="1300" spans="1:7" ht="14.5">
      <c r="A1300" s="3">
        <v>18</v>
      </c>
      <c r="B1300" s="4" t="s">
        <v>10</v>
      </c>
      <c r="C1300" s="3">
        <v>32.1</v>
      </c>
      <c r="D1300" s="3">
        <v>2</v>
      </c>
      <c r="E1300" s="4" t="s">
        <v>8</v>
      </c>
      <c r="F1300" s="4" t="s">
        <v>14</v>
      </c>
      <c r="G1300" s="3">
        <v>2801.26</v>
      </c>
    </row>
    <row r="1301" spans="1:7" ht="14.5">
      <c r="A1301" s="3">
        <v>18</v>
      </c>
      <c r="B1301" s="4" t="s">
        <v>10</v>
      </c>
      <c r="C1301" s="3">
        <v>37.299999999999997</v>
      </c>
      <c r="D1301" s="3">
        <v>1</v>
      </c>
      <c r="E1301" s="4" t="s">
        <v>8</v>
      </c>
      <c r="F1301" s="4" t="s">
        <v>14</v>
      </c>
      <c r="G1301" s="3">
        <v>2219.4499999999998</v>
      </c>
    </row>
    <row r="1302" spans="1:7" ht="14.5">
      <c r="A1302" s="3">
        <v>18</v>
      </c>
      <c r="B1302" s="4" t="s">
        <v>10</v>
      </c>
      <c r="C1302" s="3">
        <v>39.200000000000003</v>
      </c>
      <c r="D1302" s="3">
        <v>0</v>
      </c>
      <c r="E1302" s="4" t="s">
        <v>8</v>
      </c>
      <c r="F1302" s="4" t="s">
        <v>14</v>
      </c>
      <c r="G1302" s="3">
        <v>1633.04</v>
      </c>
    </row>
    <row r="1303" spans="1:7" ht="14.5">
      <c r="A1303" s="3">
        <v>18</v>
      </c>
      <c r="B1303" s="4" t="s">
        <v>10</v>
      </c>
      <c r="C1303" s="3">
        <v>33.200000000000003</v>
      </c>
      <c r="D1303" s="3">
        <v>0</v>
      </c>
      <c r="E1303" s="4" t="s">
        <v>8</v>
      </c>
      <c r="F1303" s="4" t="s">
        <v>13</v>
      </c>
      <c r="G1303" s="3">
        <v>2207.6999999999998</v>
      </c>
    </row>
    <row r="1304" spans="1:7" ht="14.5">
      <c r="A1304" s="3">
        <v>18</v>
      </c>
      <c r="B1304" s="4" t="s">
        <v>7</v>
      </c>
      <c r="C1304" s="3">
        <v>33.5</v>
      </c>
      <c r="D1304" s="3">
        <v>0</v>
      </c>
      <c r="E1304" s="4" t="s">
        <v>11</v>
      </c>
      <c r="F1304" s="4" t="s">
        <v>13</v>
      </c>
      <c r="G1304" s="3">
        <v>34617.839999999997</v>
      </c>
    </row>
    <row r="1305" spans="1:7" ht="14.5">
      <c r="A1305" s="3">
        <v>18</v>
      </c>
      <c r="B1305" s="4" t="s">
        <v>7</v>
      </c>
      <c r="C1305" s="3">
        <v>28.5</v>
      </c>
      <c r="D1305" s="3">
        <v>0</v>
      </c>
      <c r="E1305" s="4" t="s">
        <v>8</v>
      </c>
      <c r="F1305" s="4" t="s">
        <v>13</v>
      </c>
      <c r="G1305" s="3">
        <v>1712.23</v>
      </c>
    </row>
    <row r="1306" spans="1:7" ht="14.5">
      <c r="A1306" s="3">
        <v>18</v>
      </c>
      <c r="B1306" s="4" t="s">
        <v>7</v>
      </c>
      <c r="C1306" s="3">
        <v>33.700000000000003</v>
      </c>
      <c r="D1306" s="3">
        <v>0</v>
      </c>
      <c r="E1306" s="4" t="s">
        <v>8</v>
      </c>
      <c r="F1306" s="4" t="s">
        <v>14</v>
      </c>
      <c r="G1306" s="3">
        <v>1136.4000000000001</v>
      </c>
    </row>
    <row r="1307" spans="1:7" ht="14.5">
      <c r="A1307" s="3">
        <v>18</v>
      </c>
      <c r="B1307" s="4" t="s">
        <v>7</v>
      </c>
      <c r="C1307" s="3">
        <v>35.200000000000003</v>
      </c>
      <c r="D1307" s="3">
        <v>1</v>
      </c>
      <c r="E1307" s="4" t="s">
        <v>8</v>
      </c>
      <c r="F1307" s="4" t="s">
        <v>14</v>
      </c>
      <c r="G1307" s="3">
        <v>1727.54</v>
      </c>
    </row>
    <row r="1308" spans="1:7" ht="14.5">
      <c r="A1308" s="3">
        <v>18</v>
      </c>
      <c r="B1308" s="4" t="s">
        <v>10</v>
      </c>
      <c r="C1308" s="3">
        <v>40.299999999999997</v>
      </c>
      <c r="D1308" s="3">
        <v>0</v>
      </c>
      <c r="E1308" s="4" t="s">
        <v>8</v>
      </c>
      <c r="F1308" s="4" t="s">
        <v>13</v>
      </c>
      <c r="G1308" s="3">
        <v>2217.6</v>
      </c>
    </row>
    <row r="1309" spans="1:7" ht="14.5">
      <c r="A1309" s="3">
        <v>18</v>
      </c>
      <c r="B1309" s="4" t="s">
        <v>7</v>
      </c>
      <c r="C1309" s="3">
        <v>38.200000000000003</v>
      </c>
      <c r="D1309" s="3">
        <v>0</v>
      </c>
      <c r="E1309" s="4" t="s">
        <v>11</v>
      </c>
      <c r="F1309" s="4" t="s">
        <v>14</v>
      </c>
      <c r="G1309" s="3">
        <v>36307.800000000003</v>
      </c>
    </row>
    <row r="1310" spans="1:7" ht="14.5">
      <c r="A1310" s="3">
        <v>18</v>
      </c>
      <c r="B1310" s="4" t="s">
        <v>7</v>
      </c>
      <c r="C1310" s="3">
        <v>41.1</v>
      </c>
      <c r="D1310" s="3">
        <v>0</v>
      </c>
      <c r="E1310" s="4" t="s">
        <v>8</v>
      </c>
      <c r="F1310" s="4" t="s">
        <v>14</v>
      </c>
      <c r="G1310" s="3">
        <v>1146.8</v>
      </c>
    </row>
    <row r="1311" spans="1:7" ht="14.5">
      <c r="A1311" s="3">
        <v>18</v>
      </c>
      <c r="B1311" s="4" t="s">
        <v>10</v>
      </c>
      <c r="C1311" s="3">
        <v>42.2</v>
      </c>
      <c r="D1311" s="3">
        <v>0</v>
      </c>
      <c r="E1311" s="4" t="s">
        <v>11</v>
      </c>
      <c r="F1311" s="4" t="s">
        <v>14</v>
      </c>
      <c r="G1311" s="3">
        <v>38792.69</v>
      </c>
    </row>
    <row r="1312" spans="1:7" ht="14.5">
      <c r="A1312" s="3">
        <v>18</v>
      </c>
      <c r="B1312" s="4" t="s">
        <v>7</v>
      </c>
      <c r="C1312" s="3">
        <v>30.1</v>
      </c>
      <c r="D1312" s="3">
        <v>0</v>
      </c>
      <c r="E1312" s="4" t="s">
        <v>8</v>
      </c>
      <c r="F1312" s="4" t="s">
        <v>14</v>
      </c>
      <c r="G1312" s="3">
        <v>1131.51</v>
      </c>
    </row>
    <row r="1313" spans="1:7" ht="14.5">
      <c r="A1313" s="3">
        <v>18</v>
      </c>
      <c r="B1313" s="4" t="s">
        <v>10</v>
      </c>
      <c r="C1313" s="3">
        <v>31.1</v>
      </c>
      <c r="D1313" s="3">
        <v>0</v>
      </c>
      <c r="E1313" s="4" t="s">
        <v>8</v>
      </c>
      <c r="F1313" s="4" t="s">
        <v>14</v>
      </c>
      <c r="G1313" s="3">
        <v>1621.88</v>
      </c>
    </row>
    <row r="1314" spans="1:7" ht="14.5">
      <c r="A1314" s="3">
        <v>18</v>
      </c>
      <c r="B1314" s="4" t="s">
        <v>7</v>
      </c>
      <c r="C1314" s="3">
        <v>37.299999999999997</v>
      </c>
      <c r="D1314" s="3">
        <v>0</v>
      </c>
      <c r="E1314" s="4" t="s">
        <v>8</v>
      </c>
      <c r="F1314" s="4" t="s">
        <v>14</v>
      </c>
      <c r="G1314" s="3">
        <v>1141.45</v>
      </c>
    </row>
    <row r="1315" spans="1:7" ht="14.5">
      <c r="A1315" s="3">
        <v>18</v>
      </c>
      <c r="B1315" s="4" t="s">
        <v>10</v>
      </c>
      <c r="C1315" s="3">
        <v>40.299999999999997</v>
      </c>
      <c r="D1315" s="3">
        <v>0</v>
      </c>
      <c r="E1315" s="4" t="s">
        <v>8</v>
      </c>
      <c r="F1315" s="4" t="s">
        <v>14</v>
      </c>
      <c r="G1315" s="3">
        <v>1634.57</v>
      </c>
    </row>
    <row r="1316" spans="1:7" ht="14.5">
      <c r="A1316" s="3">
        <v>18</v>
      </c>
      <c r="B1316" s="4" t="s">
        <v>7</v>
      </c>
      <c r="C1316" s="3">
        <v>31.7</v>
      </c>
      <c r="D1316" s="3">
        <v>0</v>
      </c>
      <c r="E1316" s="4" t="s">
        <v>11</v>
      </c>
      <c r="F1316" s="4" t="s">
        <v>13</v>
      </c>
      <c r="G1316" s="3">
        <v>33732.69</v>
      </c>
    </row>
    <row r="1317" spans="1:7" ht="14.5">
      <c r="A1317" s="3">
        <v>18</v>
      </c>
      <c r="B1317" s="4" t="s">
        <v>7</v>
      </c>
      <c r="C1317" s="3">
        <v>26.2</v>
      </c>
      <c r="D1317" s="3">
        <v>2</v>
      </c>
      <c r="E1317" s="4" t="s">
        <v>8</v>
      </c>
      <c r="F1317" s="4" t="s">
        <v>14</v>
      </c>
      <c r="G1317" s="3">
        <v>2304</v>
      </c>
    </row>
    <row r="1318" spans="1:7" ht="14.5">
      <c r="A1318" s="3">
        <v>18</v>
      </c>
      <c r="B1318" s="4" t="s">
        <v>7</v>
      </c>
      <c r="C1318" s="3">
        <v>23.2</v>
      </c>
      <c r="D1318" s="3">
        <v>0</v>
      </c>
      <c r="E1318" s="4" t="s">
        <v>8</v>
      </c>
      <c r="F1318" s="4" t="s">
        <v>14</v>
      </c>
      <c r="G1318" s="3">
        <v>1121.8699999999999</v>
      </c>
    </row>
    <row r="1319" spans="1:7" ht="14.5">
      <c r="A1319" s="3">
        <v>18</v>
      </c>
      <c r="B1319" s="4" t="s">
        <v>10</v>
      </c>
      <c r="C1319" s="3">
        <v>40.200000000000003</v>
      </c>
      <c r="D1319" s="3">
        <v>0</v>
      </c>
      <c r="E1319" s="4" t="s">
        <v>8</v>
      </c>
      <c r="F1319" s="4" t="s">
        <v>13</v>
      </c>
      <c r="G1319" s="3">
        <v>2217.4699999999998</v>
      </c>
    </row>
    <row r="1320" spans="1:7" ht="14.5">
      <c r="A1320" s="3">
        <v>18</v>
      </c>
      <c r="B1320" s="4" t="s">
        <v>7</v>
      </c>
      <c r="C1320" s="3">
        <v>23.3</v>
      </c>
      <c r="D1320" s="3">
        <v>1</v>
      </c>
      <c r="E1320" s="4" t="s">
        <v>8</v>
      </c>
      <c r="F1320" s="4" t="s">
        <v>14</v>
      </c>
      <c r="G1320" s="3">
        <v>1711.03</v>
      </c>
    </row>
    <row r="1321" spans="1:7" ht="14.5">
      <c r="A1321" s="3">
        <v>18</v>
      </c>
      <c r="B1321" s="4" t="s">
        <v>7</v>
      </c>
      <c r="C1321" s="3">
        <v>21.6</v>
      </c>
      <c r="D1321" s="3">
        <v>0</v>
      </c>
      <c r="E1321" s="4" t="s">
        <v>11</v>
      </c>
      <c r="F1321" s="4" t="s">
        <v>13</v>
      </c>
      <c r="G1321" s="3">
        <v>13747.87</v>
      </c>
    </row>
    <row r="1322" spans="1:7" ht="14.5">
      <c r="A1322" s="3">
        <v>18</v>
      </c>
      <c r="B1322" s="4" t="s">
        <v>7</v>
      </c>
      <c r="C1322" s="3">
        <v>23.1</v>
      </c>
      <c r="D1322" s="3">
        <v>0</v>
      </c>
      <c r="E1322" s="4" t="s">
        <v>8</v>
      </c>
      <c r="F1322" s="4" t="s">
        <v>13</v>
      </c>
      <c r="G1322" s="3">
        <v>1704.7</v>
      </c>
    </row>
    <row r="1323" spans="1:7" ht="14.5">
      <c r="A1323" s="3">
        <v>18</v>
      </c>
      <c r="B1323" s="4" t="s">
        <v>7</v>
      </c>
      <c r="C1323" s="3">
        <v>21.8</v>
      </c>
      <c r="D1323" s="3">
        <v>2</v>
      </c>
      <c r="E1323" s="4" t="s">
        <v>8</v>
      </c>
      <c r="F1323" s="4" t="s">
        <v>14</v>
      </c>
      <c r="G1323" s="3">
        <v>11884.05</v>
      </c>
    </row>
    <row r="1324" spans="1:7" ht="14.5">
      <c r="A1324" s="3">
        <v>18</v>
      </c>
      <c r="B1324" s="4" t="s">
        <v>10</v>
      </c>
      <c r="C1324" s="3">
        <v>31.4</v>
      </c>
      <c r="D1324" s="3">
        <v>4</v>
      </c>
      <c r="E1324" s="4" t="s">
        <v>8</v>
      </c>
      <c r="F1324" s="4" t="s">
        <v>13</v>
      </c>
      <c r="G1324" s="3">
        <v>4561.1899999999996</v>
      </c>
    </row>
    <row r="1325" spans="1:7" ht="14.5">
      <c r="A1325" s="3">
        <v>18</v>
      </c>
      <c r="B1325" s="4" t="s">
        <v>10</v>
      </c>
      <c r="C1325" s="3">
        <v>30.3</v>
      </c>
      <c r="D1325" s="3">
        <v>0</v>
      </c>
      <c r="E1325" s="4" t="s">
        <v>8</v>
      </c>
      <c r="F1325" s="4" t="s">
        <v>13</v>
      </c>
      <c r="G1325" s="3">
        <v>2203.7399999999998</v>
      </c>
    </row>
    <row r="1326" spans="1:7" ht="14.5">
      <c r="A1326" s="3">
        <v>18</v>
      </c>
      <c r="B1326" s="4" t="s">
        <v>10</v>
      </c>
      <c r="C1326" s="3">
        <v>28.2</v>
      </c>
      <c r="D1326" s="3">
        <v>0</v>
      </c>
      <c r="E1326" s="4" t="s">
        <v>8</v>
      </c>
      <c r="F1326" s="4" t="s">
        <v>13</v>
      </c>
      <c r="G1326" s="3">
        <v>2200.83</v>
      </c>
    </row>
    <row r="1327" spans="1:7" ht="14.5">
      <c r="A1327" s="3">
        <v>18</v>
      </c>
      <c r="B1327" s="4" t="s">
        <v>7</v>
      </c>
      <c r="C1327" s="3">
        <v>27.4</v>
      </c>
      <c r="D1327" s="3">
        <v>1</v>
      </c>
      <c r="E1327" s="4" t="s">
        <v>11</v>
      </c>
      <c r="F1327" s="4" t="s">
        <v>13</v>
      </c>
      <c r="G1327" s="3">
        <v>17178.68</v>
      </c>
    </row>
    <row r="1328" spans="1:7" ht="14.5">
      <c r="A1328" s="3">
        <v>18</v>
      </c>
      <c r="B1328" s="4" t="s">
        <v>10</v>
      </c>
      <c r="C1328" s="3">
        <v>27.3</v>
      </c>
      <c r="D1328" s="3">
        <v>3</v>
      </c>
      <c r="E1328" s="4" t="s">
        <v>11</v>
      </c>
      <c r="F1328" s="4" t="s">
        <v>14</v>
      </c>
      <c r="G1328" s="3">
        <v>18223.45</v>
      </c>
    </row>
    <row r="1329" spans="1:7" ht="14.5">
      <c r="A1329" s="3">
        <v>18</v>
      </c>
      <c r="B1329" s="4" t="s">
        <v>7</v>
      </c>
      <c r="C1329" s="3">
        <v>21.5</v>
      </c>
      <c r="D1329" s="3">
        <v>0</v>
      </c>
      <c r="E1329" s="4" t="s">
        <v>8</v>
      </c>
      <c r="F1329" s="4" t="s">
        <v>13</v>
      </c>
      <c r="G1329" s="3">
        <v>1702.46</v>
      </c>
    </row>
    <row r="1330" spans="1:7" ht="14.5">
      <c r="A1330" s="3">
        <v>18</v>
      </c>
      <c r="B1330" s="4" t="s">
        <v>7</v>
      </c>
      <c r="C1330" s="3">
        <v>39.1</v>
      </c>
      <c r="D1330" s="3">
        <v>0</v>
      </c>
      <c r="E1330" s="4" t="s">
        <v>8</v>
      </c>
      <c r="F1330" s="4" t="s">
        <v>13</v>
      </c>
      <c r="G1330" s="3">
        <v>12890.06</v>
      </c>
    </row>
    <row r="1331" spans="1:7" ht="14.5">
      <c r="A1331" s="3">
        <v>18</v>
      </c>
      <c r="B1331" s="4" t="s">
        <v>7</v>
      </c>
      <c r="C1331" s="3">
        <v>33.299999999999997</v>
      </c>
      <c r="D1331" s="3">
        <v>0</v>
      </c>
      <c r="E1331" s="4" t="s">
        <v>8</v>
      </c>
      <c r="F1331" s="4" t="s">
        <v>14</v>
      </c>
      <c r="G1331" s="3">
        <v>1135.94</v>
      </c>
    </row>
    <row r="1332" spans="1:7" ht="14.5">
      <c r="A1332" s="3">
        <v>18</v>
      </c>
      <c r="B1332" s="4" t="s">
        <v>10</v>
      </c>
      <c r="C1332" s="3">
        <v>39.799999999999997</v>
      </c>
      <c r="D1332" s="3">
        <v>0</v>
      </c>
      <c r="E1332" s="4" t="s">
        <v>8</v>
      </c>
      <c r="F1332" s="4" t="s">
        <v>14</v>
      </c>
      <c r="G1332" s="3">
        <v>1633.96</v>
      </c>
    </row>
    <row r="1333" spans="1:7" ht="14.5">
      <c r="A1333" s="3">
        <v>18</v>
      </c>
      <c r="B1333" s="4" t="s">
        <v>10</v>
      </c>
      <c r="C1333" s="3">
        <v>21.7</v>
      </c>
      <c r="D1333" s="3">
        <v>0</v>
      </c>
      <c r="E1333" s="4" t="s">
        <v>11</v>
      </c>
      <c r="F1333" s="4" t="s">
        <v>13</v>
      </c>
      <c r="G1333" s="3">
        <v>14283.46</v>
      </c>
    </row>
    <row r="1334" spans="1:7" ht="14.5">
      <c r="A1334" s="3">
        <v>18</v>
      </c>
      <c r="B1334" s="4" t="s">
        <v>7</v>
      </c>
      <c r="C1334" s="3">
        <v>30</v>
      </c>
      <c r="D1334" s="3">
        <v>1</v>
      </c>
      <c r="E1334" s="4" t="s">
        <v>8</v>
      </c>
      <c r="F1334" s="4" t="s">
        <v>14</v>
      </c>
      <c r="G1334" s="3">
        <v>1720.35</v>
      </c>
    </row>
    <row r="1335" spans="1:7" ht="14.5">
      <c r="A1335" s="3">
        <v>18</v>
      </c>
      <c r="B1335" s="4" t="s">
        <v>7</v>
      </c>
      <c r="C1335" s="3">
        <v>26.1</v>
      </c>
      <c r="D1335" s="3">
        <v>0</v>
      </c>
      <c r="E1335" s="4" t="s">
        <v>8</v>
      </c>
      <c r="F1335" s="4" t="s">
        <v>13</v>
      </c>
      <c r="G1335" s="3">
        <v>1708.93</v>
      </c>
    </row>
    <row r="1336" spans="1:7" ht="14.5">
      <c r="A1336" s="3">
        <v>18</v>
      </c>
      <c r="B1336" s="4" t="s">
        <v>7</v>
      </c>
      <c r="C1336" s="3">
        <v>28.3</v>
      </c>
      <c r="D1336" s="3">
        <v>1</v>
      </c>
      <c r="E1336" s="4" t="s">
        <v>8</v>
      </c>
      <c r="F1336" s="4" t="s">
        <v>13</v>
      </c>
      <c r="G1336" s="3">
        <v>11272.33</v>
      </c>
    </row>
    <row r="1337" spans="1:7" ht="14.5">
      <c r="A1337" s="3">
        <v>18</v>
      </c>
      <c r="B1337" s="4" t="s">
        <v>7</v>
      </c>
      <c r="C1337" s="3">
        <v>53.1</v>
      </c>
      <c r="D1337" s="3">
        <v>0</v>
      </c>
      <c r="E1337" s="4" t="s">
        <v>8</v>
      </c>
      <c r="F1337" s="4" t="s">
        <v>14</v>
      </c>
      <c r="G1337" s="3">
        <v>1163.46</v>
      </c>
    </row>
    <row r="1338" spans="1:7" ht="14.5">
      <c r="A1338" s="3">
        <v>18</v>
      </c>
      <c r="B1338" s="4" t="s">
        <v>10</v>
      </c>
      <c r="C1338" s="3">
        <v>31.9</v>
      </c>
      <c r="D1338" s="3">
        <v>0</v>
      </c>
      <c r="E1338" s="4" t="s">
        <v>8</v>
      </c>
      <c r="F1338" s="4" t="s">
        <v>13</v>
      </c>
      <c r="G1338" s="3">
        <v>2205.98</v>
      </c>
    </row>
    <row r="1339" spans="1:7" ht="14.5">
      <c r="A1339" s="3">
        <v>18</v>
      </c>
      <c r="B1339" s="4" t="s">
        <v>10</v>
      </c>
      <c r="C1339" s="3">
        <v>36.9</v>
      </c>
      <c r="D1339" s="3">
        <v>0</v>
      </c>
      <c r="E1339" s="4" t="s">
        <v>8</v>
      </c>
      <c r="F1339" s="4" t="s">
        <v>14</v>
      </c>
      <c r="G1339" s="3">
        <v>1629.83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476203-9D97-433B-A6CB-9CF79B5E7FB9}">
  <dimension ref="A1:N1341"/>
  <sheetViews>
    <sheetView tabSelected="1" workbookViewId="0">
      <selection activeCell="K4" sqref="K4:K1341"/>
    </sheetView>
  </sheetViews>
  <sheetFormatPr defaultRowHeight="12.5"/>
  <cols>
    <col min="1" max="1" width="12.1796875" bestFit="1" customWidth="1"/>
    <col min="3" max="3" width="12.26953125" customWidth="1"/>
    <col min="9" max="9" width="17.54296875" customWidth="1"/>
    <col min="11" max="11" width="15.81640625" customWidth="1"/>
  </cols>
  <sheetData>
    <row r="1" spans="1:14" ht="25">
      <c r="A1" s="27" t="s">
        <v>45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</row>
    <row r="2" spans="1:14" ht="20">
      <c r="A2" s="25" t="s">
        <v>26</v>
      </c>
      <c r="B2" s="26"/>
      <c r="C2" s="26"/>
      <c r="D2" s="26"/>
      <c r="E2" s="26"/>
      <c r="F2" s="26"/>
      <c r="G2" s="26"/>
      <c r="H2" s="26"/>
      <c r="I2" s="26"/>
      <c r="J2" s="26"/>
      <c r="K2" s="26"/>
      <c r="L2" s="26"/>
      <c r="M2" s="26"/>
      <c r="N2" s="26"/>
    </row>
    <row r="3" spans="1:14" ht="14.5">
      <c r="A3" s="12" t="s">
        <v>3</v>
      </c>
      <c r="C3" s="13" t="s">
        <v>15</v>
      </c>
      <c r="I3" s="12" t="s">
        <v>6</v>
      </c>
      <c r="K3" s="13" t="s">
        <v>16</v>
      </c>
    </row>
    <row r="4" spans="1:14" ht="14.5">
      <c r="A4" s="3">
        <v>1</v>
      </c>
      <c r="C4">
        <f>1+A4</f>
        <v>2</v>
      </c>
      <c r="I4" s="3">
        <v>30166.62</v>
      </c>
      <c r="K4" s="6">
        <f>I4/C4</f>
        <v>15083.31</v>
      </c>
    </row>
    <row r="5" spans="1:14" ht="14.5">
      <c r="A5" s="3">
        <v>2</v>
      </c>
      <c r="C5">
        <f t="shared" ref="C5:C68" si="0">1+A5</f>
        <v>3</v>
      </c>
      <c r="I5" s="3">
        <v>47291.06</v>
      </c>
      <c r="K5" s="6">
        <f t="shared" ref="K5:K68" si="1">I5/C5</f>
        <v>15763.686666666666</v>
      </c>
    </row>
    <row r="6" spans="1:14" ht="14.5">
      <c r="A6" s="3">
        <v>0</v>
      </c>
      <c r="C6">
        <f t="shared" si="0"/>
        <v>1</v>
      </c>
      <c r="I6" s="3">
        <v>14901.52</v>
      </c>
      <c r="K6" s="6">
        <f t="shared" si="1"/>
        <v>14901.52</v>
      </c>
    </row>
    <row r="7" spans="1:14" ht="14.5">
      <c r="A7" s="3">
        <v>1</v>
      </c>
      <c r="C7">
        <f t="shared" si="0"/>
        <v>2</v>
      </c>
      <c r="I7" s="3">
        <v>47928.03</v>
      </c>
      <c r="K7" s="6">
        <f t="shared" si="1"/>
        <v>23964.014999999999</v>
      </c>
    </row>
    <row r="8" spans="1:14" ht="14.5">
      <c r="A8" s="3">
        <v>0</v>
      </c>
      <c r="C8">
        <f t="shared" si="0"/>
        <v>1</v>
      </c>
      <c r="I8" s="3">
        <v>13822.8</v>
      </c>
      <c r="K8" s="6">
        <f t="shared" si="1"/>
        <v>13822.8</v>
      </c>
    </row>
    <row r="9" spans="1:14" ht="14.5">
      <c r="A9" s="3">
        <v>3</v>
      </c>
      <c r="C9">
        <f t="shared" si="0"/>
        <v>4</v>
      </c>
      <c r="I9" s="3">
        <v>16455.71</v>
      </c>
      <c r="K9" s="6">
        <f t="shared" si="1"/>
        <v>4113.9274999999998</v>
      </c>
    </row>
    <row r="10" spans="1:14" ht="14.5">
      <c r="A10" s="3">
        <v>2</v>
      </c>
      <c r="C10">
        <f t="shared" si="0"/>
        <v>3</v>
      </c>
      <c r="I10" s="3">
        <v>14988.43</v>
      </c>
      <c r="K10" s="6">
        <f t="shared" si="1"/>
        <v>4996.1433333333334</v>
      </c>
    </row>
    <row r="11" spans="1:14" ht="14.5">
      <c r="A11" s="3">
        <v>0</v>
      </c>
      <c r="C11">
        <f t="shared" si="0"/>
        <v>1</v>
      </c>
      <c r="I11" s="3">
        <v>14692.67</v>
      </c>
      <c r="K11" s="6">
        <f t="shared" si="1"/>
        <v>14692.67</v>
      </c>
    </row>
    <row r="12" spans="1:14" ht="14.5">
      <c r="A12" s="3">
        <v>1</v>
      </c>
      <c r="C12">
        <f t="shared" si="0"/>
        <v>2</v>
      </c>
      <c r="I12" s="3">
        <v>14418.28</v>
      </c>
      <c r="K12" s="6">
        <f t="shared" si="1"/>
        <v>7209.14</v>
      </c>
    </row>
    <row r="13" spans="1:14" ht="14.5">
      <c r="A13" s="3">
        <v>0</v>
      </c>
      <c r="C13">
        <f t="shared" si="0"/>
        <v>1</v>
      </c>
      <c r="I13" s="3">
        <v>46889.26</v>
      </c>
      <c r="K13" s="6">
        <f t="shared" si="1"/>
        <v>46889.26</v>
      </c>
    </row>
    <row r="14" spans="1:14" ht="14.5">
      <c r="A14" s="3">
        <v>0</v>
      </c>
      <c r="C14">
        <f t="shared" si="0"/>
        <v>1</v>
      </c>
      <c r="I14" s="3">
        <v>13831.12</v>
      </c>
      <c r="K14" s="6">
        <f t="shared" si="1"/>
        <v>13831.12</v>
      </c>
    </row>
    <row r="15" spans="1:14" ht="14.5">
      <c r="A15" s="3">
        <v>3</v>
      </c>
      <c r="C15">
        <f t="shared" si="0"/>
        <v>4</v>
      </c>
      <c r="I15" s="3">
        <v>16085.13</v>
      </c>
      <c r="K15" s="6">
        <f t="shared" si="1"/>
        <v>4021.2824999999998</v>
      </c>
    </row>
    <row r="16" spans="1:14" ht="14.5">
      <c r="A16" s="3">
        <v>0</v>
      </c>
      <c r="C16">
        <f t="shared" si="0"/>
        <v>1</v>
      </c>
      <c r="I16" s="3">
        <v>14410.93</v>
      </c>
      <c r="K16" s="6">
        <f t="shared" si="1"/>
        <v>14410.93</v>
      </c>
    </row>
    <row r="17" spans="1:11" ht="14.5">
      <c r="A17" s="3">
        <v>0</v>
      </c>
      <c r="C17">
        <f t="shared" si="0"/>
        <v>1</v>
      </c>
      <c r="I17" s="3">
        <v>27037.91</v>
      </c>
      <c r="K17" s="6">
        <f t="shared" si="1"/>
        <v>27037.91</v>
      </c>
    </row>
    <row r="18" spans="1:11" ht="14.5">
      <c r="A18" s="3">
        <v>0</v>
      </c>
      <c r="C18">
        <f t="shared" si="0"/>
        <v>1</v>
      </c>
      <c r="I18" s="3">
        <v>14210.54</v>
      </c>
      <c r="K18" s="6">
        <f t="shared" si="1"/>
        <v>14210.54</v>
      </c>
    </row>
    <row r="19" spans="1:11" ht="14.5">
      <c r="A19" s="3">
        <v>0</v>
      </c>
      <c r="C19">
        <f t="shared" si="0"/>
        <v>1</v>
      </c>
      <c r="I19" s="3">
        <v>14319.03</v>
      </c>
      <c r="K19" s="6">
        <f t="shared" si="1"/>
        <v>14319.03</v>
      </c>
    </row>
    <row r="20" spans="1:11" ht="14.5">
      <c r="A20" s="3">
        <v>0</v>
      </c>
      <c r="C20">
        <f t="shared" si="0"/>
        <v>1</v>
      </c>
      <c r="I20" s="3">
        <v>14313.85</v>
      </c>
      <c r="K20" s="6">
        <f t="shared" si="1"/>
        <v>14313.85</v>
      </c>
    </row>
    <row r="21" spans="1:11" ht="14.5">
      <c r="A21" s="3">
        <v>2</v>
      </c>
      <c r="C21">
        <f t="shared" si="0"/>
        <v>3</v>
      </c>
      <c r="I21" s="3">
        <v>16069.08</v>
      </c>
      <c r="K21" s="6">
        <f t="shared" si="1"/>
        <v>5356.36</v>
      </c>
    </row>
    <row r="22" spans="1:11" ht="14.5">
      <c r="A22" s="3">
        <v>0</v>
      </c>
      <c r="C22">
        <f t="shared" si="0"/>
        <v>1</v>
      </c>
      <c r="I22" s="3">
        <v>29330.98</v>
      </c>
      <c r="K22" s="6">
        <f t="shared" si="1"/>
        <v>29330.98</v>
      </c>
    </row>
    <row r="23" spans="1:11" ht="14.5">
      <c r="A23" s="3">
        <v>0</v>
      </c>
      <c r="C23">
        <f t="shared" si="0"/>
        <v>1</v>
      </c>
      <c r="I23" s="3">
        <v>14394.56</v>
      </c>
      <c r="K23" s="6">
        <f t="shared" si="1"/>
        <v>14394.56</v>
      </c>
    </row>
    <row r="24" spans="1:11" ht="14.5">
      <c r="A24" s="3">
        <v>2</v>
      </c>
      <c r="C24">
        <f t="shared" si="0"/>
        <v>3</v>
      </c>
      <c r="I24" s="3">
        <v>49577.66</v>
      </c>
      <c r="K24" s="6">
        <f t="shared" si="1"/>
        <v>16525.886666666669</v>
      </c>
    </row>
    <row r="25" spans="1:11" ht="14.5">
      <c r="A25" s="3">
        <v>0</v>
      </c>
      <c r="C25">
        <f t="shared" si="0"/>
        <v>1</v>
      </c>
      <c r="I25" s="3">
        <v>26926.51</v>
      </c>
      <c r="K25" s="6">
        <f t="shared" si="1"/>
        <v>26926.51</v>
      </c>
    </row>
    <row r="26" spans="1:11" ht="14.5">
      <c r="A26" s="3">
        <v>0</v>
      </c>
      <c r="C26">
        <f t="shared" si="0"/>
        <v>1</v>
      </c>
      <c r="I26" s="3">
        <v>14451.84</v>
      </c>
      <c r="K26" s="6">
        <f t="shared" si="1"/>
        <v>14451.84</v>
      </c>
    </row>
    <row r="27" spans="1:11" ht="14.5">
      <c r="A27" s="3">
        <v>0</v>
      </c>
      <c r="C27">
        <f t="shared" si="0"/>
        <v>1</v>
      </c>
      <c r="I27" s="3">
        <v>13770.1</v>
      </c>
      <c r="K27" s="6">
        <f t="shared" si="1"/>
        <v>13770.1</v>
      </c>
    </row>
    <row r="28" spans="1:11" ht="14.5">
      <c r="A28" s="3">
        <v>0</v>
      </c>
      <c r="C28">
        <f t="shared" si="0"/>
        <v>1</v>
      </c>
      <c r="I28" s="3">
        <v>47055.53</v>
      </c>
      <c r="K28" s="6">
        <f t="shared" si="1"/>
        <v>47055.53</v>
      </c>
    </row>
    <row r="29" spans="1:11" ht="14.5">
      <c r="A29" s="3">
        <v>0</v>
      </c>
      <c r="C29">
        <f t="shared" si="0"/>
        <v>1</v>
      </c>
      <c r="I29" s="3">
        <v>13405.39</v>
      </c>
      <c r="K29" s="6">
        <f t="shared" si="1"/>
        <v>13405.39</v>
      </c>
    </row>
    <row r="30" spans="1:11" ht="14.5">
      <c r="A30" s="3">
        <v>0</v>
      </c>
      <c r="C30">
        <f t="shared" si="0"/>
        <v>1</v>
      </c>
      <c r="I30" s="3">
        <v>48824.45</v>
      </c>
      <c r="K30" s="6">
        <f t="shared" si="1"/>
        <v>48824.45</v>
      </c>
    </row>
    <row r="31" spans="1:11" ht="14.5">
      <c r="A31" s="3">
        <v>0</v>
      </c>
      <c r="C31">
        <f t="shared" si="0"/>
        <v>1</v>
      </c>
      <c r="I31" s="3">
        <v>13880.95</v>
      </c>
      <c r="K31" s="6">
        <f t="shared" si="1"/>
        <v>13880.95</v>
      </c>
    </row>
    <row r="32" spans="1:11" ht="14.5">
      <c r="A32" s="3">
        <v>0</v>
      </c>
      <c r="C32">
        <f t="shared" si="0"/>
        <v>1</v>
      </c>
      <c r="I32" s="3">
        <v>29523.17</v>
      </c>
      <c r="K32" s="6">
        <f t="shared" si="1"/>
        <v>29523.17</v>
      </c>
    </row>
    <row r="33" spans="1:11" ht="14.5">
      <c r="A33" s="3">
        <v>2</v>
      </c>
      <c r="C33">
        <f t="shared" si="0"/>
        <v>3</v>
      </c>
      <c r="I33" s="3">
        <v>47305.31</v>
      </c>
      <c r="K33" s="6">
        <f t="shared" si="1"/>
        <v>15768.436666666666</v>
      </c>
    </row>
    <row r="34" spans="1:11" ht="14.5">
      <c r="A34" s="3">
        <v>0</v>
      </c>
      <c r="C34">
        <f t="shared" si="0"/>
        <v>1</v>
      </c>
      <c r="I34" s="3">
        <v>14256.19</v>
      </c>
      <c r="K34" s="6">
        <f t="shared" si="1"/>
        <v>14256.19</v>
      </c>
    </row>
    <row r="35" spans="1:11" ht="14.5">
      <c r="A35" s="3">
        <v>0</v>
      </c>
      <c r="C35">
        <f t="shared" si="0"/>
        <v>1</v>
      </c>
      <c r="I35" s="3">
        <v>13981.85</v>
      </c>
      <c r="K35" s="6">
        <f t="shared" si="1"/>
        <v>13981.85</v>
      </c>
    </row>
    <row r="36" spans="1:11" ht="14.5">
      <c r="A36" s="3">
        <v>0</v>
      </c>
      <c r="C36">
        <f t="shared" si="0"/>
        <v>1</v>
      </c>
      <c r="I36" s="3">
        <v>28950.47</v>
      </c>
      <c r="K36" s="6">
        <f t="shared" si="1"/>
        <v>28950.47</v>
      </c>
    </row>
    <row r="37" spans="1:11" ht="14.5">
      <c r="A37" s="3">
        <v>3</v>
      </c>
      <c r="C37">
        <f t="shared" si="0"/>
        <v>4</v>
      </c>
      <c r="I37" s="3">
        <v>15555.19</v>
      </c>
      <c r="K37" s="6">
        <f t="shared" si="1"/>
        <v>3888.7975000000001</v>
      </c>
    </row>
    <row r="38" spans="1:11" ht="14.5">
      <c r="A38" s="3">
        <v>0</v>
      </c>
      <c r="C38">
        <f t="shared" si="0"/>
        <v>1</v>
      </c>
      <c r="I38" s="3">
        <v>13887.2</v>
      </c>
      <c r="K38" s="6">
        <f t="shared" si="1"/>
        <v>13887.2</v>
      </c>
    </row>
    <row r="39" spans="1:11" ht="14.5">
      <c r="A39" s="3">
        <v>0</v>
      </c>
      <c r="C39">
        <f t="shared" si="0"/>
        <v>1</v>
      </c>
      <c r="I39" s="3">
        <v>13390.56</v>
      </c>
      <c r="K39" s="6">
        <f t="shared" si="1"/>
        <v>13390.56</v>
      </c>
    </row>
    <row r="40" spans="1:11" ht="14.5">
      <c r="A40" s="3">
        <v>0</v>
      </c>
      <c r="C40">
        <f t="shared" si="0"/>
        <v>1</v>
      </c>
      <c r="I40" s="3">
        <v>13393.76</v>
      </c>
      <c r="K40" s="6">
        <f t="shared" si="1"/>
        <v>13393.76</v>
      </c>
    </row>
    <row r="41" spans="1:11" ht="14.5">
      <c r="A41" s="3">
        <v>3</v>
      </c>
      <c r="C41">
        <f t="shared" si="0"/>
        <v>4</v>
      </c>
      <c r="I41" s="3">
        <v>15170.07</v>
      </c>
      <c r="K41" s="6">
        <f t="shared" si="1"/>
        <v>3792.5174999999999</v>
      </c>
    </row>
    <row r="42" spans="1:11" ht="14.5">
      <c r="A42" s="3">
        <v>1</v>
      </c>
      <c r="C42">
        <f t="shared" si="0"/>
        <v>2</v>
      </c>
      <c r="I42" s="3">
        <v>14474.68</v>
      </c>
      <c r="K42" s="6">
        <f t="shared" si="1"/>
        <v>7237.34</v>
      </c>
    </row>
    <row r="43" spans="1:11" ht="14.5">
      <c r="A43" s="3">
        <v>0</v>
      </c>
      <c r="C43">
        <f t="shared" si="0"/>
        <v>1</v>
      </c>
      <c r="I43" s="3">
        <v>13887.97</v>
      </c>
      <c r="K43" s="6">
        <f t="shared" si="1"/>
        <v>13887.97</v>
      </c>
    </row>
    <row r="44" spans="1:11" ht="14.5">
      <c r="A44" s="3">
        <v>1</v>
      </c>
      <c r="C44">
        <f t="shared" si="0"/>
        <v>2</v>
      </c>
      <c r="I44" s="3">
        <v>14349.85</v>
      </c>
      <c r="K44" s="6">
        <f t="shared" si="1"/>
        <v>7174.9250000000002</v>
      </c>
    </row>
    <row r="45" spans="1:11" ht="14.5">
      <c r="A45" s="3">
        <v>0</v>
      </c>
      <c r="C45">
        <f t="shared" si="0"/>
        <v>1</v>
      </c>
      <c r="I45" s="3">
        <v>13974.46</v>
      </c>
      <c r="K45" s="6">
        <f t="shared" si="1"/>
        <v>13974.46</v>
      </c>
    </row>
    <row r="46" spans="1:11" ht="14.5">
      <c r="A46" s="3">
        <v>3</v>
      </c>
      <c r="C46">
        <f t="shared" si="0"/>
        <v>4</v>
      </c>
      <c r="I46" s="3">
        <v>15161.53</v>
      </c>
      <c r="K46" s="6">
        <f t="shared" si="1"/>
        <v>3790.3825000000002</v>
      </c>
    </row>
    <row r="47" spans="1:11" ht="14.5">
      <c r="A47" s="3">
        <v>0</v>
      </c>
      <c r="C47">
        <f t="shared" si="0"/>
        <v>1</v>
      </c>
      <c r="I47" s="3">
        <v>14254.61</v>
      </c>
      <c r="K47" s="6">
        <f t="shared" si="1"/>
        <v>14254.61</v>
      </c>
    </row>
    <row r="48" spans="1:11" ht="14.5">
      <c r="A48" s="3">
        <v>0</v>
      </c>
      <c r="C48">
        <f t="shared" si="0"/>
        <v>1</v>
      </c>
      <c r="I48" s="3">
        <v>14449.85</v>
      </c>
      <c r="K48" s="6">
        <f t="shared" si="1"/>
        <v>14449.85</v>
      </c>
    </row>
    <row r="49" spans="1:11" ht="14.5">
      <c r="A49" s="3">
        <v>0</v>
      </c>
      <c r="C49">
        <f t="shared" si="0"/>
        <v>1</v>
      </c>
      <c r="I49" s="3">
        <v>27808.73</v>
      </c>
      <c r="K49" s="6">
        <f t="shared" si="1"/>
        <v>27808.73</v>
      </c>
    </row>
    <row r="50" spans="1:11" ht="14.5">
      <c r="A50" s="3">
        <v>3</v>
      </c>
      <c r="C50">
        <f t="shared" si="0"/>
        <v>4</v>
      </c>
      <c r="I50" s="3">
        <v>15612.19</v>
      </c>
      <c r="K50" s="6">
        <f t="shared" si="1"/>
        <v>3903.0475000000001</v>
      </c>
    </row>
    <row r="51" spans="1:11" ht="14.5">
      <c r="A51" s="3">
        <v>1</v>
      </c>
      <c r="C51">
        <f t="shared" si="0"/>
        <v>2</v>
      </c>
      <c r="I51" s="3">
        <v>13937.67</v>
      </c>
      <c r="K51" s="6">
        <f t="shared" si="1"/>
        <v>6968.835</v>
      </c>
    </row>
    <row r="52" spans="1:11" ht="14.5">
      <c r="A52" s="3">
        <v>0</v>
      </c>
      <c r="C52">
        <f t="shared" si="0"/>
        <v>1</v>
      </c>
      <c r="I52" s="3">
        <v>13352.1</v>
      </c>
      <c r="K52" s="6">
        <f t="shared" si="1"/>
        <v>13352.1</v>
      </c>
    </row>
    <row r="53" spans="1:11" ht="14.5">
      <c r="A53" s="3">
        <v>1</v>
      </c>
      <c r="C53">
        <f t="shared" si="0"/>
        <v>2</v>
      </c>
      <c r="I53" s="3">
        <v>27000.98</v>
      </c>
      <c r="K53" s="6">
        <f t="shared" si="1"/>
        <v>13500.49</v>
      </c>
    </row>
    <row r="54" spans="1:11" ht="14.5">
      <c r="A54" s="3">
        <v>2</v>
      </c>
      <c r="C54">
        <f t="shared" si="0"/>
        <v>3</v>
      </c>
      <c r="I54" s="3">
        <v>15230.32</v>
      </c>
      <c r="K54" s="6">
        <f t="shared" si="1"/>
        <v>5076.7733333333335</v>
      </c>
    </row>
    <row r="55" spans="1:11" ht="14.5">
      <c r="A55" s="3">
        <v>0</v>
      </c>
      <c r="C55">
        <f t="shared" si="0"/>
        <v>1</v>
      </c>
      <c r="I55" s="3">
        <v>13470.86</v>
      </c>
      <c r="K55" s="6">
        <f t="shared" si="1"/>
        <v>13470.86</v>
      </c>
    </row>
    <row r="56" spans="1:11" ht="14.5">
      <c r="A56" s="3">
        <v>0</v>
      </c>
      <c r="C56">
        <f t="shared" si="0"/>
        <v>1</v>
      </c>
      <c r="I56" s="3">
        <v>14043.48</v>
      </c>
      <c r="K56" s="6">
        <f t="shared" si="1"/>
        <v>14043.48</v>
      </c>
    </row>
    <row r="57" spans="1:11" ht="14.5">
      <c r="A57" s="3">
        <v>0</v>
      </c>
      <c r="C57">
        <f t="shared" si="0"/>
        <v>1</v>
      </c>
      <c r="I57" s="3">
        <v>12957.12</v>
      </c>
      <c r="K57" s="6">
        <f t="shared" si="1"/>
        <v>12957.12</v>
      </c>
    </row>
    <row r="58" spans="1:11" ht="14.5">
      <c r="A58" s="3">
        <v>1</v>
      </c>
      <c r="C58">
        <f t="shared" si="0"/>
        <v>2</v>
      </c>
      <c r="I58" s="3">
        <v>31620</v>
      </c>
      <c r="K58" s="6">
        <f t="shared" si="1"/>
        <v>15810</v>
      </c>
    </row>
    <row r="59" spans="1:11" ht="14.5">
      <c r="A59" s="3">
        <v>0</v>
      </c>
      <c r="C59">
        <f t="shared" si="0"/>
        <v>1</v>
      </c>
      <c r="I59" s="3">
        <v>45710.21</v>
      </c>
      <c r="K59" s="6">
        <f t="shared" si="1"/>
        <v>45710.21</v>
      </c>
    </row>
    <row r="60" spans="1:11" ht="14.5">
      <c r="A60" s="3">
        <v>0</v>
      </c>
      <c r="C60">
        <f t="shared" si="0"/>
        <v>1</v>
      </c>
      <c r="I60" s="3">
        <v>12979.36</v>
      </c>
      <c r="K60" s="6">
        <f t="shared" si="1"/>
        <v>12979.36</v>
      </c>
    </row>
    <row r="61" spans="1:11" ht="14.5">
      <c r="A61" s="3">
        <v>0</v>
      </c>
      <c r="C61">
        <f t="shared" si="0"/>
        <v>1</v>
      </c>
      <c r="I61" s="3">
        <v>13457.96</v>
      </c>
      <c r="K61" s="6">
        <f t="shared" si="1"/>
        <v>13457.96</v>
      </c>
    </row>
    <row r="62" spans="1:11" ht="14.5">
      <c r="A62" s="3">
        <v>0</v>
      </c>
      <c r="C62">
        <f t="shared" si="0"/>
        <v>1</v>
      </c>
      <c r="I62" s="3">
        <v>13555</v>
      </c>
      <c r="K62" s="6">
        <f t="shared" si="1"/>
        <v>13555</v>
      </c>
    </row>
    <row r="63" spans="1:11" ht="14.5">
      <c r="A63" s="3">
        <v>0</v>
      </c>
      <c r="C63">
        <f t="shared" si="0"/>
        <v>1</v>
      </c>
      <c r="I63" s="3">
        <v>13451.12</v>
      </c>
      <c r="K63" s="6">
        <f t="shared" si="1"/>
        <v>13451.12</v>
      </c>
    </row>
    <row r="64" spans="1:11" ht="14.5">
      <c r="A64" s="3">
        <v>0</v>
      </c>
      <c r="C64">
        <f t="shared" si="0"/>
        <v>1</v>
      </c>
      <c r="I64" s="3">
        <v>13462.52</v>
      </c>
      <c r="K64" s="6">
        <f t="shared" si="1"/>
        <v>13462.52</v>
      </c>
    </row>
    <row r="65" spans="1:11" ht="14.5">
      <c r="A65" s="3">
        <v>0</v>
      </c>
      <c r="C65">
        <f t="shared" si="0"/>
        <v>1</v>
      </c>
      <c r="I65" s="3">
        <v>13470.8</v>
      </c>
      <c r="K65" s="6">
        <f t="shared" si="1"/>
        <v>13470.8</v>
      </c>
    </row>
    <row r="66" spans="1:11" ht="14.5">
      <c r="A66" s="3">
        <v>0</v>
      </c>
      <c r="C66">
        <f t="shared" si="0"/>
        <v>1</v>
      </c>
      <c r="I66" s="3">
        <v>12982.87</v>
      </c>
      <c r="K66" s="6">
        <f t="shared" si="1"/>
        <v>12982.87</v>
      </c>
    </row>
    <row r="67" spans="1:11" ht="14.5">
      <c r="A67" s="3">
        <v>2</v>
      </c>
      <c r="C67">
        <f t="shared" si="0"/>
        <v>3</v>
      </c>
      <c r="I67" s="3">
        <v>15019.76</v>
      </c>
      <c r="K67" s="6">
        <f t="shared" si="1"/>
        <v>5006.586666666667</v>
      </c>
    </row>
    <row r="68" spans="1:11" ht="14.5">
      <c r="A68" s="3">
        <v>0</v>
      </c>
      <c r="C68">
        <f t="shared" si="0"/>
        <v>1</v>
      </c>
      <c r="I68" s="3">
        <v>13844.8</v>
      </c>
      <c r="K68" s="6">
        <f t="shared" si="1"/>
        <v>13844.8</v>
      </c>
    </row>
    <row r="69" spans="1:11" ht="14.5">
      <c r="A69" s="3">
        <v>3</v>
      </c>
      <c r="C69">
        <f t="shared" ref="C69:C132" si="2">1+A69</f>
        <v>4</v>
      </c>
      <c r="I69" s="3">
        <v>46718.16</v>
      </c>
      <c r="K69" s="6">
        <f t="shared" ref="K69:K132" si="3">I69/C69</f>
        <v>11679.54</v>
      </c>
    </row>
    <row r="70" spans="1:11" ht="14.5">
      <c r="A70" s="3">
        <v>0</v>
      </c>
      <c r="C70">
        <f t="shared" si="2"/>
        <v>1</v>
      </c>
      <c r="I70" s="3">
        <v>28101.33</v>
      </c>
      <c r="K70" s="6">
        <f t="shared" si="3"/>
        <v>28101.33</v>
      </c>
    </row>
    <row r="71" spans="1:11" ht="14.5">
      <c r="A71" s="3">
        <v>0</v>
      </c>
      <c r="C71">
        <f t="shared" si="2"/>
        <v>1</v>
      </c>
      <c r="I71" s="3">
        <v>12981.35</v>
      </c>
      <c r="K71" s="6">
        <f t="shared" si="3"/>
        <v>12981.35</v>
      </c>
    </row>
    <row r="72" spans="1:11" ht="14.5">
      <c r="A72" s="3">
        <v>2</v>
      </c>
      <c r="C72">
        <f t="shared" si="2"/>
        <v>3</v>
      </c>
      <c r="I72" s="3">
        <v>14235.07</v>
      </c>
      <c r="K72" s="6">
        <f t="shared" si="3"/>
        <v>4745.0233333333335</v>
      </c>
    </row>
    <row r="73" spans="1:11" ht="14.5">
      <c r="A73" s="3">
        <v>3</v>
      </c>
      <c r="C73">
        <f t="shared" si="2"/>
        <v>4</v>
      </c>
      <c r="I73" s="3">
        <v>30942.19</v>
      </c>
      <c r="K73" s="6">
        <f t="shared" si="3"/>
        <v>7735.5474999999997</v>
      </c>
    </row>
    <row r="74" spans="1:11" ht="14.5">
      <c r="A74" s="3">
        <v>0</v>
      </c>
      <c r="C74">
        <f t="shared" si="2"/>
        <v>1</v>
      </c>
      <c r="I74" s="3">
        <v>13616.36</v>
      </c>
      <c r="K74" s="6">
        <f t="shared" si="3"/>
        <v>13616.36</v>
      </c>
    </row>
    <row r="75" spans="1:11" ht="14.5">
      <c r="A75" s="3">
        <v>0</v>
      </c>
      <c r="C75">
        <f t="shared" si="2"/>
        <v>1</v>
      </c>
      <c r="I75" s="3">
        <v>12557.61</v>
      </c>
      <c r="K75" s="6">
        <f t="shared" si="3"/>
        <v>12557.61</v>
      </c>
    </row>
    <row r="76" spans="1:11" ht="14.5">
      <c r="A76" s="3">
        <v>1</v>
      </c>
      <c r="C76">
        <f t="shared" si="2"/>
        <v>2</v>
      </c>
      <c r="I76" s="3">
        <v>48517.56</v>
      </c>
      <c r="K76" s="6">
        <f t="shared" si="3"/>
        <v>24258.78</v>
      </c>
    </row>
    <row r="77" spans="1:11" ht="14.5">
      <c r="A77" s="3">
        <v>0</v>
      </c>
      <c r="C77">
        <f t="shared" si="2"/>
        <v>1</v>
      </c>
      <c r="I77" s="3">
        <v>13429.04</v>
      </c>
      <c r="K77" s="6">
        <f t="shared" si="3"/>
        <v>13429.04</v>
      </c>
    </row>
    <row r="78" spans="1:11" ht="14.5">
      <c r="A78" s="3">
        <v>0</v>
      </c>
      <c r="C78">
        <f t="shared" si="2"/>
        <v>1</v>
      </c>
      <c r="I78" s="3">
        <v>13415.04</v>
      </c>
      <c r="K78" s="6">
        <f t="shared" si="3"/>
        <v>13415.04</v>
      </c>
    </row>
    <row r="79" spans="1:11" ht="14.5">
      <c r="A79" s="3">
        <v>0</v>
      </c>
      <c r="C79">
        <f t="shared" si="2"/>
        <v>1</v>
      </c>
      <c r="I79" s="3">
        <v>46599.11</v>
      </c>
      <c r="K79" s="6">
        <f t="shared" si="3"/>
        <v>46599.11</v>
      </c>
    </row>
    <row r="80" spans="1:11" ht="14.5">
      <c r="A80" s="3">
        <v>1</v>
      </c>
      <c r="C80">
        <f t="shared" si="2"/>
        <v>2</v>
      </c>
      <c r="I80" s="3">
        <v>28868.66</v>
      </c>
      <c r="K80" s="6">
        <f t="shared" si="3"/>
        <v>14434.33</v>
      </c>
    </row>
    <row r="81" spans="1:11" ht="14.5">
      <c r="A81" s="3">
        <v>0</v>
      </c>
      <c r="C81">
        <f t="shared" si="2"/>
        <v>1</v>
      </c>
      <c r="I81" s="3">
        <v>24513.09</v>
      </c>
      <c r="K81" s="6">
        <f t="shared" si="3"/>
        <v>24513.09</v>
      </c>
    </row>
    <row r="82" spans="1:11" ht="14.5">
      <c r="A82" s="3">
        <v>0</v>
      </c>
      <c r="C82">
        <f t="shared" si="2"/>
        <v>1</v>
      </c>
      <c r="I82" s="3">
        <v>12574.05</v>
      </c>
      <c r="K82" s="6">
        <f t="shared" si="3"/>
        <v>12574.05</v>
      </c>
    </row>
    <row r="83" spans="1:11" ht="14.5">
      <c r="A83" s="3">
        <v>0</v>
      </c>
      <c r="C83">
        <f t="shared" si="2"/>
        <v>1</v>
      </c>
      <c r="I83" s="3">
        <v>13635.64</v>
      </c>
      <c r="K83" s="6">
        <f t="shared" si="3"/>
        <v>13635.64</v>
      </c>
    </row>
    <row r="84" spans="1:11" ht="14.5">
      <c r="A84" s="3">
        <v>0</v>
      </c>
      <c r="C84">
        <f t="shared" si="2"/>
        <v>1</v>
      </c>
      <c r="I84" s="3">
        <v>13143.86</v>
      </c>
      <c r="K84" s="6">
        <f t="shared" si="3"/>
        <v>13143.86</v>
      </c>
    </row>
    <row r="85" spans="1:11" ht="14.5">
      <c r="A85" s="3">
        <v>3</v>
      </c>
      <c r="C85">
        <f t="shared" si="2"/>
        <v>4</v>
      </c>
      <c r="I85" s="3">
        <v>27941.29</v>
      </c>
      <c r="K85" s="6">
        <f t="shared" si="3"/>
        <v>6985.3225000000002</v>
      </c>
    </row>
    <row r="86" spans="1:11" ht="14.5">
      <c r="A86" s="3">
        <v>2</v>
      </c>
      <c r="C86">
        <f t="shared" si="2"/>
        <v>3</v>
      </c>
      <c r="I86" s="3">
        <v>14119.62</v>
      </c>
      <c r="K86" s="6">
        <f t="shared" si="3"/>
        <v>4706.54</v>
      </c>
    </row>
    <row r="87" spans="1:11" ht="14.5">
      <c r="A87" s="3">
        <v>0</v>
      </c>
      <c r="C87">
        <f t="shared" si="2"/>
        <v>1</v>
      </c>
      <c r="I87" s="3">
        <v>13129.6</v>
      </c>
      <c r="K87" s="6">
        <f t="shared" si="3"/>
        <v>13129.6</v>
      </c>
    </row>
    <row r="88" spans="1:11" ht="14.5">
      <c r="A88" s="3">
        <v>0</v>
      </c>
      <c r="C88">
        <f t="shared" si="2"/>
        <v>1</v>
      </c>
      <c r="I88" s="3">
        <v>13063.88</v>
      </c>
      <c r="K88" s="6">
        <f t="shared" si="3"/>
        <v>13063.88</v>
      </c>
    </row>
    <row r="89" spans="1:11" ht="14.5">
      <c r="A89" s="3">
        <v>0</v>
      </c>
      <c r="C89">
        <f t="shared" si="2"/>
        <v>1</v>
      </c>
      <c r="I89" s="3">
        <v>13041.92</v>
      </c>
      <c r="K89" s="6">
        <f t="shared" si="3"/>
        <v>13041.92</v>
      </c>
    </row>
    <row r="90" spans="1:11" ht="14.5">
      <c r="A90" s="3">
        <v>4</v>
      </c>
      <c r="C90">
        <f t="shared" si="2"/>
        <v>5</v>
      </c>
      <c r="I90" s="3">
        <v>36580.28</v>
      </c>
      <c r="K90" s="6">
        <f t="shared" si="3"/>
        <v>7316.0559999999996</v>
      </c>
    </row>
    <row r="91" spans="1:11" ht="14.5">
      <c r="A91" s="3">
        <v>0</v>
      </c>
      <c r="C91">
        <f t="shared" si="2"/>
        <v>1</v>
      </c>
      <c r="I91" s="3">
        <v>12950.07</v>
      </c>
      <c r="K91" s="6">
        <f t="shared" si="3"/>
        <v>12950.07</v>
      </c>
    </row>
    <row r="92" spans="1:11" ht="14.5">
      <c r="A92" s="3">
        <v>1</v>
      </c>
      <c r="C92">
        <f t="shared" si="2"/>
        <v>2</v>
      </c>
      <c r="I92" s="3">
        <v>47403.88</v>
      </c>
      <c r="K92" s="6">
        <f t="shared" si="3"/>
        <v>23701.94</v>
      </c>
    </row>
    <row r="93" spans="1:11" ht="14.5">
      <c r="A93" s="3">
        <v>0</v>
      </c>
      <c r="C93">
        <f t="shared" si="2"/>
        <v>1</v>
      </c>
      <c r="I93" s="3">
        <v>13143.34</v>
      </c>
      <c r="K93" s="6">
        <f t="shared" si="3"/>
        <v>13143.34</v>
      </c>
    </row>
    <row r="94" spans="1:11" ht="14.5">
      <c r="A94" s="3">
        <v>0</v>
      </c>
      <c r="C94">
        <f t="shared" si="2"/>
        <v>1</v>
      </c>
      <c r="I94" s="3">
        <v>29141.360000000001</v>
      </c>
      <c r="K94" s="6">
        <f t="shared" si="3"/>
        <v>29141.360000000001</v>
      </c>
    </row>
    <row r="95" spans="1:11" ht="14.5">
      <c r="A95" s="3">
        <v>0</v>
      </c>
      <c r="C95">
        <f t="shared" si="2"/>
        <v>1</v>
      </c>
      <c r="I95" s="3">
        <v>28923.14</v>
      </c>
      <c r="K95" s="6">
        <f t="shared" si="3"/>
        <v>28923.14</v>
      </c>
    </row>
    <row r="96" spans="1:11" ht="14.5">
      <c r="A96" s="3">
        <v>0</v>
      </c>
      <c r="C96">
        <f t="shared" si="2"/>
        <v>1</v>
      </c>
      <c r="I96" s="3">
        <v>13228.85</v>
      </c>
      <c r="K96" s="6">
        <f t="shared" si="3"/>
        <v>13228.85</v>
      </c>
    </row>
    <row r="97" spans="1:11" ht="14.5">
      <c r="A97" s="3">
        <v>0</v>
      </c>
      <c r="C97">
        <f t="shared" si="2"/>
        <v>1</v>
      </c>
      <c r="I97" s="3">
        <v>48173.36</v>
      </c>
      <c r="K97" s="6">
        <f t="shared" si="3"/>
        <v>48173.36</v>
      </c>
    </row>
    <row r="98" spans="1:11" ht="14.5">
      <c r="A98" s="3">
        <v>0</v>
      </c>
      <c r="C98">
        <f t="shared" si="2"/>
        <v>1</v>
      </c>
      <c r="I98" s="3">
        <v>12629.9</v>
      </c>
      <c r="K98" s="6">
        <f t="shared" si="3"/>
        <v>12629.9</v>
      </c>
    </row>
    <row r="99" spans="1:11" ht="14.5">
      <c r="A99" s="3">
        <v>0</v>
      </c>
      <c r="C99">
        <f t="shared" si="2"/>
        <v>1</v>
      </c>
      <c r="I99" s="3">
        <v>30260</v>
      </c>
      <c r="K99" s="6">
        <f t="shared" si="3"/>
        <v>30260</v>
      </c>
    </row>
    <row r="100" spans="1:11" ht="14.5">
      <c r="A100" s="3">
        <v>0</v>
      </c>
      <c r="C100">
        <f t="shared" si="2"/>
        <v>1</v>
      </c>
      <c r="I100" s="3">
        <v>13012.21</v>
      </c>
      <c r="K100" s="6">
        <f t="shared" si="3"/>
        <v>13012.21</v>
      </c>
    </row>
    <row r="101" spans="1:11" ht="14.5">
      <c r="A101" s="3">
        <v>0</v>
      </c>
      <c r="C101">
        <f t="shared" si="2"/>
        <v>1</v>
      </c>
      <c r="I101" s="3">
        <v>12648.7</v>
      </c>
      <c r="K101" s="6">
        <f t="shared" si="3"/>
        <v>12648.7</v>
      </c>
    </row>
    <row r="102" spans="1:11" ht="14.5">
      <c r="A102" s="3">
        <v>0</v>
      </c>
      <c r="C102">
        <f t="shared" si="2"/>
        <v>1</v>
      </c>
      <c r="I102" s="3">
        <v>12142.58</v>
      </c>
      <c r="K102" s="6">
        <f t="shared" si="3"/>
        <v>12142.58</v>
      </c>
    </row>
    <row r="103" spans="1:11" ht="14.5">
      <c r="A103" s="3">
        <v>0</v>
      </c>
      <c r="C103">
        <f t="shared" si="2"/>
        <v>1</v>
      </c>
      <c r="I103" s="3">
        <v>13217.09</v>
      </c>
      <c r="K103" s="6">
        <f t="shared" si="3"/>
        <v>13217.09</v>
      </c>
    </row>
    <row r="104" spans="1:11" ht="14.5">
      <c r="A104" s="3">
        <v>0</v>
      </c>
      <c r="C104">
        <f t="shared" si="2"/>
        <v>1</v>
      </c>
      <c r="I104" s="3">
        <v>12638.2</v>
      </c>
      <c r="K104" s="6">
        <f t="shared" si="3"/>
        <v>12638.2</v>
      </c>
    </row>
    <row r="105" spans="1:11" ht="14.5">
      <c r="A105" s="3">
        <v>3</v>
      </c>
      <c r="C105">
        <f t="shared" si="2"/>
        <v>4</v>
      </c>
      <c r="I105" s="3">
        <v>13919.82</v>
      </c>
      <c r="K105" s="6">
        <f t="shared" si="3"/>
        <v>3479.9549999999999</v>
      </c>
    </row>
    <row r="106" spans="1:11" ht="14.5">
      <c r="A106" s="3">
        <v>0</v>
      </c>
      <c r="C106">
        <f t="shared" si="2"/>
        <v>1</v>
      </c>
      <c r="I106" s="3">
        <v>12731</v>
      </c>
      <c r="K106" s="6">
        <f t="shared" si="3"/>
        <v>12731</v>
      </c>
    </row>
    <row r="107" spans="1:11" ht="14.5">
      <c r="A107" s="3">
        <v>1</v>
      </c>
      <c r="C107">
        <f t="shared" si="2"/>
        <v>2</v>
      </c>
      <c r="I107" s="3">
        <v>13224.69</v>
      </c>
      <c r="K107" s="6">
        <f t="shared" si="3"/>
        <v>6612.3450000000003</v>
      </c>
    </row>
    <row r="108" spans="1:11" ht="14.5">
      <c r="A108" s="3">
        <v>3</v>
      </c>
      <c r="C108">
        <f t="shared" si="2"/>
        <v>4</v>
      </c>
      <c r="I108" s="3">
        <v>46130.53</v>
      </c>
      <c r="K108" s="6">
        <f t="shared" si="3"/>
        <v>11532.6325</v>
      </c>
    </row>
    <row r="109" spans="1:11" ht="14.5">
      <c r="A109" s="3">
        <v>0</v>
      </c>
      <c r="C109">
        <f t="shared" si="2"/>
        <v>1</v>
      </c>
      <c r="I109" s="3">
        <v>12146.97</v>
      </c>
      <c r="K109" s="6">
        <f t="shared" si="3"/>
        <v>12146.97</v>
      </c>
    </row>
    <row r="110" spans="1:11" ht="14.5">
      <c r="A110" s="3">
        <v>1</v>
      </c>
      <c r="C110">
        <f t="shared" si="2"/>
        <v>2</v>
      </c>
      <c r="I110" s="3">
        <v>13112.6</v>
      </c>
      <c r="K110" s="6">
        <f t="shared" si="3"/>
        <v>6556.3</v>
      </c>
    </row>
    <row r="111" spans="1:11" ht="14.5">
      <c r="A111" s="3">
        <v>0</v>
      </c>
      <c r="C111">
        <f t="shared" si="2"/>
        <v>1</v>
      </c>
      <c r="I111" s="3">
        <v>12741.17</v>
      </c>
      <c r="K111" s="6">
        <f t="shared" si="3"/>
        <v>12741.17</v>
      </c>
    </row>
    <row r="112" spans="1:11" ht="14.5">
      <c r="A112" s="3">
        <v>0</v>
      </c>
      <c r="C112">
        <f t="shared" si="2"/>
        <v>1</v>
      </c>
      <c r="I112" s="3">
        <v>12523.6</v>
      </c>
      <c r="K112" s="6">
        <f t="shared" si="3"/>
        <v>12523.6</v>
      </c>
    </row>
    <row r="113" spans="1:11" ht="14.5">
      <c r="A113" s="3">
        <v>0</v>
      </c>
      <c r="C113">
        <f t="shared" si="2"/>
        <v>1</v>
      </c>
      <c r="I113" s="3">
        <v>45008.959999999999</v>
      </c>
      <c r="K113" s="6">
        <f t="shared" si="3"/>
        <v>45008.959999999999</v>
      </c>
    </row>
    <row r="114" spans="1:11" ht="14.5">
      <c r="A114" s="3">
        <v>0</v>
      </c>
      <c r="C114">
        <f t="shared" si="2"/>
        <v>1</v>
      </c>
      <c r="I114" s="3">
        <v>48673.56</v>
      </c>
      <c r="K114" s="6">
        <f t="shared" si="3"/>
        <v>48673.56</v>
      </c>
    </row>
    <row r="115" spans="1:11" ht="14.5">
      <c r="A115" s="3">
        <v>0</v>
      </c>
      <c r="C115">
        <f t="shared" si="2"/>
        <v>1</v>
      </c>
      <c r="I115" s="3">
        <v>12644.59</v>
      </c>
      <c r="K115" s="6">
        <f t="shared" si="3"/>
        <v>12644.59</v>
      </c>
    </row>
    <row r="116" spans="1:11" ht="14.5">
      <c r="A116" s="3">
        <v>0</v>
      </c>
      <c r="C116">
        <f t="shared" si="2"/>
        <v>1</v>
      </c>
      <c r="I116" s="3">
        <v>13204.29</v>
      </c>
      <c r="K116" s="6">
        <f t="shared" si="3"/>
        <v>13204.29</v>
      </c>
    </row>
    <row r="117" spans="1:11" ht="14.5">
      <c r="A117" s="3">
        <v>0</v>
      </c>
      <c r="C117">
        <f t="shared" si="2"/>
        <v>1</v>
      </c>
      <c r="I117" s="3">
        <v>52590.83</v>
      </c>
      <c r="K117" s="6">
        <f t="shared" si="3"/>
        <v>52590.83</v>
      </c>
    </row>
    <row r="118" spans="1:11" ht="14.5">
      <c r="A118" s="3">
        <v>3</v>
      </c>
      <c r="C118">
        <f t="shared" si="2"/>
        <v>4</v>
      </c>
      <c r="I118" s="3">
        <v>14001.13</v>
      </c>
      <c r="K118" s="6">
        <f t="shared" si="3"/>
        <v>3500.2824999999998</v>
      </c>
    </row>
    <row r="119" spans="1:11" ht="14.5">
      <c r="A119" s="3">
        <v>3</v>
      </c>
      <c r="C119">
        <f t="shared" si="2"/>
        <v>4</v>
      </c>
      <c r="I119" s="3">
        <v>30184.94</v>
      </c>
      <c r="K119" s="6">
        <f t="shared" si="3"/>
        <v>7546.2349999999997</v>
      </c>
    </row>
    <row r="120" spans="1:11" ht="14.5">
      <c r="A120" s="3">
        <v>0</v>
      </c>
      <c r="C120">
        <f t="shared" si="2"/>
        <v>1</v>
      </c>
      <c r="I120" s="3">
        <v>12815.44</v>
      </c>
      <c r="K120" s="6">
        <f t="shared" si="3"/>
        <v>12815.44</v>
      </c>
    </row>
    <row r="121" spans="1:11" ht="14.5">
      <c r="A121" s="3">
        <v>0</v>
      </c>
      <c r="C121">
        <f t="shared" si="2"/>
        <v>1</v>
      </c>
      <c r="I121" s="3">
        <v>11743.3</v>
      </c>
      <c r="K121" s="6">
        <f t="shared" si="3"/>
        <v>11743.3</v>
      </c>
    </row>
    <row r="122" spans="1:11" ht="14.5">
      <c r="A122" s="3">
        <v>3</v>
      </c>
      <c r="C122">
        <f t="shared" si="2"/>
        <v>4</v>
      </c>
      <c r="I122" s="3">
        <v>14001.29</v>
      </c>
      <c r="K122" s="6">
        <f t="shared" si="3"/>
        <v>3500.3225000000002</v>
      </c>
    </row>
    <row r="123" spans="1:11" ht="14.5">
      <c r="A123" s="3">
        <v>1</v>
      </c>
      <c r="C123">
        <f t="shared" si="2"/>
        <v>2</v>
      </c>
      <c r="I123" s="3">
        <v>12333.83</v>
      </c>
      <c r="K123" s="6">
        <f t="shared" si="3"/>
        <v>6166.915</v>
      </c>
    </row>
    <row r="124" spans="1:11" ht="14.5">
      <c r="A124" s="3">
        <v>3</v>
      </c>
      <c r="C124">
        <f t="shared" si="2"/>
        <v>4</v>
      </c>
      <c r="I124" s="3">
        <v>14590.63</v>
      </c>
      <c r="K124" s="6">
        <f t="shared" si="3"/>
        <v>3647.6574999999998</v>
      </c>
    </row>
    <row r="125" spans="1:11" ht="14.5">
      <c r="A125" s="3">
        <v>2</v>
      </c>
      <c r="C125">
        <f t="shared" si="2"/>
        <v>3</v>
      </c>
      <c r="I125" s="3">
        <v>12928.79</v>
      </c>
      <c r="K125" s="6">
        <f t="shared" si="3"/>
        <v>4309.5966666666673</v>
      </c>
    </row>
    <row r="126" spans="1:11" ht="14.5">
      <c r="A126" s="3">
        <v>1</v>
      </c>
      <c r="C126">
        <f t="shared" si="2"/>
        <v>2</v>
      </c>
      <c r="I126" s="3">
        <v>47896.79</v>
      </c>
      <c r="K126" s="6">
        <f t="shared" si="3"/>
        <v>23948.395</v>
      </c>
    </row>
    <row r="127" spans="1:11" ht="14.5">
      <c r="A127" s="3">
        <v>1</v>
      </c>
      <c r="C127">
        <f t="shared" si="2"/>
        <v>2</v>
      </c>
      <c r="I127" s="3">
        <v>28287.9</v>
      </c>
      <c r="K127" s="6">
        <f t="shared" si="3"/>
        <v>14143.95</v>
      </c>
    </row>
    <row r="128" spans="1:11" ht="14.5">
      <c r="A128" s="3">
        <v>0</v>
      </c>
      <c r="C128">
        <f t="shared" si="2"/>
        <v>1</v>
      </c>
      <c r="I128" s="3">
        <v>21797</v>
      </c>
      <c r="K128" s="6">
        <f t="shared" si="3"/>
        <v>21797</v>
      </c>
    </row>
    <row r="129" spans="1:11" ht="14.5">
      <c r="A129" s="3">
        <v>2</v>
      </c>
      <c r="C129">
        <f t="shared" si="2"/>
        <v>3</v>
      </c>
      <c r="I129" s="3">
        <v>12925.89</v>
      </c>
      <c r="K129" s="6">
        <f t="shared" si="3"/>
        <v>4308.63</v>
      </c>
    </row>
    <row r="130" spans="1:11" ht="14.5">
      <c r="A130" s="3">
        <v>1</v>
      </c>
      <c r="C130">
        <f t="shared" si="2"/>
        <v>2</v>
      </c>
      <c r="I130" s="3">
        <v>12913.99</v>
      </c>
      <c r="K130" s="6">
        <f t="shared" si="3"/>
        <v>6456.9949999999999</v>
      </c>
    </row>
    <row r="131" spans="1:11" ht="14.5">
      <c r="A131" s="3">
        <v>0</v>
      </c>
      <c r="C131">
        <f t="shared" si="2"/>
        <v>1</v>
      </c>
      <c r="I131" s="3">
        <v>25678.78</v>
      </c>
      <c r="K131" s="6">
        <f t="shared" si="3"/>
        <v>25678.78</v>
      </c>
    </row>
    <row r="132" spans="1:11" ht="14.5">
      <c r="A132" s="3">
        <v>0</v>
      </c>
      <c r="C132">
        <f t="shared" si="2"/>
        <v>1</v>
      </c>
      <c r="I132" s="3">
        <v>12129.61</v>
      </c>
      <c r="K132" s="6">
        <f t="shared" si="3"/>
        <v>12129.61</v>
      </c>
    </row>
    <row r="133" spans="1:11" ht="14.5">
      <c r="A133" s="3">
        <v>0</v>
      </c>
      <c r="C133">
        <f t="shared" ref="C133:C196" si="4">1+A133</f>
        <v>1</v>
      </c>
      <c r="I133" s="3">
        <v>12244.53</v>
      </c>
      <c r="K133" s="6">
        <f t="shared" ref="K133:K196" si="5">I133/C133</f>
        <v>12244.53</v>
      </c>
    </row>
    <row r="134" spans="1:11" ht="14.5">
      <c r="A134" s="3">
        <v>3</v>
      </c>
      <c r="C134">
        <f t="shared" si="4"/>
        <v>4</v>
      </c>
      <c r="I134" s="3">
        <v>14007.22</v>
      </c>
      <c r="K134" s="6">
        <f t="shared" si="5"/>
        <v>3501.8049999999998</v>
      </c>
    </row>
    <row r="135" spans="1:11" ht="14.5">
      <c r="A135" s="3">
        <v>0</v>
      </c>
      <c r="C135">
        <f t="shared" si="4"/>
        <v>1</v>
      </c>
      <c r="I135" s="3">
        <v>12622.18</v>
      </c>
      <c r="K135" s="6">
        <f t="shared" si="5"/>
        <v>12622.18</v>
      </c>
    </row>
    <row r="136" spans="1:11" ht="14.5">
      <c r="A136" s="3">
        <v>0</v>
      </c>
      <c r="C136">
        <f t="shared" si="4"/>
        <v>1</v>
      </c>
      <c r="I136" s="3">
        <v>12323.94</v>
      </c>
      <c r="K136" s="6">
        <f t="shared" si="5"/>
        <v>12323.94</v>
      </c>
    </row>
    <row r="137" spans="1:11" ht="14.5">
      <c r="A137" s="3">
        <v>3</v>
      </c>
      <c r="C137">
        <f t="shared" si="4"/>
        <v>4</v>
      </c>
      <c r="I137" s="3">
        <v>14382.71</v>
      </c>
      <c r="K137" s="6">
        <f t="shared" si="5"/>
        <v>3595.6774999999998</v>
      </c>
    </row>
    <row r="138" spans="1:11" ht="14.5">
      <c r="A138" s="3">
        <v>0</v>
      </c>
      <c r="C138">
        <f t="shared" si="4"/>
        <v>1</v>
      </c>
      <c r="I138" s="3">
        <v>12233.83</v>
      </c>
      <c r="K138" s="6">
        <f t="shared" si="5"/>
        <v>12233.83</v>
      </c>
    </row>
    <row r="139" spans="1:11" ht="14.5">
      <c r="A139" s="3">
        <v>0</v>
      </c>
      <c r="C139">
        <f t="shared" si="4"/>
        <v>1</v>
      </c>
      <c r="I139" s="3">
        <v>12124.99</v>
      </c>
      <c r="K139" s="6">
        <f t="shared" si="5"/>
        <v>12124.99</v>
      </c>
    </row>
    <row r="140" spans="1:11" ht="14.5">
      <c r="A140" s="3">
        <v>1</v>
      </c>
      <c r="C140">
        <f t="shared" si="4"/>
        <v>2</v>
      </c>
      <c r="I140" s="3">
        <v>48970.25</v>
      </c>
      <c r="K140" s="6">
        <f t="shared" si="5"/>
        <v>24485.125</v>
      </c>
    </row>
    <row r="141" spans="1:11" ht="14.5">
      <c r="A141" s="3">
        <v>2</v>
      </c>
      <c r="C141">
        <f t="shared" si="4"/>
        <v>3</v>
      </c>
      <c r="I141" s="3">
        <v>36910.61</v>
      </c>
      <c r="K141" s="6">
        <f t="shared" si="5"/>
        <v>12303.536666666667</v>
      </c>
    </row>
    <row r="142" spans="1:11" ht="14.5">
      <c r="A142" s="3">
        <v>1</v>
      </c>
      <c r="C142">
        <f t="shared" si="4"/>
        <v>2</v>
      </c>
      <c r="I142" s="3">
        <v>12347.17</v>
      </c>
      <c r="K142" s="6">
        <f t="shared" si="5"/>
        <v>6173.585</v>
      </c>
    </row>
    <row r="143" spans="1:11" ht="14.5">
      <c r="A143" s="3">
        <v>2</v>
      </c>
      <c r="C143">
        <f t="shared" si="4"/>
        <v>3</v>
      </c>
      <c r="I143" s="3">
        <v>47496.49</v>
      </c>
      <c r="K143" s="6">
        <f t="shared" si="5"/>
        <v>15832.163333333332</v>
      </c>
    </row>
    <row r="144" spans="1:11" ht="14.5">
      <c r="A144" s="3">
        <v>2</v>
      </c>
      <c r="C144">
        <f t="shared" si="4"/>
        <v>3</v>
      </c>
      <c r="I144" s="3">
        <v>13607.37</v>
      </c>
      <c r="K144" s="6">
        <f t="shared" si="5"/>
        <v>4535.79</v>
      </c>
    </row>
    <row r="145" spans="1:11" ht="14.5">
      <c r="A145" s="3">
        <v>1</v>
      </c>
      <c r="C145">
        <f t="shared" si="4"/>
        <v>2</v>
      </c>
      <c r="I145" s="3">
        <v>11946.63</v>
      </c>
      <c r="K145" s="6">
        <f t="shared" si="5"/>
        <v>5973.3149999999996</v>
      </c>
    </row>
    <row r="146" spans="1:11" ht="14.5">
      <c r="A146" s="3">
        <v>0</v>
      </c>
      <c r="C146">
        <f t="shared" si="4"/>
        <v>1</v>
      </c>
      <c r="I146" s="3">
        <v>11381.33</v>
      </c>
      <c r="K146" s="6">
        <f t="shared" si="5"/>
        <v>11381.33</v>
      </c>
    </row>
    <row r="147" spans="1:11" ht="14.5">
      <c r="A147" s="3">
        <v>0</v>
      </c>
      <c r="C147">
        <f t="shared" si="4"/>
        <v>1</v>
      </c>
      <c r="I147" s="3">
        <v>11735.88</v>
      </c>
      <c r="K147" s="6">
        <f t="shared" si="5"/>
        <v>11735.88</v>
      </c>
    </row>
    <row r="148" spans="1:11" ht="14.5">
      <c r="A148" s="3">
        <v>0</v>
      </c>
      <c r="C148">
        <f t="shared" si="4"/>
        <v>1</v>
      </c>
      <c r="I148" s="3">
        <v>24227.34</v>
      </c>
      <c r="K148" s="6">
        <f t="shared" si="5"/>
        <v>24227.34</v>
      </c>
    </row>
    <row r="149" spans="1:11" ht="14.5">
      <c r="A149" s="3">
        <v>0</v>
      </c>
      <c r="C149">
        <f t="shared" si="4"/>
        <v>1</v>
      </c>
      <c r="I149" s="3">
        <v>11837.16</v>
      </c>
      <c r="K149" s="6">
        <f t="shared" si="5"/>
        <v>11837.16</v>
      </c>
    </row>
    <row r="150" spans="1:11" ht="14.5">
      <c r="A150" s="3">
        <v>0</v>
      </c>
      <c r="C150">
        <f t="shared" si="4"/>
        <v>1</v>
      </c>
      <c r="I150" s="3">
        <v>11944.59</v>
      </c>
      <c r="K150" s="6">
        <f t="shared" si="5"/>
        <v>11944.59</v>
      </c>
    </row>
    <row r="151" spans="1:11" ht="14.5">
      <c r="A151" s="3">
        <v>0</v>
      </c>
      <c r="C151">
        <f t="shared" si="4"/>
        <v>1</v>
      </c>
      <c r="I151" s="3">
        <v>11856.41</v>
      </c>
      <c r="K151" s="6">
        <f t="shared" si="5"/>
        <v>11856.41</v>
      </c>
    </row>
    <row r="152" spans="1:11" ht="14.5">
      <c r="A152" s="3">
        <v>0</v>
      </c>
      <c r="C152">
        <f t="shared" si="4"/>
        <v>1</v>
      </c>
      <c r="I152" s="3">
        <v>11362.76</v>
      </c>
      <c r="K152" s="6">
        <f t="shared" si="5"/>
        <v>11362.76</v>
      </c>
    </row>
    <row r="153" spans="1:11" ht="14.5">
      <c r="A153" s="3">
        <v>0</v>
      </c>
      <c r="C153">
        <f t="shared" si="4"/>
        <v>1</v>
      </c>
      <c r="I153" s="3">
        <v>12222.9</v>
      </c>
      <c r="K153" s="6">
        <f t="shared" si="5"/>
        <v>12222.9</v>
      </c>
    </row>
    <row r="154" spans="1:11" ht="14.5">
      <c r="A154" s="3">
        <v>0</v>
      </c>
      <c r="C154">
        <f t="shared" si="4"/>
        <v>1</v>
      </c>
      <c r="I154" s="3">
        <v>11842.44</v>
      </c>
      <c r="K154" s="6">
        <f t="shared" si="5"/>
        <v>11842.44</v>
      </c>
    </row>
    <row r="155" spans="1:11" ht="14.5">
      <c r="A155" s="3">
        <v>0</v>
      </c>
      <c r="C155">
        <f t="shared" si="4"/>
        <v>1</v>
      </c>
      <c r="I155" s="3">
        <v>11365.95</v>
      </c>
      <c r="K155" s="6">
        <f t="shared" si="5"/>
        <v>11365.95</v>
      </c>
    </row>
    <row r="156" spans="1:11" ht="14.5">
      <c r="A156" s="3">
        <v>0</v>
      </c>
      <c r="C156">
        <f t="shared" si="4"/>
        <v>1</v>
      </c>
      <c r="I156" s="3">
        <v>12430.95</v>
      </c>
      <c r="K156" s="6">
        <f t="shared" si="5"/>
        <v>12430.95</v>
      </c>
    </row>
    <row r="157" spans="1:11" ht="14.5">
      <c r="A157" s="3">
        <v>0</v>
      </c>
      <c r="C157">
        <f t="shared" si="4"/>
        <v>1</v>
      </c>
      <c r="I157" s="3">
        <v>12231.61</v>
      </c>
      <c r="K157" s="6">
        <f t="shared" si="5"/>
        <v>12231.61</v>
      </c>
    </row>
    <row r="158" spans="1:11" ht="14.5">
      <c r="A158" s="3">
        <v>0</v>
      </c>
      <c r="C158">
        <f t="shared" si="4"/>
        <v>1</v>
      </c>
      <c r="I158" s="3">
        <v>11833.78</v>
      </c>
      <c r="K158" s="6">
        <f t="shared" si="5"/>
        <v>11833.78</v>
      </c>
    </row>
    <row r="159" spans="1:11" ht="14.5">
      <c r="A159" s="3">
        <v>0</v>
      </c>
      <c r="C159">
        <f t="shared" si="4"/>
        <v>1</v>
      </c>
      <c r="I159" s="3">
        <v>11848.14</v>
      </c>
      <c r="K159" s="6">
        <f t="shared" si="5"/>
        <v>11848.14</v>
      </c>
    </row>
    <row r="160" spans="1:11" ht="14.5">
      <c r="A160" s="3">
        <v>0</v>
      </c>
      <c r="C160">
        <f t="shared" si="4"/>
        <v>1</v>
      </c>
      <c r="I160" s="3">
        <v>11743.93</v>
      </c>
      <c r="K160" s="6">
        <f t="shared" si="5"/>
        <v>11743.93</v>
      </c>
    </row>
    <row r="161" spans="1:11" ht="14.5">
      <c r="A161" s="3">
        <v>0</v>
      </c>
      <c r="C161">
        <f t="shared" si="4"/>
        <v>1</v>
      </c>
      <c r="I161" s="3">
        <v>11363.28</v>
      </c>
      <c r="K161" s="6">
        <f t="shared" si="5"/>
        <v>11363.28</v>
      </c>
    </row>
    <row r="162" spans="1:11" ht="14.5">
      <c r="A162" s="3">
        <v>0</v>
      </c>
      <c r="C162">
        <f t="shared" si="4"/>
        <v>1</v>
      </c>
      <c r="I162" s="3">
        <v>12235.84</v>
      </c>
      <c r="K162" s="6">
        <f t="shared" si="5"/>
        <v>12235.84</v>
      </c>
    </row>
    <row r="163" spans="1:11" ht="14.5">
      <c r="A163" s="3">
        <v>1</v>
      </c>
      <c r="C163">
        <f t="shared" si="4"/>
        <v>2</v>
      </c>
      <c r="I163" s="3">
        <v>13019.16</v>
      </c>
      <c r="K163" s="6">
        <f t="shared" si="5"/>
        <v>6509.58</v>
      </c>
    </row>
    <row r="164" spans="1:11" ht="14.5">
      <c r="A164" s="3">
        <v>0</v>
      </c>
      <c r="C164">
        <f t="shared" si="4"/>
        <v>1</v>
      </c>
      <c r="I164" s="3">
        <v>11938.26</v>
      </c>
      <c r="K164" s="6">
        <f t="shared" si="5"/>
        <v>11938.26</v>
      </c>
    </row>
    <row r="165" spans="1:11" ht="14.5">
      <c r="A165" s="3">
        <v>0</v>
      </c>
      <c r="C165">
        <f t="shared" si="4"/>
        <v>1</v>
      </c>
      <c r="I165" s="3">
        <v>11345.52</v>
      </c>
      <c r="K165" s="6">
        <f t="shared" si="5"/>
        <v>11345.52</v>
      </c>
    </row>
    <row r="166" spans="1:11" ht="14.5">
      <c r="A166" s="3">
        <v>0</v>
      </c>
      <c r="C166">
        <f t="shared" si="4"/>
        <v>1</v>
      </c>
      <c r="I166" s="3">
        <v>12224.35</v>
      </c>
      <c r="K166" s="6">
        <f t="shared" si="5"/>
        <v>12224.35</v>
      </c>
    </row>
    <row r="167" spans="1:11" ht="14.5">
      <c r="A167" s="3">
        <v>0</v>
      </c>
      <c r="C167">
        <f t="shared" si="4"/>
        <v>1</v>
      </c>
      <c r="I167" s="3">
        <v>11931.13</v>
      </c>
      <c r="K167" s="6">
        <f t="shared" si="5"/>
        <v>11931.13</v>
      </c>
    </row>
    <row r="168" spans="1:11" ht="14.5">
      <c r="A168" s="3">
        <v>0</v>
      </c>
      <c r="C168">
        <f t="shared" si="4"/>
        <v>1</v>
      </c>
      <c r="I168" s="3">
        <v>11356.66</v>
      </c>
      <c r="K168" s="6">
        <f t="shared" si="5"/>
        <v>11356.66</v>
      </c>
    </row>
    <row r="169" spans="1:11" ht="14.5">
      <c r="A169" s="3">
        <v>0</v>
      </c>
      <c r="C169">
        <f t="shared" si="4"/>
        <v>1</v>
      </c>
      <c r="I169" s="3">
        <v>43578.94</v>
      </c>
      <c r="K169" s="6">
        <f t="shared" si="5"/>
        <v>43578.94</v>
      </c>
    </row>
    <row r="170" spans="1:11" ht="14.5">
      <c r="A170" s="3">
        <v>2</v>
      </c>
      <c r="C170">
        <f t="shared" si="4"/>
        <v>3</v>
      </c>
      <c r="I170" s="3">
        <v>12646.21</v>
      </c>
      <c r="K170" s="6">
        <f t="shared" si="5"/>
        <v>4215.4033333333327</v>
      </c>
    </row>
    <row r="171" spans="1:11" ht="14.5">
      <c r="A171" s="3">
        <v>0</v>
      </c>
      <c r="C171">
        <f t="shared" si="4"/>
        <v>1</v>
      </c>
      <c r="I171" s="3">
        <v>11566.3</v>
      </c>
      <c r="K171" s="6">
        <f t="shared" si="5"/>
        <v>11566.3</v>
      </c>
    </row>
    <row r="172" spans="1:11" ht="14.5">
      <c r="A172" s="3">
        <v>0</v>
      </c>
      <c r="C172">
        <f t="shared" si="4"/>
        <v>1</v>
      </c>
      <c r="I172" s="3">
        <v>11830.61</v>
      </c>
      <c r="K172" s="6">
        <f t="shared" si="5"/>
        <v>11830.61</v>
      </c>
    </row>
    <row r="173" spans="1:11" ht="14.5">
      <c r="A173" s="3">
        <v>0</v>
      </c>
      <c r="C173">
        <f t="shared" si="4"/>
        <v>1</v>
      </c>
      <c r="I173" s="3">
        <v>12029.29</v>
      </c>
      <c r="K173" s="6">
        <f t="shared" si="5"/>
        <v>12029.29</v>
      </c>
    </row>
    <row r="174" spans="1:11" ht="14.5">
      <c r="A174" s="3">
        <v>0</v>
      </c>
      <c r="C174">
        <f t="shared" si="4"/>
        <v>1</v>
      </c>
      <c r="I174" s="3">
        <v>11840.78</v>
      </c>
      <c r="K174" s="6">
        <f t="shared" si="5"/>
        <v>11840.78</v>
      </c>
    </row>
    <row r="175" spans="1:11" ht="14.5">
      <c r="A175" s="3">
        <v>0</v>
      </c>
      <c r="C175">
        <f t="shared" si="4"/>
        <v>1</v>
      </c>
      <c r="I175" s="3">
        <v>11455.28</v>
      </c>
      <c r="K175" s="6">
        <f t="shared" si="5"/>
        <v>11455.28</v>
      </c>
    </row>
    <row r="176" spans="1:11" ht="14.5">
      <c r="A176" s="3">
        <v>1</v>
      </c>
      <c r="C176">
        <f t="shared" si="4"/>
        <v>2</v>
      </c>
      <c r="I176" s="3">
        <v>48675.519999999997</v>
      </c>
      <c r="K176" s="6">
        <f t="shared" si="5"/>
        <v>24337.759999999998</v>
      </c>
    </row>
    <row r="177" spans="1:11" ht="14.5">
      <c r="A177" s="3">
        <v>2</v>
      </c>
      <c r="C177">
        <f t="shared" si="4"/>
        <v>3</v>
      </c>
      <c r="I177" s="3">
        <v>13224.06</v>
      </c>
      <c r="K177" s="6">
        <f t="shared" si="5"/>
        <v>4408.0199999999995</v>
      </c>
    </row>
    <row r="178" spans="1:11" ht="14.5">
      <c r="A178" s="3">
        <v>4</v>
      </c>
      <c r="C178">
        <f t="shared" si="4"/>
        <v>5</v>
      </c>
      <c r="I178" s="3">
        <v>14394.4</v>
      </c>
      <c r="K178" s="6">
        <f t="shared" si="5"/>
        <v>2878.88</v>
      </c>
    </row>
    <row r="179" spans="1:11" ht="14.5">
      <c r="A179" s="3">
        <v>1</v>
      </c>
      <c r="C179">
        <f t="shared" si="4"/>
        <v>2</v>
      </c>
      <c r="I179" s="3">
        <v>22192.44</v>
      </c>
      <c r="K179" s="6">
        <f t="shared" si="5"/>
        <v>11096.22</v>
      </c>
    </row>
    <row r="180" spans="1:11" ht="14.5">
      <c r="A180" s="3">
        <v>0</v>
      </c>
      <c r="C180">
        <f t="shared" si="4"/>
        <v>1</v>
      </c>
      <c r="I180" s="3">
        <v>11842.62</v>
      </c>
      <c r="K180" s="6">
        <f t="shared" si="5"/>
        <v>11842.62</v>
      </c>
    </row>
    <row r="181" spans="1:11" ht="14.5">
      <c r="A181" s="3">
        <v>0</v>
      </c>
      <c r="C181">
        <f t="shared" si="4"/>
        <v>1</v>
      </c>
      <c r="I181" s="3">
        <v>27533.91</v>
      </c>
      <c r="K181" s="6">
        <f t="shared" si="5"/>
        <v>27533.91</v>
      </c>
    </row>
    <row r="182" spans="1:11" ht="14.5">
      <c r="A182" s="3">
        <v>0</v>
      </c>
      <c r="C182">
        <f t="shared" si="4"/>
        <v>1</v>
      </c>
      <c r="I182" s="3">
        <v>10965.45</v>
      </c>
      <c r="K182" s="6">
        <f t="shared" si="5"/>
        <v>10965.45</v>
      </c>
    </row>
    <row r="183" spans="1:11" ht="14.5">
      <c r="A183" s="3">
        <v>1</v>
      </c>
      <c r="C183">
        <f t="shared" si="4"/>
        <v>2</v>
      </c>
      <c r="I183" s="3">
        <v>11576.13</v>
      </c>
      <c r="K183" s="6">
        <f t="shared" si="5"/>
        <v>5788.0649999999996</v>
      </c>
    </row>
    <row r="184" spans="1:11" ht="14.5">
      <c r="A184" s="3">
        <v>0</v>
      </c>
      <c r="C184">
        <f t="shared" si="4"/>
        <v>1</v>
      </c>
      <c r="I184" s="3">
        <v>27218.44</v>
      </c>
      <c r="K184" s="6">
        <f t="shared" si="5"/>
        <v>27218.44</v>
      </c>
    </row>
    <row r="185" spans="1:11" ht="14.5">
      <c r="A185" s="3">
        <v>1</v>
      </c>
      <c r="C185">
        <f t="shared" si="4"/>
        <v>2</v>
      </c>
      <c r="I185" s="3">
        <v>11945.13</v>
      </c>
      <c r="K185" s="6">
        <f t="shared" si="5"/>
        <v>5972.5649999999996</v>
      </c>
    </row>
    <row r="186" spans="1:11" ht="14.5">
      <c r="A186" s="3">
        <v>1</v>
      </c>
      <c r="C186">
        <f t="shared" si="4"/>
        <v>2</v>
      </c>
      <c r="I186" s="3">
        <v>12032.33</v>
      </c>
      <c r="K186" s="6">
        <f t="shared" si="5"/>
        <v>6016.165</v>
      </c>
    </row>
    <row r="187" spans="1:11" ht="14.5">
      <c r="A187" s="3">
        <v>0</v>
      </c>
      <c r="C187">
        <f t="shared" si="4"/>
        <v>1</v>
      </c>
      <c r="I187" s="3">
        <v>11534.87</v>
      </c>
      <c r="K187" s="6">
        <f t="shared" si="5"/>
        <v>11534.87</v>
      </c>
    </row>
    <row r="188" spans="1:11" ht="14.5">
      <c r="A188" s="3">
        <v>1</v>
      </c>
      <c r="C188">
        <f t="shared" si="4"/>
        <v>2</v>
      </c>
      <c r="I188" s="3">
        <v>11554.22</v>
      </c>
      <c r="K188" s="6">
        <f t="shared" si="5"/>
        <v>5777.11</v>
      </c>
    </row>
    <row r="189" spans="1:11" ht="14.5">
      <c r="A189" s="3">
        <v>0</v>
      </c>
      <c r="C189">
        <f t="shared" si="4"/>
        <v>1</v>
      </c>
      <c r="I189" s="3">
        <v>11353.23</v>
      </c>
      <c r="K189" s="6">
        <f t="shared" si="5"/>
        <v>11353.23</v>
      </c>
    </row>
    <row r="190" spans="1:11" ht="14.5">
      <c r="A190" s="3">
        <v>0</v>
      </c>
      <c r="C190">
        <f t="shared" si="4"/>
        <v>1</v>
      </c>
      <c r="I190" s="3">
        <v>20709.02</v>
      </c>
      <c r="K190" s="6">
        <f t="shared" si="5"/>
        <v>20709.02</v>
      </c>
    </row>
    <row r="191" spans="1:11" ht="14.5">
      <c r="A191" s="3">
        <v>0</v>
      </c>
      <c r="C191">
        <f t="shared" si="4"/>
        <v>1</v>
      </c>
      <c r="I191" s="3">
        <v>10982.5</v>
      </c>
      <c r="K191" s="6">
        <f t="shared" si="5"/>
        <v>10982.5</v>
      </c>
    </row>
    <row r="192" spans="1:11" ht="14.5">
      <c r="A192" s="3">
        <v>0</v>
      </c>
      <c r="C192">
        <f t="shared" si="4"/>
        <v>1</v>
      </c>
      <c r="I192" s="3">
        <v>10959.33</v>
      </c>
      <c r="K192" s="6">
        <f t="shared" si="5"/>
        <v>10959.33</v>
      </c>
    </row>
    <row r="193" spans="1:11" ht="14.5">
      <c r="A193" s="3">
        <v>2</v>
      </c>
      <c r="C193">
        <f t="shared" si="4"/>
        <v>3</v>
      </c>
      <c r="I193" s="3">
        <v>12629.17</v>
      </c>
      <c r="K193" s="6">
        <f t="shared" si="5"/>
        <v>4209.7233333333334</v>
      </c>
    </row>
    <row r="194" spans="1:11" ht="14.5">
      <c r="A194" s="3">
        <v>0</v>
      </c>
      <c r="C194">
        <f t="shared" si="4"/>
        <v>1</v>
      </c>
      <c r="I194" s="3">
        <v>11090.72</v>
      </c>
      <c r="K194" s="6">
        <f t="shared" si="5"/>
        <v>11090.72</v>
      </c>
    </row>
    <row r="195" spans="1:11" ht="14.5">
      <c r="A195" s="3">
        <v>0</v>
      </c>
      <c r="C195">
        <f t="shared" si="4"/>
        <v>1</v>
      </c>
      <c r="I195" s="3">
        <v>10602.39</v>
      </c>
      <c r="K195" s="6">
        <f t="shared" si="5"/>
        <v>10602.39</v>
      </c>
    </row>
    <row r="196" spans="1:11" ht="14.5">
      <c r="A196" s="3">
        <v>0</v>
      </c>
      <c r="C196">
        <f t="shared" si="4"/>
        <v>1</v>
      </c>
      <c r="I196" s="3">
        <v>11073.18</v>
      </c>
      <c r="K196" s="6">
        <f t="shared" si="5"/>
        <v>11073.18</v>
      </c>
    </row>
    <row r="197" spans="1:11" ht="14.5">
      <c r="A197" s="3">
        <v>0</v>
      </c>
      <c r="C197">
        <f t="shared" ref="C197:C260" si="6">1+A197</f>
        <v>1</v>
      </c>
      <c r="I197" s="3">
        <v>22412.65</v>
      </c>
      <c r="K197" s="6">
        <f t="shared" ref="K197:K260" si="7">I197/C197</f>
        <v>22412.65</v>
      </c>
    </row>
    <row r="198" spans="1:11" ht="14.5">
      <c r="A198" s="3">
        <v>1</v>
      </c>
      <c r="C198">
        <f t="shared" si="6"/>
        <v>2</v>
      </c>
      <c r="I198" s="3">
        <v>12044.34</v>
      </c>
      <c r="K198" s="6">
        <f t="shared" si="7"/>
        <v>6022.17</v>
      </c>
    </row>
    <row r="199" spans="1:11" ht="14.5">
      <c r="A199" s="3">
        <v>0</v>
      </c>
      <c r="C199">
        <f t="shared" si="6"/>
        <v>1</v>
      </c>
      <c r="I199" s="3">
        <v>43921.18</v>
      </c>
      <c r="K199" s="6">
        <f t="shared" si="7"/>
        <v>43921.18</v>
      </c>
    </row>
    <row r="200" spans="1:11" ht="14.5">
      <c r="A200" s="3">
        <v>2</v>
      </c>
      <c r="C200">
        <f t="shared" si="6"/>
        <v>3</v>
      </c>
      <c r="I200" s="3">
        <v>12265.51</v>
      </c>
      <c r="K200" s="6">
        <f t="shared" si="7"/>
        <v>4088.5033333333336</v>
      </c>
    </row>
    <row r="201" spans="1:11" ht="14.5">
      <c r="A201" s="3">
        <v>0</v>
      </c>
      <c r="C201">
        <f t="shared" si="6"/>
        <v>1</v>
      </c>
      <c r="I201" s="3">
        <v>11658.38</v>
      </c>
      <c r="K201" s="6">
        <f t="shared" si="7"/>
        <v>11658.38</v>
      </c>
    </row>
    <row r="202" spans="1:11" ht="14.5">
      <c r="A202" s="3">
        <v>3</v>
      </c>
      <c r="C202">
        <f t="shared" si="6"/>
        <v>4</v>
      </c>
      <c r="I202" s="3">
        <v>13430.27</v>
      </c>
      <c r="K202" s="6">
        <f t="shared" si="7"/>
        <v>3357.5675000000001</v>
      </c>
    </row>
    <row r="203" spans="1:11" ht="14.5">
      <c r="A203" s="3">
        <v>1</v>
      </c>
      <c r="C203">
        <f t="shared" si="6"/>
        <v>2</v>
      </c>
      <c r="I203" s="3">
        <v>26109.33</v>
      </c>
      <c r="K203" s="6">
        <f t="shared" si="7"/>
        <v>13054.665000000001</v>
      </c>
    </row>
    <row r="204" spans="1:11" ht="14.5">
      <c r="A204" s="3">
        <v>0</v>
      </c>
      <c r="C204">
        <f t="shared" si="6"/>
        <v>1</v>
      </c>
      <c r="I204" s="3">
        <v>11454.02</v>
      </c>
      <c r="K204" s="6">
        <f t="shared" si="7"/>
        <v>11454.02</v>
      </c>
    </row>
    <row r="205" spans="1:11" ht="14.5">
      <c r="A205" s="3">
        <v>0</v>
      </c>
      <c r="C205">
        <f t="shared" si="6"/>
        <v>1</v>
      </c>
      <c r="I205" s="3">
        <v>10601.41</v>
      </c>
      <c r="K205" s="6">
        <f t="shared" si="7"/>
        <v>10601.41</v>
      </c>
    </row>
    <row r="206" spans="1:11" ht="14.5">
      <c r="A206" s="3">
        <v>0</v>
      </c>
      <c r="C206">
        <f t="shared" si="6"/>
        <v>1</v>
      </c>
      <c r="I206" s="3">
        <v>11165.42</v>
      </c>
      <c r="K206" s="6">
        <f t="shared" si="7"/>
        <v>11165.42</v>
      </c>
    </row>
    <row r="207" spans="1:11" ht="14.5">
      <c r="A207" s="3">
        <v>2</v>
      </c>
      <c r="C207">
        <f t="shared" si="6"/>
        <v>3</v>
      </c>
      <c r="I207" s="3">
        <v>12643.38</v>
      </c>
      <c r="K207" s="6">
        <f t="shared" si="7"/>
        <v>4214.46</v>
      </c>
    </row>
    <row r="208" spans="1:11" ht="14.5">
      <c r="A208" s="3">
        <v>1</v>
      </c>
      <c r="C208">
        <f t="shared" si="6"/>
        <v>2</v>
      </c>
      <c r="I208" s="3">
        <v>11763</v>
      </c>
      <c r="K208" s="6">
        <f t="shared" si="7"/>
        <v>5881.5</v>
      </c>
    </row>
    <row r="209" spans="1:11" ht="14.5">
      <c r="A209" s="3">
        <v>0</v>
      </c>
      <c r="C209">
        <f t="shared" si="6"/>
        <v>1</v>
      </c>
      <c r="I209" s="3">
        <v>11070.54</v>
      </c>
      <c r="K209" s="6">
        <f t="shared" si="7"/>
        <v>11070.54</v>
      </c>
    </row>
    <row r="210" spans="1:11" ht="14.5">
      <c r="A210" s="3">
        <v>0</v>
      </c>
      <c r="C210">
        <f t="shared" si="6"/>
        <v>1</v>
      </c>
      <c r="I210" s="3">
        <v>11658.12</v>
      </c>
      <c r="K210" s="6">
        <f t="shared" si="7"/>
        <v>11658.12</v>
      </c>
    </row>
    <row r="211" spans="1:11" ht="14.5">
      <c r="A211" s="3">
        <v>4</v>
      </c>
      <c r="C211">
        <f t="shared" si="6"/>
        <v>5</v>
      </c>
      <c r="I211" s="3">
        <v>12949.16</v>
      </c>
      <c r="K211" s="6">
        <f t="shared" si="7"/>
        <v>2589.8319999999999</v>
      </c>
    </row>
    <row r="212" spans="1:11" ht="14.5">
      <c r="A212" s="3">
        <v>3</v>
      </c>
      <c r="C212">
        <f t="shared" si="6"/>
        <v>4</v>
      </c>
      <c r="I212" s="3">
        <v>12363.55</v>
      </c>
      <c r="K212" s="6">
        <f t="shared" si="7"/>
        <v>3090.8874999999998</v>
      </c>
    </row>
    <row r="213" spans="1:11" ht="14.5">
      <c r="A213" s="3">
        <v>0</v>
      </c>
      <c r="C213">
        <f t="shared" si="6"/>
        <v>1</v>
      </c>
      <c r="I213" s="3">
        <v>10976.25</v>
      </c>
      <c r="K213" s="6">
        <f t="shared" si="7"/>
        <v>10976.25</v>
      </c>
    </row>
    <row r="214" spans="1:11" ht="14.5">
      <c r="A214" s="3">
        <v>2</v>
      </c>
      <c r="C214">
        <f t="shared" si="6"/>
        <v>3</v>
      </c>
      <c r="I214" s="3">
        <v>43813.87</v>
      </c>
      <c r="K214" s="6">
        <f t="shared" si="7"/>
        <v>14604.623333333335</v>
      </c>
    </row>
    <row r="215" spans="1:11" ht="14.5">
      <c r="A215" s="3">
        <v>0</v>
      </c>
      <c r="C215">
        <f t="shared" si="6"/>
        <v>1</v>
      </c>
      <c r="I215" s="3">
        <v>11657.72</v>
      </c>
      <c r="K215" s="6">
        <f t="shared" si="7"/>
        <v>11657.72</v>
      </c>
    </row>
    <row r="216" spans="1:11" ht="14.5">
      <c r="A216" s="3">
        <v>1</v>
      </c>
      <c r="C216">
        <f t="shared" si="6"/>
        <v>2</v>
      </c>
      <c r="I216" s="3">
        <v>11674.13</v>
      </c>
      <c r="K216" s="6">
        <f t="shared" si="7"/>
        <v>5837.0649999999996</v>
      </c>
    </row>
    <row r="217" spans="1:11" ht="14.5">
      <c r="A217" s="3">
        <v>0</v>
      </c>
      <c r="C217">
        <f t="shared" si="6"/>
        <v>1</v>
      </c>
      <c r="I217" s="3">
        <v>10577.09</v>
      </c>
      <c r="K217" s="6">
        <f t="shared" si="7"/>
        <v>10577.09</v>
      </c>
    </row>
    <row r="218" spans="1:11" ht="14.5">
      <c r="A218" s="3">
        <v>0</v>
      </c>
      <c r="C218">
        <f t="shared" si="6"/>
        <v>1</v>
      </c>
      <c r="I218" s="3">
        <v>11093.62</v>
      </c>
      <c r="K218" s="6">
        <f t="shared" si="7"/>
        <v>11093.62</v>
      </c>
    </row>
    <row r="219" spans="1:11" ht="14.5">
      <c r="A219" s="3">
        <v>0</v>
      </c>
      <c r="C219">
        <f t="shared" si="6"/>
        <v>1</v>
      </c>
      <c r="I219" s="3">
        <v>10594.23</v>
      </c>
      <c r="K219" s="6">
        <f t="shared" si="7"/>
        <v>10594.23</v>
      </c>
    </row>
    <row r="220" spans="1:11" ht="14.5">
      <c r="A220" s="3">
        <v>2</v>
      </c>
      <c r="C220">
        <f t="shared" si="6"/>
        <v>3</v>
      </c>
      <c r="I220" s="3">
        <v>12268.63</v>
      </c>
      <c r="K220" s="6">
        <f t="shared" si="7"/>
        <v>4089.5433333333331</v>
      </c>
    </row>
    <row r="221" spans="1:11" ht="14.5">
      <c r="A221" s="3">
        <v>0</v>
      </c>
      <c r="C221">
        <f t="shared" si="6"/>
        <v>1</v>
      </c>
      <c r="I221" s="3">
        <v>20630.28</v>
      </c>
      <c r="K221" s="6">
        <f t="shared" si="7"/>
        <v>20630.28</v>
      </c>
    </row>
    <row r="222" spans="1:11" ht="14.5">
      <c r="A222" s="3">
        <v>0</v>
      </c>
      <c r="C222">
        <f t="shared" si="6"/>
        <v>1</v>
      </c>
      <c r="I222" s="3">
        <v>11082.58</v>
      </c>
      <c r="K222" s="6">
        <f t="shared" si="7"/>
        <v>11082.58</v>
      </c>
    </row>
    <row r="223" spans="1:11" ht="14.5">
      <c r="A223" s="3">
        <v>0</v>
      </c>
      <c r="C223">
        <f t="shared" si="6"/>
        <v>1</v>
      </c>
      <c r="I223" s="3">
        <v>10226.280000000001</v>
      </c>
      <c r="K223" s="6">
        <f t="shared" si="7"/>
        <v>10226.280000000001</v>
      </c>
    </row>
    <row r="224" spans="1:11" ht="14.5">
      <c r="A224" s="3">
        <v>2</v>
      </c>
      <c r="C224">
        <f t="shared" si="6"/>
        <v>3</v>
      </c>
      <c r="I224" s="3">
        <v>11881.36</v>
      </c>
      <c r="K224" s="6">
        <f t="shared" si="7"/>
        <v>3960.4533333333334</v>
      </c>
    </row>
    <row r="225" spans="1:11" ht="14.5">
      <c r="A225" s="3">
        <v>3</v>
      </c>
      <c r="C225">
        <f t="shared" si="6"/>
        <v>4</v>
      </c>
      <c r="I225" s="3">
        <v>11987.17</v>
      </c>
      <c r="K225" s="6">
        <f t="shared" si="7"/>
        <v>2996.7925</v>
      </c>
    </row>
    <row r="226" spans="1:11" ht="14.5">
      <c r="A226" s="3">
        <v>1</v>
      </c>
      <c r="C226">
        <f t="shared" si="6"/>
        <v>2</v>
      </c>
      <c r="I226" s="3">
        <v>35160.129999999997</v>
      </c>
      <c r="K226" s="6">
        <f t="shared" si="7"/>
        <v>17580.064999999999</v>
      </c>
    </row>
    <row r="227" spans="1:11" ht="14.5">
      <c r="A227" s="3">
        <v>3</v>
      </c>
      <c r="C227">
        <f t="shared" si="6"/>
        <v>4</v>
      </c>
      <c r="I227" s="3">
        <v>13047.33</v>
      </c>
      <c r="K227" s="6">
        <f t="shared" si="7"/>
        <v>3261.8325</v>
      </c>
    </row>
    <row r="228" spans="1:11" ht="14.5">
      <c r="A228" s="3">
        <v>1</v>
      </c>
      <c r="C228">
        <f t="shared" si="6"/>
        <v>2</v>
      </c>
      <c r="I228" s="3">
        <v>11879.1</v>
      </c>
      <c r="K228" s="6">
        <f t="shared" si="7"/>
        <v>5939.55</v>
      </c>
    </row>
    <row r="229" spans="1:11" ht="14.5">
      <c r="A229" s="3">
        <v>0</v>
      </c>
      <c r="C229">
        <f t="shared" si="6"/>
        <v>1</v>
      </c>
      <c r="I229" s="3">
        <v>42303.69</v>
      </c>
      <c r="K229" s="6">
        <f t="shared" si="7"/>
        <v>42303.69</v>
      </c>
    </row>
    <row r="230" spans="1:11" ht="14.5">
      <c r="A230" s="3">
        <v>0</v>
      </c>
      <c r="C230">
        <f t="shared" si="6"/>
        <v>1</v>
      </c>
      <c r="I230" s="3">
        <v>20781.490000000002</v>
      </c>
      <c r="K230" s="6">
        <f t="shared" si="7"/>
        <v>20781.490000000002</v>
      </c>
    </row>
    <row r="231" spans="1:11" ht="14.5">
      <c r="A231" s="3">
        <v>2</v>
      </c>
      <c r="C231">
        <f t="shared" si="6"/>
        <v>3</v>
      </c>
      <c r="I231" s="3">
        <v>11881.97</v>
      </c>
      <c r="K231" s="6">
        <f t="shared" si="7"/>
        <v>3960.6566666666663</v>
      </c>
    </row>
    <row r="232" spans="1:11" ht="14.5">
      <c r="A232" s="3">
        <v>0</v>
      </c>
      <c r="C232">
        <f t="shared" si="6"/>
        <v>1</v>
      </c>
      <c r="I232" s="3">
        <v>10713.64</v>
      </c>
      <c r="K232" s="6">
        <f t="shared" si="7"/>
        <v>10713.64</v>
      </c>
    </row>
    <row r="233" spans="1:11" ht="14.5">
      <c r="A233" s="3">
        <v>3</v>
      </c>
      <c r="C233">
        <f t="shared" si="6"/>
        <v>4</v>
      </c>
      <c r="I233" s="3">
        <v>12485.8</v>
      </c>
      <c r="K233" s="6">
        <f t="shared" si="7"/>
        <v>3121.45</v>
      </c>
    </row>
    <row r="234" spans="1:11" ht="14.5">
      <c r="A234" s="3">
        <v>0</v>
      </c>
      <c r="C234">
        <f t="shared" si="6"/>
        <v>1</v>
      </c>
      <c r="I234" s="3">
        <v>10601.63</v>
      </c>
      <c r="K234" s="6">
        <f t="shared" si="7"/>
        <v>10601.63</v>
      </c>
    </row>
    <row r="235" spans="1:11" ht="14.5">
      <c r="A235" s="3">
        <v>2</v>
      </c>
      <c r="C235">
        <f t="shared" si="6"/>
        <v>3</v>
      </c>
      <c r="I235" s="3">
        <v>12269.69</v>
      </c>
      <c r="K235" s="6">
        <f t="shared" si="7"/>
        <v>4089.896666666667</v>
      </c>
    </row>
    <row r="236" spans="1:11" ht="14.5">
      <c r="A236" s="3">
        <v>0</v>
      </c>
      <c r="C236">
        <f t="shared" si="6"/>
        <v>1</v>
      </c>
      <c r="I236" s="3">
        <v>44423.8</v>
      </c>
      <c r="K236" s="6">
        <f t="shared" si="7"/>
        <v>44423.8</v>
      </c>
    </row>
    <row r="237" spans="1:11" ht="14.5">
      <c r="A237" s="3">
        <v>1</v>
      </c>
      <c r="C237">
        <f t="shared" si="6"/>
        <v>2</v>
      </c>
      <c r="I237" s="3">
        <v>11394.07</v>
      </c>
      <c r="K237" s="6">
        <f t="shared" si="7"/>
        <v>5697.0349999999999</v>
      </c>
    </row>
    <row r="238" spans="1:11" ht="14.5">
      <c r="A238" s="3">
        <v>0</v>
      </c>
      <c r="C238">
        <f t="shared" si="6"/>
        <v>1</v>
      </c>
      <c r="I238" s="3">
        <v>10594.5</v>
      </c>
      <c r="K238" s="6">
        <f t="shared" si="7"/>
        <v>10594.5</v>
      </c>
    </row>
    <row r="239" spans="1:11" ht="14.5">
      <c r="A239" s="3">
        <v>0</v>
      </c>
      <c r="C239">
        <f t="shared" si="6"/>
        <v>1</v>
      </c>
      <c r="I239" s="3">
        <v>10796.35</v>
      </c>
      <c r="K239" s="6">
        <f t="shared" si="7"/>
        <v>10796.35</v>
      </c>
    </row>
    <row r="240" spans="1:11" ht="14.5">
      <c r="A240" s="3">
        <v>0</v>
      </c>
      <c r="C240">
        <f t="shared" si="6"/>
        <v>1</v>
      </c>
      <c r="I240" s="3">
        <v>11286.54</v>
      </c>
      <c r="K240" s="6">
        <f t="shared" si="7"/>
        <v>11286.54</v>
      </c>
    </row>
    <row r="241" spans="1:11" ht="14.5">
      <c r="A241" s="3">
        <v>1</v>
      </c>
      <c r="C241">
        <f t="shared" si="6"/>
        <v>2</v>
      </c>
      <c r="I241" s="3">
        <v>10807.49</v>
      </c>
      <c r="K241" s="6">
        <f t="shared" si="7"/>
        <v>5403.7449999999999</v>
      </c>
    </row>
    <row r="242" spans="1:11" ht="14.5">
      <c r="A242" s="3">
        <v>0</v>
      </c>
      <c r="C242">
        <f t="shared" si="6"/>
        <v>1</v>
      </c>
      <c r="I242" s="3">
        <v>10214.64</v>
      </c>
      <c r="K242" s="6">
        <f t="shared" si="7"/>
        <v>10214.64</v>
      </c>
    </row>
    <row r="243" spans="1:11" ht="14.5">
      <c r="A243" s="3">
        <v>1</v>
      </c>
      <c r="C243">
        <f t="shared" si="6"/>
        <v>2</v>
      </c>
      <c r="I243" s="3">
        <v>10791.96</v>
      </c>
      <c r="K243" s="6">
        <f t="shared" si="7"/>
        <v>5395.98</v>
      </c>
    </row>
    <row r="244" spans="1:11" ht="14.5">
      <c r="A244" s="3">
        <v>3</v>
      </c>
      <c r="C244">
        <f t="shared" si="6"/>
        <v>4</v>
      </c>
      <c r="I244" s="3">
        <v>30063.58</v>
      </c>
      <c r="K244" s="6">
        <f t="shared" si="7"/>
        <v>7515.8950000000004</v>
      </c>
    </row>
    <row r="245" spans="1:11" ht="14.5">
      <c r="A245" s="3">
        <v>0</v>
      </c>
      <c r="C245">
        <f t="shared" si="6"/>
        <v>1</v>
      </c>
      <c r="I245" s="3">
        <v>10704.47</v>
      </c>
      <c r="K245" s="6">
        <f t="shared" si="7"/>
        <v>10704.47</v>
      </c>
    </row>
    <row r="246" spans="1:11" ht="14.5">
      <c r="A246" s="3">
        <v>3</v>
      </c>
      <c r="C246">
        <f t="shared" si="6"/>
        <v>4</v>
      </c>
      <c r="I246" s="3">
        <v>12105.32</v>
      </c>
      <c r="K246" s="6">
        <f t="shared" si="7"/>
        <v>3026.33</v>
      </c>
    </row>
    <row r="247" spans="1:11" ht="14.5">
      <c r="A247" s="3">
        <v>1</v>
      </c>
      <c r="C247">
        <f t="shared" si="6"/>
        <v>2</v>
      </c>
      <c r="I247" s="3">
        <v>10825.25</v>
      </c>
      <c r="K247" s="6">
        <f t="shared" si="7"/>
        <v>5412.625</v>
      </c>
    </row>
    <row r="248" spans="1:11" ht="14.5">
      <c r="A248" s="3">
        <v>3</v>
      </c>
      <c r="C248">
        <f t="shared" si="6"/>
        <v>4</v>
      </c>
      <c r="I248" s="3">
        <v>27322.73</v>
      </c>
      <c r="K248" s="6">
        <f t="shared" si="7"/>
        <v>6830.6824999999999</v>
      </c>
    </row>
    <row r="249" spans="1:11" ht="14.5">
      <c r="A249" s="3">
        <v>1</v>
      </c>
      <c r="C249">
        <f t="shared" si="6"/>
        <v>2</v>
      </c>
      <c r="I249" s="3">
        <v>10450.549999999999</v>
      </c>
      <c r="K249" s="6">
        <f t="shared" si="7"/>
        <v>5225.2749999999996</v>
      </c>
    </row>
    <row r="250" spans="1:11" ht="14.5">
      <c r="A250" s="3">
        <v>1</v>
      </c>
      <c r="C250">
        <f t="shared" si="6"/>
        <v>2</v>
      </c>
      <c r="I250" s="3">
        <v>10436.1</v>
      </c>
      <c r="K250" s="6">
        <f t="shared" si="7"/>
        <v>5218.05</v>
      </c>
    </row>
    <row r="251" spans="1:11" ht="14.5">
      <c r="A251" s="3">
        <v>0</v>
      </c>
      <c r="C251">
        <f t="shared" si="6"/>
        <v>1</v>
      </c>
      <c r="I251" s="3">
        <v>24476.48</v>
      </c>
      <c r="K251" s="6">
        <f t="shared" si="7"/>
        <v>24476.48</v>
      </c>
    </row>
    <row r="252" spans="1:11" ht="14.5">
      <c r="A252" s="3">
        <v>2</v>
      </c>
      <c r="C252">
        <f t="shared" si="6"/>
        <v>3</v>
      </c>
      <c r="I252" s="3">
        <v>44260.75</v>
      </c>
      <c r="K252" s="6">
        <f t="shared" si="7"/>
        <v>14753.583333333334</v>
      </c>
    </row>
    <row r="253" spans="1:11" ht="14.5">
      <c r="A253" s="3">
        <v>3</v>
      </c>
      <c r="C253">
        <f t="shared" si="6"/>
        <v>4</v>
      </c>
      <c r="I253" s="3">
        <v>48549.18</v>
      </c>
      <c r="K253" s="6">
        <f t="shared" si="7"/>
        <v>12137.295</v>
      </c>
    </row>
    <row r="254" spans="1:11" ht="14.5">
      <c r="A254" s="3">
        <v>0</v>
      </c>
      <c r="C254">
        <f t="shared" si="6"/>
        <v>1</v>
      </c>
      <c r="I254" s="3">
        <v>10435.07</v>
      </c>
      <c r="K254" s="6">
        <f t="shared" si="7"/>
        <v>10435.07</v>
      </c>
    </row>
    <row r="255" spans="1:11" ht="14.5">
      <c r="A255" s="3">
        <v>3</v>
      </c>
      <c r="C255">
        <f t="shared" si="6"/>
        <v>4</v>
      </c>
      <c r="I255" s="3">
        <v>25382.3</v>
      </c>
      <c r="K255" s="6">
        <f t="shared" si="7"/>
        <v>6345.5749999999998</v>
      </c>
    </row>
    <row r="256" spans="1:11" ht="14.5">
      <c r="A256" s="3">
        <v>3</v>
      </c>
      <c r="C256">
        <f t="shared" si="6"/>
        <v>4</v>
      </c>
      <c r="I256" s="3">
        <v>12475.35</v>
      </c>
      <c r="K256" s="6">
        <f t="shared" si="7"/>
        <v>3118.8375000000001</v>
      </c>
    </row>
    <row r="257" spans="1:11" ht="14.5">
      <c r="A257" s="3">
        <v>0</v>
      </c>
      <c r="C257">
        <f t="shared" si="6"/>
        <v>1</v>
      </c>
      <c r="I257" s="3">
        <v>63770.43</v>
      </c>
      <c r="K257" s="6">
        <f t="shared" si="7"/>
        <v>63770.43</v>
      </c>
    </row>
    <row r="258" spans="1:11" ht="14.5">
      <c r="A258" s="3">
        <v>0</v>
      </c>
      <c r="C258">
        <f t="shared" si="6"/>
        <v>1</v>
      </c>
      <c r="I258" s="3">
        <v>10231.5</v>
      </c>
      <c r="K258" s="6">
        <f t="shared" si="7"/>
        <v>10231.5</v>
      </c>
    </row>
    <row r="259" spans="1:11" ht="14.5">
      <c r="A259" s="3">
        <v>2</v>
      </c>
      <c r="C259">
        <f t="shared" si="6"/>
        <v>3</v>
      </c>
      <c r="I259" s="3">
        <v>11538.42</v>
      </c>
      <c r="K259" s="6">
        <f t="shared" si="7"/>
        <v>3846.14</v>
      </c>
    </row>
    <row r="260" spans="1:11" ht="14.5">
      <c r="A260" s="3">
        <v>0</v>
      </c>
      <c r="C260">
        <f t="shared" si="6"/>
        <v>1</v>
      </c>
      <c r="I260" s="3">
        <v>10923.93</v>
      </c>
      <c r="K260" s="6">
        <f t="shared" si="7"/>
        <v>10923.93</v>
      </c>
    </row>
    <row r="261" spans="1:11" ht="14.5">
      <c r="A261" s="3">
        <v>2</v>
      </c>
      <c r="C261">
        <f t="shared" ref="C261:C324" si="8">1+A261</f>
        <v>3</v>
      </c>
      <c r="I261" s="3">
        <v>11013.71</v>
      </c>
      <c r="K261" s="6">
        <f t="shared" ref="K261:K324" si="9">I261/C261</f>
        <v>3671.2366666666662</v>
      </c>
    </row>
    <row r="262" spans="1:11" ht="14.5">
      <c r="A262" s="3">
        <v>0</v>
      </c>
      <c r="C262">
        <f t="shared" si="8"/>
        <v>1</v>
      </c>
      <c r="I262" s="3">
        <v>10422.92</v>
      </c>
      <c r="K262" s="6">
        <f t="shared" si="9"/>
        <v>10422.92</v>
      </c>
    </row>
    <row r="263" spans="1:11" ht="14.5">
      <c r="A263" s="3">
        <v>1</v>
      </c>
      <c r="C263">
        <f t="shared" si="8"/>
        <v>2</v>
      </c>
      <c r="I263" s="3">
        <v>41999.519999999997</v>
      </c>
      <c r="K263" s="6">
        <f t="shared" si="9"/>
        <v>20999.759999999998</v>
      </c>
    </row>
    <row r="264" spans="1:11" ht="14.5">
      <c r="A264" s="3">
        <v>1</v>
      </c>
      <c r="C264">
        <f t="shared" si="8"/>
        <v>2</v>
      </c>
      <c r="I264" s="3">
        <v>25517.11</v>
      </c>
      <c r="K264" s="6">
        <f t="shared" si="9"/>
        <v>12758.555</v>
      </c>
    </row>
    <row r="265" spans="1:11" ht="14.5">
      <c r="A265" s="3">
        <v>3</v>
      </c>
      <c r="C265">
        <f t="shared" si="8"/>
        <v>4</v>
      </c>
      <c r="I265" s="3">
        <v>12495.29</v>
      </c>
      <c r="K265" s="6">
        <f t="shared" si="9"/>
        <v>3123.8225000000002</v>
      </c>
    </row>
    <row r="266" spans="1:11" ht="14.5">
      <c r="A266" s="3">
        <v>0</v>
      </c>
      <c r="C266">
        <f t="shared" si="8"/>
        <v>1</v>
      </c>
      <c r="I266" s="3">
        <v>9850.43</v>
      </c>
      <c r="K266" s="6">
        <f t="shared" si="9"/>
        <v>9850.43</v>
      </c>
    </row>
    <row r="267" spans="1:11" ht="14.5">
      <c r="A267" s="3">
        <v>3</v>
      </c>
      <c r="C267">
        <f t="shared" si="8"/>
        <v>4</v>
      </c>
      <c r="I267" s="3">
        <v>12094.48</v>
      </c>
      <c r="K267" s="6">
        <f t="shared" si="9"/>
        <v>3023.62</v>
      </c>
    </row>
    <row r="268" spans="1:11" ht="14.5">
      <c r="A268" s="3">
        <v>1</v>
      </c>
      <c r="C268">
        <f t="shared" si="8"/>
        <v>2</v>
      </c>
      <c r="I268" s="3">
        <v>10928.85</v>
      </c>
      <c r="K268" s="6">
        <f t="shared" si="9"/>
        <v>5464.4250000000002</v>
      </c>
    </row>
    <row r="269" spans="1:11" ht="14.5">
      <c r="A269" s="3">
        <v>2</v>
      </c>
      <c r="C269">
        <f t="shared" si="8"/>
        <v>3</v>
      </c>
      <c r="I269" s="3">
        <v>12096.65</v>
      </c>
      <c r="K269" s="6">
        <f t="shared" si="9"/>
        <v>4032.2166666666667</v>
      </c>
    </row>
    <row r="270" spans="1:11" ht="14.5">
      <c r="A270" s="3">
        <v>0</v>
      </c>
      <c r="C270">
        <f t="shared" si="8"/>
        <v>1</v>
      </c>
      <c r="I270" s="3">
        <v>10338.93</v>
      </c>
      <c r="K270" s="6">
        <f t="shared" si="9"/>
        <v>10338.93</v>
      </c>
    </row>
    <row r="271" spans="1:11" ht="14.5">
      <c r="A271" s="3">
        <v>1</v>
      </c>
      <c r="C271">
        <f t="shared" si="8"/>
        <v>2</v>
      </c>
      <c r="I271" s="3">
        <v>11512.41</v>
      </c>
      <c r="K271" s="6">
        <f t="shared" si="9"/>
        <v>5756.2049999999999</v>
      </c>
    </row>
    <row r="272" spans="1:11" ht="14.5">
      <c r="A272" s="3">
        <v>3</v>
      </c>
      <c r="C272">
        <f t="shared" si="8"/>
        <v>4</v>
      </c>
      <c r="I272" s="3">
        <v>12479.71</v>
      </c>
      <c r="K272" s="6">
        <f t="shared" si="9"/>
        <v>3119.9274999999998</v>
      </c>
    </row>
    <row r="273" spans="1:11" ht="14.5">
      <c r="A273" s="3">
        <v>1</v>
      </c>
      <c r="C273">
        <f t="shared" si="8"/>
        <v>2</v>
      </c>
      <c r="I273" s="3">
        <v>11305.93</v>
      </c>
      <c r="K273" s="6">
        <f t="shared" si="9"/>
        <v>5652.9650000000001</v>
      </c>
    </row>
    <row r="274" spans="1:11" ht="14.5">
      <c r="A274" s="3">
        <v>1</v>
      </c>
      <c r="C274">
        <f t="shared" si="8"/>
        <v>2</v>
      </c>
      <c r="I274" s="3">
        <v>23244.79</v>
      </c>
      <c r="K274" s="6">
        <f t="shared" si="9"/>
        <v>11622.395</v>
      </c>
    </row>
    <row r="275" spans="1:11" ht="14.5">
      <c r="A275" s="3">
        <v>3</v>
      </c>
      <c r="C275">
        <f t="shared" si="8"/>
        <v>4</v>
      </c>
      <c r="I275" s="3">
        <v>11741.73</v>
      </c>
      <c r="K275" s="6">
        <f t="shared" si="9"/>
        <v>2935.4324999999999</v>
      </c>
    </row>
    <row r="276" spans="1:11" ht="14.5">
      <c r="A276" s="3">
        <v>1</v>
      </c>
      <c r="C276">
        <f t="shared" si="8"/>
        <v>2</v>
      </c>
      <c r="I276" s="3">
        <v>10942.13</v>
      </c>
      <c r="K276" s="6">
        <f t="shared" si="9"/>
        <v>5471.0649999999996</v>
      </c>
    </row>
    <row r="277" spans="1:11" ht="14.5">
      <c r="A277" s="3">
        <v>2</v>
      </c>
      <c r="C277">
        <f t="shared" si="8"/>
        <v>3</v>
      </c>
      <c r="I277" s="3">
        <v>11163.57</v>
      </c>
      <c r="K277" s="6">
        <f t="shared" si="9"/>
        <v>3721.19</v>
      </c>
    </row>
    <row r="278" spans="1:11" ht="14.5">
      <c r="A278" s="3">
        <v>1</v>
      </c>
      <c r="C278">
        <f t="shared" si="8"/>
        <v>2</v>
      </c>
      <c r="I278" s="3">
        <v>10959.69</v>
      </c>
      <c r="K278" s="6">
        <f t="shared" si="9"/>
        <v>5479.8450000000003</v>
      </c>
    </row>
    <row r="279" spans="1:11" ht="14.5">
      <c r="A279" s="3">
        <v>0</v>
      </c>
      <c r="C279">
        <f t="shared" si="8"/>
        <v>1</v>
      </c>
      <c r="I279" s="3">
        <v>10355.64</v>
      </c>
      <c r="K279" s="6">
        <f t="shared" si="9"/>
        <v>10355.64</v>
      </c>
    </row>
    <row r="280" spans="1:11" ht="14.5">
      <c r="A280" s="3">
        <v>0</v>
      </c>
      <c r="C280">
        <f t="shared" si="8"/>
        <v>1</v>
      </c>
      <c r="I280" s="3">
        <v>10564.88</v>
      </c>
      <c r="K280" s="6">
        <f t="shared" si="9"/>
        <v>10564.88</v>
      </c>
    </row>
    <row r="281" spans="1:11" ht="14.5">
      <c r="A281" s="3">
        <v>3</v>
      </c>
      <c r="C281">
        <f t="shared" si="8"/>
        <v>4</v>
      </c>
      <c r="I281" s="3">
        <v>20463</v>
      </c>
      <c r="K281" s="6">
        <f t="shared" si="9"/>
        <v>5115.75</v>
      </c>
    </row>
    <row r="282" spans="1:11" ht="14.5">
      <c r="A282" s="3">
        <v>3</v>
      </c>
      <c r="C282">
        <f t="shared" si="8"/>
        <v>4</v>
      </c>
      <c r="I282" s="3">
        <v>24873.38</v>
      </c>
      <c r="K282" s="6">
        <f t="shared" si="9"/>
        <v>6218.3450000000003</v>
      </c>
    </row>
    <row r="283" spans="1:11" ht="14.5">
      <c r="A283" s="3">
        <v>1</v>
      </c>
      <c r="C283">
        <f t="shared" si="8"/>
        <v>2</v>
      </c>
      <c r="I283" s="3">
        <v>10461.98</v>
      </c>
      <c r="K283" s="6">
        <f t="shared" si="9"/>
        <v>5230.99</v>
      </c>
    </row>
    <row r="284" spans="1:11" ht="14.5">
      <c r="A284" s="3">
        <v>0</v>
      </c>
      <c r="C284">
        <f t="shared" si="8"/>
        <v>1</v>
      </c>
      <c r="I284" s="3">
        <v>27346.04</v>
      </c>
      <c r="K284" s="6">
        <f t="shared" si="9"/>
        <v>27346.04</v>
      </c>
    </row>
    <row r="285" spans="1:11" ht="14.5">
      <c r="A285" s="3">
        <v>1</v>
      </c>
      <c r="C285">
        <f t="shared" si="8"/>
        <v>2</v>
      </c>
      <c r="I285" s="3">
        <v>10085.85</v>
      </c>
      <c r="K285" s="6">
        <f t="shared" si="9"/>
        <v>5042.9250000000002</v>
      </c>
    </row>
    <row r="286" spans="1:11" ht="14.5">
      <c r="A286" s="3">
        <v>1</v>
      </c>
      <c r="C286">
        <f t="shared" si="8"/>
        <v>2</v>
      </c>
      <c r="I286" s="3">
        <v>10579.71</v>
      </c>
      <c r="K286" s="6">
        <f t="shared" si="9"/>
        <v>5289.8549999999996</v>
      </c>
    </row>
    <row r="287" spans="1:11" ht="14.5">
      <c r="A287" s="3">
        <v>0</v>
      </c>
      <c r="C287">
        <f t="shared" si="8"/>
        <v>1</v>
      </c>
      <c r="I287" s="3">
        <v>9863.4699999999993</v>
      </c>
      <c r="K287" s="6">
        <f t="shared" si="9"/>
        <v>9863.4699999999993</v>
      </c>
    </row>
    <row r="288" spans="1:11" ht="14.5">
      <c r="A288" s="3">
        <v>2</v>
      </c>
      <c r="C288">
        <f t="shared" si="8"/>
        <v>3</v>
      </c>
      <c r="I288" s="3">
        <v>11244.38</v>
      </c>
      <c r="K288" s="6">
        <f t="shared" si="9"/>
        <v>3748.1266666666666</v>
      </c>
    </row>
    <row r="289" spans="1:11" ht="14.5">
      <c r="A289" s="3">
        <v>2</v>
      </c>
      <c r="C289">
        <f t="shared" si="8"/>
        <v>3</v>
      </c>
      <c r="I289" s="3">
        <v>29186.48</v>
      </c>
      <c r="K289" s="6">
        <f t="shared" si="9"/>
        <v>9728.8266666666659</v>
      </c>
    </row>
    <row r="290" spans="1:11" ht="14.5">
      <c r="A290" s="3">
        <v>0</v>
      </c>
      <c r="C290">
        <f t="shared" si="8"/>
        <v>1</v>
      </c>
      <c r="I290" s="3">
        <v>9504.31</v>
      </c>
      <c r="K290" s="6">
        <f t="shared" si="9"/>
        <v>9504.31</v>
      </c>
    </row>
    <row r="291" spans="1:11" ht="14.5">
      <c r="A291" s="3">
        <v>3</v>
      </c>
      <c r="C291">
        <f t="shared" si="8"/>
        <v>4</v>
      </c>
      <c r="I291" s="3">
        <v>11264.54</v>
      </c>
      <c r="K291" s="6">
        <f t="shared" si="9"/>
        <v>2816.1350000000002</v>
      </c>
    </row>
    <row r="292" spans="1:11" ht="14.5">
      <c r="A292" s="3">
        <v>1</v>
      </c>
      <c r="C292">
        <f t="shared" si="8"/>
        <v>2</v>
      </c>
      <c r="I292" s="3">
        <v>10065.41</v>
      </c>
      <c r="K292" s="6">
        <f t="shared" si="9"/>
        <v>5032.7049999999999</v>
      </c>
    </row>
    <row r="293" spans="1:11" ht="14.5">
      <c r="A293" s="3">
        <v>0</v>
      </c>
      <c r="C293">
        <f t="shared" si="8"/>
        <v>1</v>
      </c>
      <c r="I293" s="3">
        <v>43254.42</v>
      </c>
      <c r="K293" s="6">
        <f t="shared" si="9"/>
        <v>43254.42</v>
      </c>
    </row>
    <row r="294" spans="1:11" ht="14.5">
      <c r="A294" s="3">
        <v>2</v>
      </c>
      <c r="C294">
        <f t="shared" si="8"/>
        <v>3</v>
      </c>
      <c r="I294" s="3">
        <v>11150.78</v>
      </c>
      <c r="K294" s="6">
        <f t="shared" si="9"/>
        <v>3716.9266666666667</v>
      </c>
    </row>
    <row r="295" spans="1:11" ht="14.5">
      <c r="A295" s="3">
        <v>0</v>
      </c>
      <c r="C295">
        <f t="shared" si="8"/>
        <v>1</v>
      </c>
      <c r="I295" s="3">
        <v>9869.81</v>
      </c>
      <c r="K295" s="6">
        <f t="shared" si="9"/>
        <v>9869.81</v>
      </c>
    </row>
    <row r="296" spans="1:11" ht="14.5">
      <c r="A296" s="3">
        <v>0</v>
      </c>
      <c r="C296">
        <f t="shared" si="8"/>
        <v>1</v>
      </c>
      <c r="I296" s="3">
        <v>21195.82</v>
      </c>
      <c r="K296" s="6">
        <f t="shared" si="9"/>
        <v>21195.82</v>
      </c>
    </row>
    <row r="297" spans="1:11" ht="14.5">
      <c r="A297" s="3">
        <v>0</v>
      </c>
      <c r="C297">
        <f t="shared" si="8"/>
        <v>1</v>
      </c>
      <c r="I297" s="3">
        <v>10072.06</v>
      </c>
      <c r="K297" s="6">
        <f t="shared" si="9"/>
        <v>10072.06</v>
      </c>
    </row>
    <row r="298" spans="1:11" ht="14.5">
      <c r="A298" s="3">
        <v>2</v>
      </c>
      <c r="C298">
        <f t="shared" si="8"/>
        <v>3</v>
      </c>
      <c r="I298" s="3">
        <v>11729.68</v>
      </c>
      <c r="K298" s="6">
        <f t="shared" si="9"/>
        <v>3909.8933333333334</v>
      </c>
    </row>
    <row r="299" spans="1:11" ht="14.5">
      <c r="A299" s="3">
        <v>0</v>
      </c>
      <c r="C299">
        <f t="shared" si="8"/>
        <v>1</v>
      </c>
      <c r="I299" s="3">
        <v>9487.64</v>
      </c>
      <c r="K299" s="6">
        <f t="shared" si="9"/>
        <v>9487.64</v>
      </c>
    </row>
    <row r="300" spans="1:11" ht="14.5">
      <c r="A300" s="3">
        <v>3</v>
      </c>
      <c r="C300">
        <f t="shared" si="8"/>
        <v>4</v>
      </c>
      <c r="I300" s="3">
        <v>11253.42</v>
      </c>
      <c r="K300" s="6">
        <f t="shared" si="9"/>
        <v>2813.355</v>
      </c>
    </row>
    <row r="301" spans="1:11" ht="14.5">
      <c r="A301" s="3">
        <v>3</v>
      </c>
      <c r="C301">
        <f t="shared" si="8"/>
        <v>4</v>
      </c>
      <c r="I301" s="3">
        <v>46661.440000000002</v>
      </c>
      <c r="K301" s="6">
        <f t="shared" si="9"/>
        <v>11665.36</v>
      </c>
    </row>
    <row r="302" spans="1:11" ht="14.5">
      <c r="A302" s="3">
        <v>1</v>
      </c>
      <c r="C302">
        <f t="shared" si="8"/>
        <v>2</v>
      </c>
      <c r="I302" s="3">
        <v>10797.34</v>
      </c>
      <c r="K302" s="6">
        <f t="shared" si="9"/>
        <v>5398.67</v>
      </c>
    </row>
    <row r="303" spans="1:11" ht="14.5">
      <c r="A303" s="3">
        <v>3</v>
      </c>
      <c r="C303">
        <f t="shared" si="8"/>
        <v>4</v>
      </c>
      <c r="I303" s="3">
        <v>11488.32</v>
      </c>
      <c r="K303" s="6">
        <f t="shared" si="9"/>
        <v>2872.08</v>
      </c>
    </row>
    <row r="304" spans="1:11" ht="14.5">
      <c r="A304" s="3">
        <v>0</v>
      </c>
      <c r="C304">
        <f t="shared" si="8"/>
        <v>1</v>
      </c>
      <c r="I304" s="3">
        <v>9634.5400000000009</v>
      </c>
      <c r="K304" s="6">
        <f t="shared" si="9"/>
        <v>9634.5400000000009</v>
      </c>
    </row>
    <row r="305" spans="1:11" ht="14.5">
      <c r="A305" s="3">
        <v>3</v>
      </c>
      <c r="C305">
        <f t="shared" si="8"/>
        <v>4</v>
      </c>
      <c r="I305" s="3">
        <v>24869.84</v>
      </c>
      <c r="K305" s="6">
        <f t="shared" si="9"/>
        <v>6217.46</v>
      </c>
    </row>
    <row r="306" spans="1:11" ht="14.5">
      <c r="A306" s="3">
        <v>0</v>
      </c>
      <c r="C306">
        <f t="shared" si="8"/>
        <v>1</v>
      </c>
      <c r="I306" s="3">
        <v>9625.92</v>
      </c>
      <c r="K306" s="6">
        <f t="shared" si="9"/>
        <v>9625.92</v>
      </c>
    </row>
    <row r="307" spans="1:11" ht="14.5">
      <c r="A307" s="3">
        <v>3</v>
      </c>
      <c r="C307">
        <f t="shared" si="8"/>
        <v>4</v>
      </c>
      <c r="I307" s="3">
        <v>25992.82</v>
      </c>
      <c r="K307" s="6">
        <f t="shared" si="9"/>
        <v>6498.2049999999999</v>
      </c>
    </row>
    <row r="308" spans="1:11" ht="14.5">
      <c r="A308" s="3">
        <v>0</v>
      </c>
      <c r="C308">
        <f t="shared" si="8"/>
        <v>1</v>
      </c>
      <c r="I308" s="3">
        <v>9722.77</v>
      </c>
      <c r="K308" s="6">
        <f t="shared" si="9"/>
        <v>9722.77</v>
      </c>
    </row>
    <row r="309" spans="1:11" ht="14.5">
      <c r="A309" s="3">
        <v>0</v>
      </c>
      <c r="C309">
        <f t="shared" si="8"/>
        <v>1</v>
      </c>
      <c r="I309" s="3">
        <v>9144.57</v>
      </c>
      <c r="K309" s="6">
        <f t="shared" si="9"/>
        <v>9144.57</v>
      </c>
    </row>
    <row r="310" spans="1:11" ht="14.5">
      <c r="A310" s="3">
        <v>0</v>
      </c>
      <c r="C310">
        <f t="shared" si="8"/>
        <v>1</v>
      </c>
      <c r="I310" s="3">
        <v>24393.62</v>
      </c>
      <c r="K310" s="6">
        <f t="shared" si="9"/>
        <v>24393.62</v>
      </c>
    </row>
    <row r="311" spans="1:11" ht="14.5">
      <c r="A311" s="3">
        <v>2</v>
      </c>
      <c r="C311">
        <f t="shared" si="8"/>
        <v>3</v>
      </c>
      <c r="I311" s="3">
        <v>11396.9</v>
      </c>
      <c r="K311" s="6">
        <f t="shared" si="9"/>
        <v>3798.9666666666667</v>
      </c>
    </row>
    <row r="312" spans="1:11" ht="14.5">
      <c r="A312" s="3">
        <v>0</v>
      </c>
      <c r="C312">
        <f t="shared" si="8"/>
        <v>1</v>
      </c>
      <c r="I312" s="3">
        <v>9140.9500000000007</v>
      </c>
      <c r="K312" s="6">
        <f t="shared" si="9"/>
        <v>9140.9500000000007</v>
      </c>
    </row>
    <row r="313" spans="1:11" ht="14.5">
      <c r="A313" s="3">
        <v>5</v>
      </c>
      <c r="C313">
        <f t="shared" si="8"/>
        <v>6</v>
      </c>
      <c r="I313" s="3">
        <v>12592.53</v>
      </c>
      <c r="K313" s="6">
        <f t="shared" si="9"/>
        <v>2098.7550000000001</v>
      </c>
    </row>
    <row r="314" spans="1:11" ht="14.5">
      <c r="A314" s="3">
        <v>2</v>
      </c>
      <c r="C314">
        <f t="shared" si="8"/>
        <v>3</v>
      </c>
      <c r="I314" s="3">
        <v>11187.66</v>
      </c>
      <c r="K314" s="6">
        <f t="shared" si="9"/>
        <v>3729.22</v>
      </c>
    </row>
    <row r="315" spans="1:11" ht="14.5">
      <c r="A315" s="3">
        <v>1</v>
      </c>
      <c r="C315">
        <f t="shared" si="8"/>
        <v>2</v>
      </c>
      <c r="I315" s="3">
        <v>9724.5300000000007</v>
      </c>
      <c r="K315" s="6">
        <f t="shared" si="9"/>
        <v>4862.2650000000003</v>
      </c>
    </row>
    <row r="316" spans="1:11" ht="14.5">
      <c r="A316" s="3">
        <v>2</v>
      </c>
      <c r="C316">
        <f t="shared" si="8"/>
        <v>3</v>
      </c>
      <c r="I316" s="3">
        <v>33471.97</v>
      </c>
      <c r="K316" s="6">
        <f t="shared" si="9"/>
        <v>11157.323333333334</v>
      </c>
    </row>
    <row r="317" spans="1:11" ht="14.5">
      <c r="A317" s="3">
        <v>2</v>
      </c>
      <c r="C317">
        <f t="shared" si="8"/>
        <v>3</v>
      </c>
      <c r="I317" s="3">
        <v>24667.42</v>
      </c>
      <c r="K317" s="6">
        <f t="shared" si="9"/>
        <v>8222.4733333333334</v>
      </c>
    </row>
    <row r="318" spans="1:11" ht="14.5">
      <c r="A318" s="3">
        <v>2</v>
      </c>
      <c r="C318">
        <f t="shared" si="8"/>
        <v>3</v>
      </c>
      <c r="I318" s="3">
        <v>26467.1</v>
      </c>
      <c r="K318" s="6">
        <f t="shared" si="9"/>
        <v>8822.3666666666668</v>
      </c>
    </row>
    <row r="319" spans="1:11" ht="14.5">
      <c r="A319" s="3">
        <v>1</v>
      </c>
      <c r="C319">
        <f t="shared" si="8"/>
        <v>2</v>
      </c>
      <c r="I319" s="3">
        <v>9748.91</v>
      </c>
      <c r="K319" s="6">
        <f t="shared" si="9"/>
        <v>4874.4549999999999</v>
      </c>
    </row>
    <row r="320" spans="1:11" ht="14.5">
      <c r="A320" s="3">
        <v>0</v>
      </c>
      <c r="C320">
        <f t="shared" si="8"/>
        <v>1</v>
      </c>
      <c r="I320" s="3">
        <v>23045.57</v>
      </c>
      <c r="K320" s="6">
        <f t="shared" si="9"/>
        <v>23045.57</v>
      </c>
    </row>
    <row r="321" spans="1:11" ht="14.5">
      <c r="A321" s="3">
        <v>0</v>
      </c>
      <c r="C321">
        <f t="shared" si="8"/>
        <v>1</v>
      </c>
      <c r="I321" s="3">
        <v>9991.0400000000009</v>
      </c>
      <c r="K321" s="6">
        <f t="shared" si="9"/>
        <v>9991.0400000000009</v>
      </c>
    </row>
    <row r="322" spans="1:11" ht="14.5">
      <c r="A322" s="3">
        <v>0</v>
      </c>
      <c r="C322">
        <f t="shared" si="8"/>
        <v>1</v>
      </c>
      <c r="I322" s="3">
        <v>27117.99</v>
      </c>
      <c r="K322" s="6">
        <f t="shared" si="9"/>
        <v>27117.99</v>
      </c>
    </row>
    <row r="323" spans="1:11" ht="14.5">
      <c r="A323" s="3">
        <v>3</v>
      </c>
      <c r="C323">
        <f t="shared" si="8"/>
        <v>4</v>
      </c>
      <c r="I323" s="3">
        <v>11289.11</v>
      </c>
      <c r="K323" s="6">
        <f t="shared" si="9"/>
        <v>2822.2775000000001</v>
      </c>
    </row>
    <row r="324" spans="1:11" ht="14.5">
      <c r="A324" s="3">
        <v>1</v>
      </c>
      <c r="C324">
        <f t="shared" si="8"/>
        <v>2</v>
      </c>
      <c r="I324" s="3">
        <v>23887.66</v>
      </c>
      <c r="K324" s="6">
        <f t="shared" si="9"/>
        <v>11943.83</v>
      </c>
    </row>
    <row r="325" spans="1:11" ht="14.5">
      <c r="A325" s="3">
        <v>2</v>
      </c>
      <c r="C325">
        <f t="shared" ref="C325:C388" si="10">1+A325</f>
        <v>3</v>
      </c>
      <c r="I325" s="3">
        <v>10806.84</v>
      </c>
      <c r="K325" s="6">
        <f t="shared" ref="K325:K388" si="11">I325/C325</f>
        <v>3602.28</v>
      </c>
    </row>
    <row r="326" spans="1:11" ht="14.5">
      <c r="A326" s="3">
        <v>3</v>
      </c>
      <c r="C326">
        <f t="shared" si="10"/>
        <v>4</v>
      </c>
      <c r="I326" s="3">
        <v>60021.4</v>
      </c>
      <c r="K326" s="6">
        <f t="shared" si="11"/>
        <v>15005.35</v>
      </c>
    </row>
    <row r="327" spans="1:11" ht="14.5">
      <c r="A327" s="3">
        <v>2</v>
      </c>
      <c r="C327">
        <f t="shared" si="10"/>
        <v>3</v>
      </c>
      <c r="I327" s="3">
        <v>47269.85</v>
      </c>
      <c r="K327" s="6">
        <f t="shared" si="11"/>
        <v>15756.616666666667</v>
      </c>
    </row>
    <row r="328" spans="1:11" ht="14.5">
      <c r="A328" s="3">
        <v>0</v>
      </c>
      <c r="C328">
        <f t="shared" si="10"/>
        <v>1</v>
      </c>
      <c r="I328" s="3">
        <v>10197.77</v>
      </c>
      <c r="K328" s="6">
        <f t="shared" si="11"/>
        <v>10197.77</v>
      </c>
    </row>
    <row r="329" spans="1:11" ht="14.5">
      <c r="A329" s="3">
        <v>2</v>
      </c>
      <c r="C329">
        <f t="shared" si="10"/>
        <v>3</v>
      </c>
      <c r="I329" s="3">
        <v>10325.209999999999</v>
      </c>
      <c r="K329" s="6">
        <f t="shared" si="11"/>
        <v>3441.7366666666662</v>
      </c>
    </row>
    <row r="330" spans="1:11" ht="14.5">
      <c r="A330" s="3">
        <v>3</v>
      </c>
      <c r="C330">
        <f t="shared" si="10"/>
        <v>4</v>
      </c>
      <c r="I330" s="3">
        <v>11411.69</v>
      </c>
      <c r="K330" s="6">
        <f t="shared" si="11"/>
        <v>2852.9225000000001</v>
      </c>
    </row>
    <row r="331" spans="1:11" ht="14.5">
      <c r="A331" s="3">
        <v>1</v>
      </c>
      <c r="C331">
        <f t="shared" si="10"/>
        <v>2</v>
      </c>
      <c r="I331" s="3">
        <v>9877.61</v>
      </c>
      <c r="K331" s="6">
        <f t="shared" si="11"/>
        <v>4938.8050000000003</v>
      </c>
    </row>
    <row r="332" spans="1:11" ht="14.5">
      <c r="A332" s="3">
        <v>0</v>
      </c>
      <c r="C332">
        <f t="shared" si="10"/>
        <v>1</v>
      </c>
      <c r="I332" s="3">
        <v>9644.25</v>
      </c>
      <c r="K332" s="6">
        <f t="shared" si="11"/>
        <v>9644.25</v>
      </c>
    </row>
    <row r="333" spans="1:11" ht="14.5">
      <c r="A333" s="3">
        <v>4</v>
      </c>
      <c r="C333">
        <f t="shared" si="10"/>
        <v>5</v>
      </c>
      <c r="I333" s="3">
        <v>11520.1</v>
      </c>
      <c r="K333" s="6">
        <f t="shared" si="11"/>
        <v>2304.02</v>
      </c>
    </row>
    <row r="334" spans="1:11" ht="14.5">
      <c r="A334" s="3">
        <v>1</v>
      </c>
      <c r="C334">
        <f t="shared" si="10"/>
        <v>2</v>
      </c>
      <c r="I334" s="3">
        <v>9855.1299999999992</v>
      </c>
      <c r="K334" s="6">
        <f t="shared" si="11"/>
        <v>4927.5649999999996</v>
      </c>
    </row>
    <row r="335" spans="1:11" ht="14.5">
      <c r="A335" s="3">
        <v>0</v>
      </c>
      <c r="C335">
        <f t="shared" si="10"/>
        <v>1</v>
      </c>
      <c r="I335" s="3">
        <v>9264.7999999999993</v>
      </c>
      <c r="K335" s="6">
        <f t="shared" si="11"/>
        <v>9264.7999999999993</v>
      </c>
    </row>
    <row r="336" spans="1:11" ht="14.5">
      <c r="A336" s="3">
        <v>1</v>
      </c>
      <c r="C336">
        <f t="shared" si="10"/>
        <v>2</v>
      </c>
      <c r="I336" s="3">
        <v>9880.07</v>
      </c>
      <c r="K336" s="6">
        <f t="shared" si="11"/>
        <v>4940.0349999999999</v>
      </c>
    </row>
    <row r="337" spans="1:11" ht="14.5">
      <c r="A337" s="3">
        <v>1</v>
      </c>
      <c r="C337">
        <f t="shared" si="10"/>
        <v>2</v>
      </c>
      <c r="I337" s="3">
        <v>22218.11</v>
      </c>
      <c r="K337" s="6">
        <f t="shared" si="11"/>
        <v>11109.055</v>
      </c>
    </row>
    <row r="338" spans="1:11" ht="14.5">
      <c r="A338" s="3">
        <v>0</v>
      </c>
      <c r="C338">
        <f t="shared" si="10"/>
        <v>1</v>
      </c>
      <c r="I338" s="3">
        <v>9361.33</v>
      </c>
      <c r="K338" s="6">
        <f t="shared" si="11"/>
        <v>9361.33</v>
      </c>
    </row>
    <row r="339" spans="1:11" ht="14.5">
      <c r="A339" s="3">
        <v>0</v>
      </c>
      <c r="C339">
        <f t="shared" si="10"/>
        <v>1</v>
      </c>
      <c r="I339" s="3">
        <v>9866.2999999999993</v>
      </c>
      <c r="K339" s="6">
        <f t="shared" si="11"/>
        <v>9866.2999999999993</v>
      </c>
    </row>
    <row r="340" spans="1:11" ht="14.5">
      <c r="A340" s="3">
        <v>1</v>
      </c>
      <c r="C340">
        <f t="shared" si="10"/>
        <v>2</v>
      </c>
      <c r="I340" s="3">
        <v>9861.0300000000007</v>
      </c>
      <c r="K340" s="6">
        <f t="shared" si="11"/>
        <v>4930.5150000000003</v>
      </c>
    </row>
    <row r="341" spans="1:11" ht="14.5">
      <c r="A341" s="3">
        <v>0</v>
      </c>
      <c r="C341">
        <f t="shared" si="10"/>
        <v>1</v>
      </c>
      <c r="I341" s="3">
        <v>9174.14</v>
      </c>
      <c r="K341" s="6">
        <f t="shared" si="11"/>
        <v>9174.14</v>
      </c>
    </row>
    <row r="342" spans="1:11" ht="14.5">
      <c r="A342" s="3">
        <v>0</v>
      </c>
      <c r="C342">
        <f t="shared" si="10"/>
        <v>1</v>
      </c>
      <c r="I342" s="3">
        <v>9283.56</v>
      </c>
      <c r="K342" s="6">
        <f t="shared" si="11"/>
        <v>9283.56</v>
      </c>
    </row>
    <row r="343" spans="1:11" ht="14.5">
      <c r="A343" s="3">
        <v>1</v>
      </c>
      <c r="C343">
        <f t="shared" si="10"/>
        <v>2</v>
      </c>
      <c r="I343" s="3">
        <v>9391.35</v>
      </c>
      <c r="K343" s="6">
        <f t="shared" si="11"/>
        <v>4695.6750000000002</v>
      </c>
    </row>
    <row r="344" spans="1:11" ht="14.5">
      <c r="A344" s="3">
        <v>0</v>
      </c>
      <c r="C344">
        <f t="shared" si="10"/>
        <v>1</v>
      </c>
      <c r="I344" s="3">
        <v>44400.41</v>
      </c>
      <c r="K344" s="6">
        <f t="shared" si="11"/>
        <v>44400.41</v>
      </c>
    </row>
    <row r="345" spans="1:11" ht="14.5">
      <c r="A345" s="3">
        <v>2</v>
      </c>
      <c r="C345">
        <f t="shared" si="10"/>
        <v>3</v>
      </c>
      <c r="I345" s="3">
        <v>10848.13</v>
      </c>
      <c r="K345" s="6">
        <f t="shared" si="11"/>
        <v>3616.0433333333331</v>
      </c>
    </row>
    <row r="346" spans="1:11" ht="14.5">
      <c r="A346" s="3">
        <v>0</v>
      </c>
      <c r="C346">
        <f t="shared" si="10"/>
        <v>1</v>
      </c>
      <c r="I346" s="3">
        <v>9875.68</v>
      </c>
      <c r="K346" s="6">
        <f t="shared" si="11"/>
        <v>9875.68</v>
      </c>
    </row>
    <row r="347" spans="1:11" ht="14.5">
      <c r="A347" s="3">
        <v>3</v>
      </c>
      <c r="C347">
        <f t="shared" si="10"/>
        <v>4</v>
      </c>
      <c r="I347" s="3">
        <v>10560.49</v>
      </c>
      <c r="K347" s="6">
        <f t="shared" si="11"/>
        <v>2640.1224999999999</v>
      </c>
    </row>
    <row r="348" spans="1:11" ht="14.5">
      <c r="A348" s="3">
        <v>1</v>
      </c>
      <c r="C348">
        <f t="shared" si="10"/>
        <v>2</v>
      </c>
      <c r="I348" s="3">
        <v>9386.16</v>
      </c>
      <c r="K348" s="6">
        <f t="shared" si="11"/>
        <v>4693.08</v>
      </c>
    </row>
    <row r="349" spans="1:11" ht="14.5">
      <c r="A349" s="3">
        <v>1</v>
      </c>
      <c r="C349">
        <f t="shared" si="10"/>
        <v>2</v>
      </c>
      <c r="I349" s="3">
        <v>9872.7000000000007</v>
      </c>
      <c r="K349" s="6">
        <f t="shared" si="11"/>
        <v>4936.3500000000004</v>
      </c>
    </row>
    <row r="350" spans="1:11" ht="14.5">
      <c r="A350" s="3">
        <v>0</v>
      </c>
      <c r="C350">
        <f t="shared" si="10"/>
        <v>1</v>
      </c>
      <c r="I350" s="3">
        <v>8782.4699999999993</v>
      </c>
      <c r="K350" s="6">
        <f t="shared" si="11"/>
        <v>8782.4699999999993</v>
      </c>
    </row>
    <row r="351" spans="1:11" ht="14.5">
      <c r="A351" s="3">
        <v>3</v>
      </c>
      <c r="C351">
        <f t="shared" si="10"/>
        <v>4</v>
      </c>
      <c r="I351" s="3">
        <v>46255.11</v>
      </c>
      <c r="K351" s="6">
        <f t="shared" si="11"/>
        <v>11563.7775</v>
      </c>
    </row>
    <row r="352" spans="1:11" ht="14.5">
      <c r="A352" s="3">
        <v>2</v>
      </c>
      <c r="C352">
        <f t="shared" si="10"/>
        <v>3</v>
      </c>
      <c r="I352" s="3">
        <v>47462.89</v>
      </c>
      <c r="K352" s="6">
        <f t="shared" si="11"/>
        <v>15820.963333333333</v>
      </c>
    </row>
    <row r="353" spans="1:11" ht="14.5">
      <c r="A353" s="3">
        <v>2</v>
      </c>
      <c r="C353">
        <f t="shared" si="10"/>
        <v>3</v>
      </c>
      <c r="I353" s="3">
        <v>23967.38</v>
      </c>
      <c r="K353" s="6">
        <f t="shared" si="11"/>
        <v>7989.126666666667</v>
      </c>
    </row>
    <row r="354" spans="1:11" ht="14.5">
      <c r="A354" s="3">
        <v>1</v>
      </c>
      <c r="C354">
        <f t="shared" si="10"/>
        <v>2</v>
      </c>
      <c r="I354" s="3">
        <v>9957.7199999999993</v>
      </c>
      <c r="K354" s="6">
        <f t="shared" si="11"/>
        <v>4978.8599999999997</v>
      </c>
    </row>
    <row r="355" spans="1:11" ht="14.5">
      <c r="A355" s="3">
        <v>0</v>
      </c>
      <c r="C355">
        <f t="shared" si="10"/>
        <v>1</v>
      </c>
      <c r="I355" s="3">
        <v>8798.59</v>
      </c>
      <c r="K355" s="6">
        <f t="shared" si="11"/>
        <v>8798.59</v>
      </c>
    </row>
    <row r="356" spans="1:11" ht="14.5">
      <c r="A356" s="3">
        <v>2</v>
      </c>
      <c r="C356">
        <f t="shared" si="10"/>
        <v>3</v>
      </c>
      <c r="I356" s="3">
        <v>44641.2</v>
      </c>
      <c r="K356" s="6">
        <f t="shared" si="11"/>
        <v>14880.4</v>
      </c>
    </row>
    <row r="357" spans="1:11" ht="14.5">
      <c r="A357" s="3">
        <v>1</v>
      </c>
      <c r="C357">
        <f t="shared" si="10"/>
        <v>2</v>
      </c>
      <c r="I357" s="3">
        <v>9964.06</v>
      </c>
      <c r="K357" s="6">
        <f t="shared" si="11"/>
        <v>4982.03</v>
      </c>
    </row>
    <row r="358" spans="1:11" ht="14.5">
      <c r="A358" s="3">
        <v>3</v>
      </c>
      <c r="C358">
        <f t="shared" si="10"/>
        <v>4</v>
      </c>
      <c r="I358" s="3">
        <v>11436.74</v>
      </c>
      <c r="K358" s="6">
        <f t="shared" si="11"/>
        <v>2859.1849999999999</v>
      </c>
    </row>
    <row r="359" spans="1:11" ht="14.5">
      <c r="A359" s="3">
        <v>1</v>
      </c>
      <c r="C359">
        <f t="shared" si="10"/>
        <v>2</v>
      </c>
      <c r="I359" s="3">
        <v>9377.9</v>
      </c>
      <c r="K359" s="6">
        <f t="shared" si="11"/>
        <v>4688.95</v>
      </c>
    </row>
    <row r="360" spans="1:11" ht="14.5">
      <c r="A360" s="3">
        <v>3</v>
      </c>
      <c r="C360">
        <f t="shared" si="10"/>
        <v>4</v>
      </c>
      <c r="I360" s="3">
        <v>19749.38</v>
      </c>
      <c r="K360" s="6">
        <f t="shared" si="11"/>
        <v>4937.3450000000003</v>
      </c>
    </row>
    <row r="361" spans="1:11" ht="14.5">
      <c r="A361" s="3">
        <v>0</v>
      </c>
      <c r="C361">
        <f t="shared" si="10"/>
        <v>1</v>
      </c>
      <c r="I361" s="3">
        <v>41097.160000000003</v>
      </c>
      <c r="K361" s="6">
        <f t="shared" si="11"/>
        <v>41097.160000000003</v>
      </c>
    </row>
    <row r="362" spans="1:11" ht="14.5">
      <c r="A362" s="3">
        <v>2</v>
      </c>
      <c r="C362">
        <f t="shared" si="10"/>
        <v>3</v>
      </c>
      <c r="I362" s="3">
        <v>42856.84</v>
      </c>
      <c r="K362" s="6">
        <f t="shared" si="11"/>
        <v>14285.613333333333</v>
      </c>
    </row>
    <row r="363" spans="1:11" ht="14.5">
      <c r="A363" s="3">
        <v>1</v>
      </c>
      <c r="C363">
        <f t="shared" si="10"/>
        <v>2</v>
      </c>
      <c r="I363" s="3">
        <v>9617.66</v>
      </c>
      <c r="K363" s="6">
        <f t="shared" si="11"/>
        <v>4808.83</v>
      </c>
    </row>
    <row r="364" spans="1:11" ht="14.5">
      <c r="A364" s="3">
        <v>0</v>
      </c>
      <c r="C364">
        <f t="shared" si="10"/>
        <v>1</v>
      </c>
      <c r="I364" s="3">
        <v>8444.4699999999993</v>
      </c>
      <c r="K364" s="6">
        <f t="shared" si="11"/>
        <v>8444.4699999999993</v>
      </c>
    </row>
    <row r="365" spans="1:11" ht="14.5">
      <c r="A365" s="3">
        <v>0</v>
      </c>
      <c r="C365">
        <f t="shared" si="10"/>
        <v>1</v>
      </c>
      <c r="I365" s="3">
        <v>8835.26</v>
      </c>
      <c r="K365" s="6">
        <f t="shared" si="11"/>
        <v>8835.26</v>
      </c>
    </row>
    <row r="366" spans="1:11" ht="14.5">
      <c r="A366" s="3">
        <v>1</v>
      </c>
      <c r="C366">
        <f t="shared" si="10"/>
        <v>2</v>
      </c>
      <c r="I366" s="3">
        <v>41919.1</v>
      </c>
      <c r="K366" s="6">
        <f t="shared" si="11"/>
        <v>20959.55</v>
      </c>
    </row>
    <row r="367" spans="1:11" ht="14.5">
      <c r="A367" s="3">
        <v>0</v>
      </c>
      <c r="C367">
        <f t="shared" si="10"/>
        <v>1</v>
      </c>
      <c r="I367" s="3">
        <v>8932.08</v>
      </c>
      <c r="K367" s="6">
        <f t="shared" si="11"/>
        <v>8932.08</v>
      </c>
    </row>
    <row r="368" spans="1:11" ht="14.5">
      <c r="A368" s="3">
        <v>2</v>
      </c>
      <c r="C368">
        <f t="shared" si="10"/>
        <v>3</v>
      </c>
      <c r="I368" s="3">
        <v>30284.639999999999</v>
      </c>
      <c r="K368" s="6">
        <f t="shared" si="11"/>
        <v>10094.879999999999</v>
      </c>
    </row>
    <row r="369" spans="1:11" ht="14.5">
      <c r="A369" s="3">
        <v>0</v>
      </c>
      <c r="C369">
        <f t="shared" si="10"/>
        <v>1</v>
      </c>
      <c r="I369" s="3">
        <v>25656.58</v>
      </c>
      <c r="K369" s="6">
        <f t="shared" si="11"/>
        <v>25656.58</v>
      </c>
    </row>
    <row r="370" spans="1:11" ht="14.5">
      <c r="A370" s="3">
        <v>1</v>
      </c>
      <c r="C370">
        <f t="shared" si="10"/>
        <v>2</v>
      </c>
      <c r="I370" s="3">
        <v>9058.73</v>
      </c>
      <c r="K370" s="6">
        <f t="shared" si="11"/>
        <v>4529.3649999999998</v>
      </c>
    </row>
    <row r="371" spans="1:11" ht="14.5">
      <c r="A371" s="3">
        <v>0</v>
      </c>
      <c r="C371">
        <f t="shared" si="10"/>
        <v>1</v>
      </c>
      <c r="I371" s="3">
        <v>9541.7000000000007</v>
      </c>
      <c r="K371" s="6">
        <f t="shared" si="11"/>
        <v>9541.7000000000007</v>
      </c>
    </row>
    <row r="372" spans="1:11" ht="14.5">
      <c r="A372" s="3">
        <v>2</v>
      </c>
      <c r="C372">
        <f t="shared" si="10"/>
        <v>3</v>
      </c>
      <c r="I372" s="3">
        <v>10107.219999999999</v>
      </c>
      <c r="K372" s="6">
        <f t="shared" si="11"/>
        <v>3369.0733333333333</v>
      </c>
    </row>
    <row r="373" spans="1:11" ht="14.5">
      <c r="A373" s="3">
        <v>1</v>
      </c>
      <c r="C373">
        <f t="shared" si="10"/>
        <v>2</v>
      </c>
      <c r="I373" s="3">
        <v>10106.129999999999</v>
      </c>
      <c r="K373" s="6">
        <f t="shared" si="11"/>
        <v>5053.0649999999996</v>
      </c>
    </row>
    <row r="374" spans="1:11" ht="14.5">
      <c r="A374" s="3">
        <v>0</v>
      </c>
      <c r="C374">
        <f t="shared" si="10"/>
        <v>1</v>
      </c>
      <c r="I374" s="3">
        <v>8827.2099999999991</v>
      </c>
      <c r="K374" s="6">
        <f t="shared" si="11"/>
        <v>8827.2099999999991</v>
      </c>
    </row>
    <row r="375" spans="1:11" ht="14.5">
      <c r="A375" s="3">
        <v>1</v>
      </c>
      <c r="C375">
        <f t="shared" si="10"/>
        <v>2</v>
      </c>
      <c r="I375" s="3">
        <v>9910.36</v>
      </c>
      <c r="K375" s="6">
        <f t="shared" si="11"/>
        <v>4955.18</v>
      </c>
    </row>
    <row r="376" spans="1:11" ht="14.5">
      <c r="A376" s="3">
        <v>1</v>
      </c>
      <c r="C376">
        <f t="shared" si="10"/>
        <v>2</v>
      </c>
      <c r="I376" s="3">
        <v>24520.26</v>
      </c>
      <c r="K376" s="6">
        <f t="shared" si="11"/>
        <v>12260.13</v>
      </c>
    </row>
    <row r="377" spans="1:11" ht="14.5">
      <c r="A377" s="3">
        <v>0</v>
      </c>
      <c r="C377">
        <f t="shared" si="10"/>
        <v>1</v>
      </c>
      <c r="I377" s="3">
        <v>8457.82</v>
      </c>
      <c r="K377" s="6">
        <f t="shared" si="11"/>
        <v>8457.82</v>
      </c>
    </row>
    <row r="378" spans="1:11" ht="14.5">
      <c r="A378" s="3">
        <v>2</v>
      </c>
      <c r="C378">
        <f t="shared" si="10"/>
        <v>3</v>
      </c>
      <c r="I378" s="3">
        <v>25333.33</v>
      </c>
      <c r="K378" s="6">
        <f t="shared" si="11"/>
        <v>8444.4433333333345</v>
      </c>
    </row>
    <row r="379" spans="1:11" ht="14.5">
      <c r="A379" s="3">
        <v>1</v>
      </c>
      <c r="C379">
        <f t="shared" si="10"/>
        <v>2</v>
      </c>
      <c r="I379" s="3">
        <v>9549.57</v>
      </c>
      <c r="K379" s="6">
        <f t="shared" si="11"/>
        <v>4774.7849999999999</v>
      </c>
    </row>
    <row r="380" spans="1:11" ht="14.5">
      <c r="A380" s="3">
        <v>3</v>
      </c>
      <c r="C380">
        <f t="shared" si="10"/>
        <v>4</v>
      </c>
      <c r="I380" s="3">
        <v>10702.64</v>
      </c>
      <c r="K380" s="6">
        <f t="shared" si="11"/>
        <v>2675.66</v>
      </c>
    </row>
    <row r="381" spans="1:11" ht="14.5">
      <c r="A381" s="3">
        <v>2</v>
      </c>
      <c r="C381">
        <f t="shared" si="10"/>
        <v>3</v>
      </c>
      <c r="I381" s="3">
        <v>10118.42</v>
      </c>
      <c r="K381" s="6">
        <f t="shared" si="11"/>
        <v>3372.8066666666668</v>
      </c>
    </row>
    <row r="382" spans="1:11" ht="14.5">
      <c r="A382" s="3">
        <v>4</v>
      </c>
      <c r="C382">
        <f t="shared" si="10"/>
        <v>5</v>
      </c>
      <c r="I382" s="3">
        <v>11299.34</v>
      </c>
      <c r="K382" s="6">
        <f t="shared" si="11"/>
        <v>2259.8679999999999</v>
      </c>
    </row>
    <row r="383" spans="1:11" ht="14.5">
      <c r="A383" s="3">
        <v>2</v>
      </c>
      <c r="C383">
        <f t="shared" si="10"/>
        <v>3</v>
      </c>
      <c r="I383" s="3">
        <v>10493.95</v>
      </c>
      <c r="K383" s="6">
        <f t="shared" si="11"/>
        <v>3497.9833333333336</v>
      </c>
    </row>
    <row r="384" spans="1:11" ht="14.5">
      <c r="A384" s="3">
        <v>3</v>
      </c>
      <c r="C384">
        <f t="shared" si="10"/>
        <v>4</v>
      </c>
      <c r="I384" s="3">
        <v>11085.59</v>
      </c>
      <c r="K384" s="6">
        <f t="shared" si="11"/>
        <v>2771.3975</v>
      </c>
    </row>
    <row r="385" spans="1:11" ht="14.5">
      <c r="A385" s="3">
        <v>1</v>
      </c>
      <c r="C385">
        <f t="shared" si="10"/>
        <v>2</v>
      </c>
      <c r="I385" s="3">
        <v>9048.0300000000007</v>
      </c>
      <c r="K385" s="6">
        <f t="shared" si="11"/>
        <v>4524.0150000000003</v>
      </c>
    </row>
    <row r="386" spans="1:11" ht="14.5">
      <c r="A386" s="3">
        <v>2</v>
      </c>
      <c r="C386">
        <f t="shared" si="10"/>
        <v>3</v>
      </c>
      <c r="I386" s="3">
        <v>9630.4</v>
      </c>
      <c r="K386" s="6">
        <f t="shared" si="11"/>
        <v>3210.1333333333332</v>
      </c>
    </row>
    <row r="387" spans="1:11" ht="14.5">
      <c r="A387" s="3">
        <v>0</v>
      </c>
      <c r="C387">
        <f t="shared" si="10"/>
        <v>1</v>
      </c>
      <c r="I387" s="3">
        <v>8442.67</v>
      </c>
      <c r="K387" s="6">
        <f t="shared" si="11"/>
        <v>8442.67</v>
      </c>
    </row>
    <row r="388" spans="1:11" ht="14.5">
      <c r="A388" s="3">
        <v>3</v>
      </c>
      <c r="C388">
        <f t="shared" si="10"/>
        <v>4</v>
      </c>
      <c r="I388" s="3">
        <v>10600.55</v>
      </c>
      <c r="K388" s="6">
        <f t="shared" si="11"/>
        <v>2650.1374999999998</v>
      </c>
    </row>
    <row r="389" spans="1:11" ht="14.5">
      <c r="A389" s="3">
        <v>0</v>
      </c>
      <c r="C389">
        <f t="shared" ref="C389:C452" si="12">1+A389</f>
        <v>1</v>
      </c>
      <c r="I389" s="3">
        <v>8601.33</v>
      </c>
      <c r="K389" s="6">
        <f t="shared" ref="K389:K452" si="13">I389/C389</f>
        <v>8601.33</v>
      </c>
    </row>
    <row r="390" spans="1:11" ht="14.5">
      <c r="A390" s="3">
        <v>0</v>
      </c>
      <c r="C390">
        <f t="shared" si="12"/>
        <v>1</v>
      </c>
      <c r="I390" s="3">
        <v>8116.68</v>
      </c>
      <c r="K390" s="6">
        <f t="shared" si="13"/>
        <v>8116.68</v>
      </c>
    </row>
    <row r="391" spans="1:11" ht="14.5">
      <c r="A391" s="3">
        <v>1</v>
      </c>
      <c r="C391">
        <f t="shared" si="12"/>
        <v>2</v>
      </c>
      <c r="I391" s="3">
        <v>9282.48</v>
      </c>
      <c r="K391" s="6">
        <f t="shared" si="13"/>
        <v>4641.24</v>
      </c>
    </row>
    <row r="392" spans="1:11" ht="14.5">
      <c r="A392" s="3">
        <v>0</v>
      </c>
      <c r="C392">
        <f t="shared" si="12"/>
        <v>1</v>
      </c>
      <c r="I392" s="3">
        <v>8124.41</v>
      </c>
      <c r="K392" s="6">
        <f t="shared" si="13"/>
        <v>8124.41</v>
      </c>
    </row>
    <row r="393" spans="1:11" ht="14.5">
      <c r="A393" s="3">
        <v>4</v>
      </c>
      <c r="C393">
        <f t="shared" si="12"/>
        <v>5</v>
      </c>
      <c r="I393" s="3">
        <v>10977.21</v>
      </c>
      <c r="K393" s="6">
        <f t="shared" si="13"/>
        <v>2195.442</v>
      </c>
    </row>
    <row r="394" spans="1:11" ht="14.5">
      <c r="A394" s="3">
        <v>1</v>
      </c>
      <c r="C394">
        <f t="shared" si="12"/>
        <v>2</v>
      </c>
      <c r="I394" s="3">
        <v>9778.35</v>
      </c>
      <c r="K394" s="6">
        <f t="shared" si="13"/>
        <v>4889.1750000000002</v>
      </c>
    </row>
    <row r="395" spans="1:11" ht="14.5">
      <c r="A395" s="3">
        <v>1</v>
      </c>
      <c r="C395">
        <f t="shared" si="12"/>
        <v>2</v>
      </c>
      <c r="I395" s="3">
        <v>9290.14</v>
      </c>
      <c r="K395" s="6">
        <f t="shared" si="13"/>
        <v>4645.07</v>
      </c>
    </row>
    <row r="396" spans="1:11" ht="14.5">
      <c r="A396" s="3">
        <v>3</v>
      </c>
      <c r="C396">
        <f t="shared" si="12"/>
        <v>4</v>
      </c>
      <c r="I396" s="3">
        <v>10269.459999999999</v>
      </c>
      <c r="K396" s="6">
        <f t="shared" si="13"/>
        <v>2567.3649999999998</v>
      </c>
    </row>
    <row r="397" spans="1:11" ht="14.5">
      <c r="A397" s="3">
        <v>3</v>
      </c>
      <c r="C397">
        <f t="shared" si="12"/>
        <v>4</v>
      </c>
      <c r="I397" s="3">
        <v>10381.48</v>
      </c>
      <c r="K397" s="6">
        <f t="shared" si="13"/>
        <v>2595.37</v>
      </c>
    </row>
    <row r="398" spans="1:11" ht="14.5">
      <c r="A398" s="3">
        <v>2</v>
      </c>
      <c r="C398">
        <f t="shared" si="12"/>
        <v>3</v>
      </c>
      <c r="I398" s="3">
        <v>9304.7000000000007</v>
      </c>
      <c r="K398" s="6">
        <f t="shared" si="13"/>
        <v>3101.5666666666671</v>
      </c>
    </row>
    <row r="399" spans="1:11" ht="14.5">
      <c r="A399" s="3">
        <v>2</v>
      </c>
      <c r="C399">
        <f t="shared" si="12"/>
        <v>3</v>
      </c>
      <c r="I399" s="3">
        <v>23807.24</v>
      </c>
      <c r="K399" s="6">
        <f t="shared" si="13"/>
        <v>7935.7466666666669</v>
      </c>
    </row>
    <row r="400" spans="1:11" ht="14.5">
      <c r="A400" s="3">
        <v>5</v>
      </c>
      <c r="C400">
        <f t="shared" si="12"/>
        <v>6</v>
      </c>
      <c r="I400" s="3">
        <v>11552.9</v>
      </c>
      <c r="K400" s="6">
        <f t="shared" si="13"/>
        <v>1925.4833333333333</v>
      </c>
    </row>
    <row r="401" spans="1:11" ht="14.5">
      <c r="A401" s="3">
        <v>2</v>
      </c>
      <c r="C401">
        <f t="shared" si="12"/>
        <v>3</v>
      </c>
      <c r="I401" s="3">
        <v>23306.55</v>
      </c>
      <c r="K401" s="6">
        <f t="shared" si="13"/>
        <v>7768.8499999999995</v>
      </c>
    </row>
    <row r="402" spans="1:11" ht="14.5">
      <c r="A402" s="3">
        <v>1</v>
      </c>
      <c r="C402">
        <f t="shared" si="12"/>
        <v>2</v>
      </c>
      <c r="I402" s="3">
        <v>9182.17</v>
      </c>
      <c r="K402" s="6">
        <f t="shared" si="13"/>
        <v>4591.085</v>
      </c>
    </row>
    <row r="403" spans="1:11" ht="14.5">
      <c r="A403" s="3">
        <v>2</v>
      </c>
      <c r="C403">
        <f t="shared" si="12"/>
        <v>3</v>
      </c>
      <c r="I403" s="3">
        <v>9800.89</v>
      </c>
      <c r="K403" s="6">
        <f t="shared" si="13"/>
        <v>3266.9633333333331</v>
      </c>
    </row>
    <row r="404" spans="1:11" ht="14.5">
      <c r="A404" s="3">
        <v>1</v>
      </c>
      <c r="C404">
        <f t="shared" si="12"/>
        <v>2</v>
      </c>
      <c r="I404" s="3">
        <v>8703.4599999999991</v>
      </c>
      <c r="K404" s="6">
        <f t="shared" si="13"/>
        <v>4351.7299999999996</v>
      </c>
    </row>
    <row r="405" spans="1:11" ht="14.5">
      <c r="A405" s="3">
        <v>2</v>
      </c>
      <c r="C405">
        <f t="shared" si="12"/>
        <v>3</v>
      </c>
      <c r="I405" s="3">
        <v>10156.780000000001</v>
      </c>
      <c r="K405" s="6">
        <f t="shared" si="13"/>
        <v>3385.5933333333337</v>
      </c>
    </row>
    <row r="406" spans="1:11" ht="14.5">
      <c r="A406" s="3">
        <v>3</v>
      </c>
      <c r="C406">
        <f t="shared" si="12"/>
        <v>4</v>
      </c>
      <c r="I406" s="3">
        <v>10264.44</v>
      </c>
      <c r="K406" s="6">
        <f t="shared" si="13"/>
        <v>2566.11</v>
      </c>
    </row>
    <row r="407" spans="1:11" ht="14.5">
      <c r="A407" s="3">
        <v>1</v>
      </c>
      <c r="C407">
        <f t="shared" si="12"/>
        <v>2</v>
      </c>
      <c r="I407" s="3">
        <v>9566.99</v>
      </c>
      <c r="K407" s="6">
        <f t="shared" si="13"/>
        <v>4783.4949999999999</v>
      </c>
    </row>
    <row r="408" spans="1:11" ht="14.5">
      <c r="A408" s="3">
        <v>1</v>
      </c>
      <c r="C408">
        <f t="shared" si="12"/>
        <v>2</v>
      </c>
      <c r="I408" s="3">
        <v>9583.89</v>
      </c>
      <c r="K408" s="6">
        <f t="shared" si="13"/>
        <v>4791.9449999999997</v>
      </c>
    </row>
    <row r="409" spans="1:11" ht="14.5">
      <c r="A409" s="3">
        <v>3</v>
      </c>
      <c r="C409">
        <f t="shared" si="12"/>
        <v>4</v>
      </c>
      <c r="I409" s="3">
        <v>24106.91</v>
      </c>
      <c r="K409" s="6">
        <f t="shared" si="13"/>
        <v>6026.7275</v>
      </c>
    </row>
    <row r="410" spans="1:11" ht="14.5">
      <c r="A410" s="3">
        <v>1</v>
      </c>
      <c r="C410">
        <f t="shared" si="12"/>
        <v>2</v>
      </c>
      <c r="I410" s="3">
        <v>26140.36</v>
      </c>
      <c r="K410" s="6">
        <f t="shared" si="13"/>
        <v>13070.18</v>
      </c>
    </row>
    <row r="411" spans="1:11" ht="14.5">
      <c r="A411" s="3">
        <v>0</v>
      </c>
      <c r="C411">
        <f t="shared" si="12"/>
        <v>1</v>
      </c>
      <c r="I411" s="3">
        <v>8688.86</v>
      </c>
      <c r="K411" s="6">
        <f t="shared" si="13"/>
        <v>8688.86</v>
      </c>
    </row>
    <row r="412" spans="1:11" ht="14.5">
      <c r="A412" s="3">
        <v>0</v>
      </c>
      <c r="C412">
        <f t="shared" si="12"/>
        <v>1</v>
      </c>
      <c r="I412" s="3">
        <v>8125.78</v>
      </c>
      <c r="K412" s="6">
        <f t="shared" si="13"/>
        <v>8125.78</v>
      </c>
    </row>
    <row r="413" spans="1:11" ht="14.5">
      <c r="A413" s="3">
        <v>0</v>
      </c>
      <c r="C413">
        <f t="shared" si="12"/>
        <v>1</v>
      </c>
      <c r="I413" s="3">
        <v>39727.61</v>
      </c>
      <c r="K413" s="6">
        <f t="shared" si="13"/>
        <v>39727.61</v>
      </c>
    </row>
    <row r="414" spans="1:11" ht="14.5">
      <c r="A414" s="3">
        <v>1</v>
      </c>
      <c r="C414">
        <f t="shared" si="12"/>
        <v>2</v>
      </c>
      <c r="I414" s="3">
        <v>9288.0300000000007</v>
      </c>
      <c r="K414" s="6">
        <f t="shared" si="13"/>
        <v>4644.0150000000003</v>
      </c>
    </row>
    <row r="415" spans="1:11" ht="14.5">
      <c r="A415" s="3">
        <v>0</v>
      </c>
      <c r="C415">
        <f t="shared" si="12"/>
        <v>1</v>
      </c>
      <c r="I415" s="3">
        <v>8988.16</v>
      </c>
      <c r="K415" s="6">
        <f t="shared" si="13"/>
        <v>8988.16</v>
      </c>
    </row>
    <row r="416" spans="1:11" ht="14.5">
      <c r="A416" s="3">
        <v>2</v>
      </c>
      <c r="C416">
        <f t="shared" si="12"/>
        <v>3</v>
      </c>
      <c r="I416" s="3">
        <v>10370.91</v>
      </c>
      <c r="K416" s="6">
        <f t="shared" si="13"/>
        <v>3456.97</v>
      </c>
    </row>
    <row r="417" spans="1:11" ht="14.5">
      <c r="A417" s="3">
        <v>1</v>
      </c>
      <c r="C417">
        <f t="shared" si="12"/>
        <v>2</v>
      </c>
      <c r="I417" s="3">
        <v>23568.27</v>
      </c>
      <c r="K417" s="6">
        <f t="shared" si="13"/>
        <v>11784.135</v>
      </c>
    </row>
    <row r="418" spans="1:11" ht="14.5">
      <c r="A418" s="3">
        <v>4</v>
      </c>
      <c r="C418">
        <f t="shared" si="12"/>
        <v>5</v>
      </c>
      <c r="I418" s="3">
        <v>11033.66</v>
      </c>
      <c r="K418" s="6">
        <f t="shared" si="13"/>
        <v>2206.732</v>
      </c>
    </row>
    <row r="419" spans="1:11" ht="14.5">
      <c r="A419" s="3">
        <v>0</v>
      </c>
      <c r="C419">
        <f t="shared" si="12"/>
        <v>1</v>
      </c>
      <c r="I419" s="3">
        <v>7789.64</v>
      </c>
      <c r="K419" s="6">
        <f t="shared" si="13"/>
        <v>7789.64</v>
      </c>
    </row>
    <row r="420" spans="1:11" ht="14.5">
      <c r="A420" s="3">
        <v>0</v>
      </c>
      <c r="C420">
        <f t="shared" si="12"/>
        <v>1</v>
      </c>
      <c r="I420" s="3">
        <v>21223.68</v>
      </c>
      <c r="K420" s="6">
        <f t="shared" si="13"/>
        <v>21223.68</v>
      </c>
    </row>
    <row r="421" spans="1:11" ht="14.5">
      <c r="A421" s="3">
        <v>1</v>
      </c>
      <c r="C421">
        <f t="shared" si="12"/>
        <v>2</v>
      </c>
      <c r="I421" s="3">
        <v>8871.15</v>
      </c>
      <c r="K421" s="6">
        <f t="shared" si="13"/>
        <v>4435.5749999999998</v>
      </c>
    </row>
    <row r="422" spans="1:11" ht="14.5">
      <c r="A422" s="3">
        <v>1</v>
      </c>
      <c r="C422">
        <f t="shared" si="12"/>
        <v>2</v>
      </c>
      <c r="I422" s="3">
        <v>9249.5</v>
      </c>
      <c r="K422" s="6">
        <f t="shared" si="13"/>
        <v>4624.75</v>
      </c>
    </row>
    <row r="423" spans="1:11" ht="14.5">
      <c r="A423" s="3">
        <v>2</v>
      </c>
      <c r="C423">
        <f t="shared" si="12"/>
        <v>3</v>
      </c>
      <c r="I423" s="3">
        <v>10043.25</v>
      </c>
      <c r="K423" s="6">
        <f t="shared" si="13"/>
        <v>3347.75</v>
      </c>
    </row>
    <row r="424" spans="1:11" ht="14.5">
      <c r="A424" s="3">
        <v>4</v>
      </c>
      <c r="C424">
        <f t="shared" si="12"/>
        <v>5</v>
      </c>
      <c r="I424" s="3">
        <v>10736.87</v>
      </c>
      <c r="K424" s="6">
        <f t="shared" si="13"/>
        <v>2147.3740000000003</v>
      </c>
    </row>
    <row r="425" spans="1:11" ht="14.5">
      <c r="A425" s="3">
        <v>1</v>
      </c>
      <c r="C425">
        <f t="shared" si="12"/>
        <v>2</v>
      </c>
      <c r="I425" s="3">
        <v>8964.06</v>
      </c>
      <c r="K425" s="6">
        <f t="shared" si="13"/>
        <v>4482.03</v>
      </c>
    </row>
    <row r="426" spans="1:11" ht="14.5">
      <c r="A426" s="3">
        <v>2</v>
      </c>
      <c r="C426">
        <f t="shared" si="12"/>
        <v>3</v>
      </c>
      <c r="I426" s="3">
        <v>8968.33</v>
      </c>
      <c r="K426" s="6">
        <f t="shared" si="13"/>
        <v>2989.4433333333332</v>
      </c>
    </row>
    <row r="427" spans="1:11" ht="14.5">
      <c r="A427" s="3">
        <v>3</v>
      </c>
      <c r="C427">
        <f t="shared" si="12"/>
        <v>4</v>
      </c>
      <c r="I427" s="3">
        <v>9563.0300000000007</v>
      </c>
      <c r="K427" s="6">
        <f t="shared" si="13"/>
        <v>2390.7575000000002</v>
      </c>
    </row>
    <row r="428" spans="1:11" ht="14.5">
      <c r="A428" s="3">
        <v>2</v>
      </c>
      <c r="C428">
        <f t="shared" si="12"/>
        <v>3</v>
      </c>
      <c r="I428" s="3">
        <v>45702.02</v>
      </c>
      <c r="K428" s="6">
        <f t="shared" si="13"/>
        <v>15234.006666666666</v>
      </c>
    </row>
    <row r="429" spans="1:11" ht="14.5">
      <c r="A429" s="3">
        <v>3</v>
      </c>
      <c r="C429">
        <f t="shared" si="12"/>
        <v>4</v>
      </c>
      <c r="I429" s="3">
        <v>10141.14</v>
      </c>
      <c r="K429" s="6">
        <f t="shared" si="13"/>
        <v>2535.2849999999999</v>
      </c>
    </row>
    <row r="430" spans="1:11" ht="14.5">
      <c r="A430" s="3">
        <v>0</v>
      </c>
      <c r="C430">
        <f t="shared" si="12"/>
        <v>1</v>
      </c>
      <c r="I430" s="3">
        <v>8280.6200000000008</v>
      </c>
      <c r="K430" s="6">
        <f t="shared" si="13"/>
        <v>8280.6200000000008</v>
      </c>
    </row>
    <row r="431" spans="1:11" ht="14.5">
      <c r="A431" s="3">
        <v>1</v>
      </c>
      <c r="C431">
        <f t="shared" si="12"/>
        <v>2</v>
      </c>
      <c r="I431" s="3">
        <v>26392.26</v>
      </c>
      <c r="K431" s="6">
        <f t="shared" si="13"/>
        <v>13196.13</v>
      </c>
    </row>
    <row r="432" spans="1:11" ht="14.5">
      <c r="A432" s="3">
        <v>1</v>
      </c>
      <c r="C432">
        <f t="shared" si="12"/>
        <v>2</v>
      </c>
      <c r="I432" s="3">
        <v>9447.25</v>
      </c>
      <c r="K432" s="6">
        <f t="shared" si="13"/>
        <v>4723.625</v>
      </c>
    </row>
    <row r="433" spans="1:11" ht="14.5">
      <c r="A433" s="3">
        <v>0</v>
      </c>
      <c r="C433">
        <f t="shared" si="12"/>
        <v>1</v>
      </c>
      <c r="I433" s="3">
        <v>40974.160000000003</v>
      </c>
      <c r="K433" s="6">
        <f t="shared" si="13"/>
        <v>40974.160000000003</v>
      </c>
    </row>
    <row r="434" spans="1:11" ht="14.5">
      <c r="A434" s="3">
        <v>1</v>
      </c>
      <c r="C434">
        <f t="shared" si="12"/>
        <v>2</v>
      </c>
      <c r="I434" s="3">
        <v>28468.92</v>
      </c>
      <c r="K434" s="6">
        <f t="shared" si="13"/>
        <v>14234.46</v>
      </c>
    </row>
    <row r="435" spans="1:11" ht="14.5">
      <c r="A435" s="3">
        <v>0</v>
      </c>
      <c r="C435">
        <f t="shared" si="12"/>
        <v>1</v>
      </c>
      <c r="I435" s="3">
        <v>7804.16</v>
      </c>
      <c r="K435" s="6">
        <f t="shared" si="13"/>
        <v>7804.16</v>
      </c>
    </row>
    <row r="436" spans="1:11" ht="14.5">
      <c r="A436" s="3">
        <v>0</v>
      </c>
      <c r="C436">
        <f t="shared" si="12"/>
        <v>1</v>
      </c>
      <c r="I436" s="3">
        <v>21232.18</v>
      </c>
      <c r="K436" s="6">
        <f t="shared" si="13"/>
        <v>21232.18</v>
      </c>
    </row>
    <row r="437" spans="1:11" ht="14.5">
      <c r="A437" s="3">
        <v>0</v>
      </c>
      <c r="C437">
        <f t="shared" si="12"/>
        <v>1</v>
      </c>
      <c r="I437" s="3">
        <v>8269.0400000000009</v>
      </c>
      <c r="K437" s="6">
        <f t="shared" si="13"/>
        <v>8269.0400000000009</v>
      </c>
    </row>
    <row r="438" spans="1:11" ht="14.5">
      <c r="A438" s="3">
        <v>1</v>
      </c>
      <c r="C438">
        <f t="shared" si="12"/>
        <v>2</v>
      </c>
      <c r="I438" s="3">
        <v>8765.25</v>
      </c>
      <c r="K438" s="6">
        <f t="shared" si="13"/>
        <v>4382.625</v>
      </c>
    </row>
    <row r="439" spans="1:11" ht="14.5">
      <c r="A439" s="3">
        <v>0</v>
      </c>
      <c r="C439">
        <f t="shared" si="12"/>
        <v>1</v>
      </c>
      <c r="I439" s="3">
        <v>8277.52</v>
      </c>
      <c r="K439" s="6">
        <f t="shared" si="13"/>
        <v>8277.52</v>
      </c>
    </row>
    <row r="440" spans="1:11" ht="14.5">
      <c r="A440" s="3">
        <v>2</v>
      </c>
      <c r="C440">
        <f t="shared" si="12"/>
        <v>3</v>
      </c>
      <c r="I440" s="3">
        <v>8978.19</v>
      </c>
      <c r="K440" s="6">
        <f t="shared" si="13"/>
        <v>2992.73</v>
      </c>
    </row>
    <row r="441" spans="1:11" ht="14.5">
      <c r="A441" s="3">
        <v>3</v>
      </c>
      <c r="C441">
        <f t="shared" si="12"/>
        <v>4</v>
      </c>
      <c r="I441" s="3">
        <v>24180.93</v>
      </c>
      <c r="K441" s="6">
        <f t="shared" si="13"/>
        <v>6045.2325000000001</v>
      </c>
    </row>
    <row r="442" spans="1:11" ht="14.5">
      <c r="A442" s="3">
        <v>4</v>
      </c>
      <c r="C442">
        <f t="shared" si="12"/>
        <v>5</v>
      </c>
      <c r="I442" s="3">
        <v>11015.17</v>
      </c>
      <c r="K442" s="6">
        <f t="shared" si="13"/>
        <v>2203.0340000000001</v>
      </c>
    </row>
    <row r="443" spans="1:11" ht="14.5">
      <c r="A443" s="3">
        <v>1</v>
      </c>
      <c r="C443">
        <f t="shared" si="12"/>
        <v>2</v>
      </c>
      <c r="I443" s="3">
        <v>9447.3799999999992</v>
      </c>
      <c r="K443" s="6">
        <f t="shared" si="13"/>
        <v>4723.6899999999996</v>
      </c>
    </row>
    <row r="444" spans="1:11" ht="14.5">
      <c r="A444" s="3">
        <v>0</v>
      </c>
      <c r="C444">
        <f t="shared" si="12"/>
        <v>1</v>
      </c>
      <c r="I444" s="3">
        <v>8671.19</v>
      </c>
      <c r="K444" s="6">
        <f t="shared" si="13"/>
        <v>8671.19</v>
      </c>
    </row>
    <row r="445" spans="1:11" ht="14.5">
      <c r="A445" s="3">
        <v>0</v>
      </c>
      <c r="C445">
        <f t="shared" si="12"/>
        <v>1</v>
      </c>
      <c r="I445" s="3">
        <v>8283.68</v>
      </c>
      <c r="K445" s="6">
        <f t="shared" si="13"/>
        <v>8283.68</v>
      </c>
    </row>
    <row r="446" spans="1:11" ht="14.5">
      <c r="A446" s="3">
        <v>3</v>
      </c>
      <c r="C446">
        <f t="shared" si="12"/>
        <v>4</v>
      </c>
      <c r="I446" s="3">
        <v>10115.01</v>
      </c>
      <c r="K446" s="6">
        <f t="shared" si="13"/>
        <v>2528.7525000000001</v>
      </c>
    </row>
    <row r="447" spans="1:11" ht="14.5">
      <c r="A447" s="3">
        <v>4</v>
      </c>
      <c r="C447">
        <f t="shared" si="12"/>
        <v>5</v>
      </c>
      <c r="I447" s="3">
        <v>10407.09</v>
      </c>
      <c r="K447" s="6">
        <f t="shared" si="13"/>
        <v>2081.4180000000001</v>
      </c>
    </row>
    <row r="448" spans="1:11" ht="14.5">
      <c r="A448" s="3">
        <v>2</v>
      </c>
      <c r="C448">
        <f t="shared" si="12"/>
        <v>3</v>
      </c>
      <c r="I448" s="3">
        <v>9225.26</v>
      </c>
      <c r="K448" s="6">
        <f t="shared" si="13"/>
        <v>3075.0866666666666</v>
      </c>
    </row>
    <row r="449" spans="1:11" ht="14.5">
      <c r="A449" s="3">
        <v>2</v>
      </c>
      <c r="C449">
        <f t="shared" si="12"/>
        <v>3</v>
      </c>
      <c r="I449" s="3">
        <v>9715.84</v>
      </c>
      <c r="K449" s="6">
        <f t="shared" si="13"/>
        <v>3238.6133333333332</v>
      </c>
    </row>
    <row r="450" spans="1:11" ht="14.5">
      <c r="A450" s="3">
        <v>1</v>
      </c>
      <c r="C450">
        <f t="shared" si="12"/>
        <v>2</v>
      </c>
      <c r="I450" s="3">
        <v>21978.68</v>
      </c>
      <c r="K450" s="6">
        <f t="shared" si="13"/>
        <v>10989.34</v>
      </c>
    </row>
    <row r="451" spans="1:11" ht="14.5">
      <c r="A451" s="3">
        <v>3</v>
      </c>
      <c r="C451">
        <f t="shared" si="12"/>
        <v>4</v>
      </c>
      <c r="I451" s="3">
        <v>9620.33</v>
      </c>
      <c r="K451" s="6">
        <f t="shared" si="13"/>
        <v>2405.0825</v>
      </c>
    </row>
    <row r="452" spans="1:11" ht="14.5">
      <c r="A452" s="3">
        <v>1</v>
      </c>
      <c r="C452">
        <f t="shared" si="12"/>
        <v>2</v>
      </c>
      <c r="I452" s="3">
        <v>8083.92</v>
      </c>
      <c r="K452" s="6">
        <f t="shared" si="13"/>
        <v>4041.96</v>
      </c>
    </row>
    <row r="453" spans="1:11" ht="14.5">
      <c r="A453" s="3">
        <v>1</v>
      </c>
      <c r="C453">
        <f t="shared" ref="C453:C516" si="14">1+A453</f>
        <v>2</v>
      </c>
      <c r="I453" s="3">
        <v>8539.67</v>
      </c>
      <c r="K453" s="6">
        <f t="shared" ref="K453:K516" si="15">I453/C453</f>
        <v>4269.835</v>
      </c>
    </row>
    <row r="454" spans="1:11" ht="14.5">
      <c r="A454" s="3">
        <v>0</v>
      </c>
      <c r="C454">
        <f t="shared" si="14"/>
        <v>1</v>
      </c>
      <c r="I454" s="3">
        <v>20878.78</v>
      </c>
      <c r="K454" s="6">
        <f t="shared" si="15"/>
        <v>20878.78</v>
      </c>
    </row>
    <row r="455" spans="1:11" ht="14.5">
      <c r="A455" s="3">
        <v>1</v>
      </c>
      <c r="C455">
        <f t="shared" si="14"/>
        <v>2</v>
      </c>
      <c r="I455" s="3">
        <v>8428.07</v>
      </c>
      <c r="K455" s="6">
        <f t="shared" si="15"/>
        <v>4214.0349999999999</v>
      </c>
    </row>
    <row r="456" spans="1:11" ht="14.5">
      <c r="A456" s="3">
        <v>1</v>
      </c>
      <c r="C456">
        <f t="shared" si="14"/>
        <v>2</v>
      </c>
      <c r="I456" s="3">
        <v>8547.69</v>
      </c>
      <c r="K456" s="6">
        <f t="shared" si="15"/>
        <v>4273.8450000000003</v>
      </c>
    </row>
    <row r="457" spans="1:11" ht="14.5">
      <c r="A457" s="3">
        <v>1</v>
      </c>
      <c r="C457">
        <f t="shared" si="14"/>
        <v>2</v>
      </c>
      <c r="I457" s="3">
        <v>42969.85</v>
      </c>
      <c r="K457" s="6">
        <f t="shared" si="15"/>
        <v>21484.924999999999</v>
      </c>
    </row>
    <row r="458" spans="1:11" ht="14.5">
      <c r="A458" s="3">
        <v>1</v>
      </c>
      <c r="C458">
        <f t="shared" si="14"/>
        <v>2</v>
      </c>
      <c r="I458" s="3">
        <v>26236.58</v>
      </c>
      <c r="K458" s="6">
        <f t="shared" si="15"/>
        <v>13118.29</v>
      </c>
    </row>
    <row r="459" spans="1:11" ht="14.5">
      <c r="A459" s="3">
        <v>1</v>
      </c>
      <c r="C459">
        <f t="shared" si="14"/>
        <v>2</v>
      </c>
      <c r="I459" s="3">
        <v>8068.19</v>
      </c>
      <c r="K459" s="6">
        <f t="shared" si="15"/>
        <v>4034.0949999999998</v>
      </c>
    </row>
    <row r="460" spans="1:11" ht="14.5">
      <c r="A460" s="3">
        <v>1</v>
      </c>
      <c r="C460">
        <f t="shared" si="14"/>
        <v>2</v>
      </c>
      <c r="I460" s="3">
        <v>8930.93</v>
      </c>
      <c r="K460" s="6">
        <f t="shared" si="15"/>
        <v>4465.4650000000001</v>
      </c>
    </row>
    <row r="461" spans="1:11" ht="14.5">
      <c r="A461" s="3">
        <v>1</v>
      </c>
      <c r="C461">
        <f t="shared" si="14"/>
        <v>2</v>
      </c>
      <c r="I461" s="3">
        <v>8556.91</v>
      </c>
      <c r="K461" s="6">
        <f t="shared" si="15"/>
        <v>4278.4549999999999</v>
      </c>
    </row>
    <row r="462" spans="1:11" ht="14.5">
      <c r="A462" s="3">
        <v>0</v>
      </c>
      <c r="C462">
        <f t="shared" si="14"/>
        <v>1</v>
      </c>
      <c r="I462" s="3">
        <v>23065.42</v>
      </c>
      <c r="K462" s="6">
        <f t="shared" si="15"/>
        <v>23065.42</v>
      </c>
    </row>
    <row r="463" spans="1:11" ht="14.5">
      <c r="A463" s="3">
        <v>1</v>
      </c>
      <c r="C463">
        <f t="shared" si="14"/>
        <v>2</v>
      </c>
      <c r="I463" s="3">
        <v>8062.76</v>
      </c>
      <c r="K463" s="6">
        <f t="shared" si="15"/>
        <v>4031.38</v>
      </c>
    </row>
    <row r="464" spans="1:11" ht="14.5">
      <c r="A464" s="3">
        <v>1</v>
      </c>
      <c r="C464">
        <f t="shared" si="14"/>
        <v>2</v>
      </c>
      <c r="I464" s="3">
        <v>23401.31</v>
      </c>
      <c r="K464" s="6">
        <f t="shared" si="15"/>
        <v>11700.655000000001</v>
      </c>
    </row>
    <row r="465" spans="1:11" ht="14.5">
      <c r="A465" s="3">
        <v>2</v>
      </c>
      <c r="C465">
        <f t="shared" si="14"/>
        <v>3</v>
      </c>
      <c r="I465" s="3">
        <v>44202.65</v>
      </c>
      <c r="K465" s="6">
        <f t="shared" si="15"/>
        <v>14734.216666666667</v>
      </c>
    </row>
    <row r="466" spans="1:11" ht="14.5">
      <c r="A466" s="3">
        <v>1</v>
      </c>
      <c r="C466">
        <f t="shared" si="14"/>
        <v>2</v>
      </c>
      <c r="I466" s="3">
        <v>8627.5400000000009</v>
      </c>
      <c r="K466" s="6">
        <f t="shared" si="15"/>
        <v>4313.7700000000004</v>
      </c>
    </row>
    <row r="467" spans="1:11" ht="14.5">
      <c r="A467" s="3">
        <v>3</v>
      </c>
      <c r="C467">
        <f t="shared" si="14"/>
        <v>4</v>
      </c>
      <c r="I467" s="3">
        <v>24915.22</v>
      </c>
      <c r="K467" s="6">
        <f t="shared" si="15"/>
        <v>6228.8050000000003</v>
      </c>
    </row>
    <row r="468" spans="1:11" ht="14.5">
      <c r="A468" s="3">
        <v>1</v>
      </c>
      <c r="C468">
        <f t="shared" si="14"/>
        <v>2</v>
      </c>
      <c r="I468" s="3">
        <v>42211.14</v>
      </c>
      <c r="K468" s="6">
        <f t="shared" si="15"/>
        <v>21105.57</v>
      </c>
    </row>
    <row r="469" spans="1:11" ht="14.5">
      <c r="A469" s="3">
        <v>1</v>
      </c>
      <c r="C469">
        <f t="shared" si="14"/>
        <v>2</v>
      </c>
      <c r="I469" s="3">
        <v>8569.86</v>
      </c>
      <c r="K469" s="6">
        <f t="shared" si="15"/>
        <v>4284.93</v>
      </c>
    </row>
    <row r="470" spans="1:11" ht="14.5">
      <c r="A470" s="3">
        <v>3</v>
      </c>
      <c r="C470">
        <f t="shared" si="14"/>
        <v>4</v>
      </c>
      <c r="I470" s="3">
        <v>25309.49</v>
      </c>
      <c r="K470" s="6">
        <f t="shared" si="15"/>
        <v>6327.3725000000004</v>
      </c>
    </row>
    <row r="471" spans="1:11" ht="14.5">
      <c r="A471" s="3">
        <v>1</v>
      </c>
      <c r="C471">
        <f t="shared" si="14"/>
        <v>2</v>
      </c>
      <c r="I471" s="3">
        <v>8551.35</v>
      </c>
      <c r="K471" s="6">
        <f t="shared" si="15"/>
        <v>4275.6750000000002</v>
      </c>
    </row>
    <row r="472" spans="1:11" ht="14.5">
      <c r="A472" s="3">
        <v>0</v>
      </c>
      <c r="C472">
        <f t="shared" si="14"/>
        <v>1</v>
      </c>
      <c r="I472" s="3">
        <v>41676.080000000002</v>
      </c>
      <c r="K472" s="6">
        <f t="shared" si="15"/>
        <v>41676.080000000002</v>
      </c>
    </row>
    <row r="473" spans="1:11" ht="14.5">
      <c r="A473" s="3">
        <v>2</v>
      </c>
      <c r="C473">
        <f t="shared" si="14"/>
        <v>3</v>
      </c>
      <c r="I473" s="3">
        <v>24535.7</v>
      </c>
      <c r="K473" s="6">
        <f t="shared" si="15"/>
        <v>8178.5666666666666</v>
      </c>
    </row>
    <row r="474" spans="1:11" ht="14.5">
      <c r="A474" s="3">
        <v>0</v>
      </c>
      <c r="C474">
        <f t="shared" si="14"/>
        <v>1</v>
      </c>
      <c r="I474" s="3">
        <v>8534.67</v>
      </c>
      <c r="K474" s="6">
        <f t="shared" si="15"/>
        <v>8534.67</v>
      </c>
    </row>
    <row r="475" spans="1:11" ht="14.5">
      <c r="A475" s="3">
        <v>1</v>
      </c>
      <c r="C475">
        <f t="shared" si="14"/>
        <v>2</v>
      </c>
      <c r="I475" s="3">
        <v>8240.59</v>
      </c>
      <c r="K475" s="6">
        <f t="shared" si="15"/>
        <v>4120.2950000000001</v>
      </c>
    </row>
    <row r="476" spans="1:11" ht="14.5">
      <c r="A476" s="3">
        <v>0</v>
      </c>
      <c r="C476">
        <f t="shared" si="14"/>
        <v>1</v>
      </c>
      <c r="I476" s="3">
        <v>8026.67</v>
      </c>
      <c r="K476" s="6">
        <f t="shared" si="15"/>
        <v>8026.67</v>
      </c>
    </row>
    <row r="477" spans="1:11" ht="14.5">
      <c r="A477" s="3">
        <v>3</v>
      </c>
      <c r="C477">
        <f t="shared" si="14"/>
        <v>4</v>
      </c>
      <c r="I477" s="3">
        <v>40720.550000000003</v>
      </c>
      <c r="K477" s="6">
        <f t="shared" si="15"/>
        <v>10180.137500000001</v>
      </c>
    </row>
    <row r="478" spans="1:11" ht="14.5">
      <c r="A478" s="3">
        <v>2</v>
      </c>
      <c r="C478">
        <f t="shared" si="14"/>
        <v>3</v>
      </c>
      <c r="I478" s="3">
        <v>8823.2800000000007</v>
      </c>
      <c r="K478" s="6">
        <f t="shared" si="15"/>
        <v>2941.0933333333337</v>
      </c>
    </row>
    <row r="479" spans="1:11" ht="14.5">
      <c r="A479" s="3">
        <v>0</v>
      </c>
      <c r="C479">
        <f t="shared" si="14"/>
        <v>1</v>
      </c>
      <c r="I479" s="3">
        <v>7147.11</v>
      </c>
      <c r="K479" s="6">
        <f t="shared" si="15"/>
        <v>7147.11</v>
      </c>
    </row>
    <row r="480" spans="1:11" ht="14.5">
      <c r="A480" s="3">
        <v>3</v>
      </c>
      <c r="C480">
        <f t="shared" si="14"/>
        <v>4</v>
      </c>
      <c r="I480" s="3">
        <v>46151.12</v>
      </c>
      <c r="K480" s="6">
        <f t="shared" si="15"/>
        <v>11537.78</v>
      </c>
    </row>
    <row r="481" spans="1:11" ht="14.5">
      <c r="A481" s="3">
        <v>1</v>
      </c>
      <c r="C481">
        <f t="shared" si="14"/>
        <v>2</v>
      </c>
      <c r="I481" s="3">
        <v>7742.11</v>
      </c>
      <c r="K481" s="6">
        <f t="shared" si="15"/>
        <v>3871.0549999999998</v>
      </c>
    </row>
    <row r="482" spans="1:11" ht="14.5">
      <c r="A482" s="3">
        <v>2</v>
      </c>
      <c r="C482">
        <f t="shared" si="14"/>
        <v>3</v>
      </c>
      <c r="I482" s="3">
        <v>9432.93</v>
      </c>
      <c r="K482" s="6">
        <f t="shared" si="15"/>
        <v>3144.31</v>
      </c>
    </row>
    <row r="483" spans="1:11" ht="14.5">
      <c r="A483" s="3">
        <v>1</v>
      </c>
      <c r="C483">
        <f t="shared" si="14"/>
        <v>2</v>
      </c>
      <c r="I483" s="3">
        <v>8232.64</v>
      </c>
      <c r="K483" s="6">
        <f t="shared" si="15"/>
        <v>4116.32</v>
      </c>
    </row>
    <row r="484" spans="1:11" ht="14.5">
      <c r="A484" s="3">
        <v>1</v>
      </c>
      <c r="C484">
        <f t="shared" si="14"/>
        <v>2</v>
      </c>
      <c r="I484" s="3">
        <v>8334.4599999999991</v>
      </c>
      <c r="K484" s="6">
        <f t="shared" si="15"/>
        <v>4167.2299999999996</v>
      </c>
    </row>
    <row r="485" spans="1:11" ht="14.5">
      <c r="A485" s="3">
        <v>0</v>
      </c>
      <c r="C485">
        <f t="shared" si="14"/>
        <v>1</v>
      </c>
      <c r="I485" s="3">
        <v>24603.05</v>
      </c>
      <c r="K485" s="6">
        <f t="shared" si="15"/>
        <v>24603.05</v>
      </c>
    </row>
    <row r="486" spans="1:11" ht="14.5">
      <c r="A486" s="3">
        <v>3</v>
      </c>
      <c r="C486">
        <f t="shared" si="14"/>
        <v>4</v>
      </c>
      <c r="I486" s="3">
        <v>8944.1200000000008</v>
      </c>
      <c r="K486" s="6">
        <f t="shared" si="15"/>
        <v>2236.0300000000002</v>
      </c>
    </row>
    <row r="487" spans="1:11" ht="14.5">
      <c r="A487" s="3">
        <v>2</v>
      </c>
      <c r="C487">
        <f t="shared" si="14"/>
        <v>3</v>
      </c>
      <c r="I487" s="3">
        <v>9411.01</v>
      </c>
      <c r="K487" s="6">
        <f t="shared" si="15"/>
        <v>3137.0033333333336</v>
      </c>
    </row>
    <row r="488" spans="1:11" ht="14.5">
      <c r="A488" s="3">
        <v>0</v>
      </c>
      <c r="C488">
        <f t="shared" si="14"/>
        <v>1</v>
      </c>
      <c r="I488" s="3">
        <v>7526.71</v>
      </c>
      <c r="K488" s="6">
        <f t="shared" si="15"/>
        <v>7526.71</v>
      </c>
    </row>
    <row r="489" spans="1:11" ht="14.5">
      <c r="A489" s="3">
        <v>1</v>
      </c>
      <c r="C489">
        <f t="shared" si="14"/>
        <v>2</v>
      </c>
      <c r="I489" s="3">
        <v>8342.91</v>
      </c>
      <c r="K489" s="6">
        <f t="shared" si="15"/>
        <v>4171.4549999999999</v>
      </c>
    </row>
    <row r="490" spans="1:11" ht="14.5">
      <c r="A490" s="3">
        <v>2</v>
      </c>
      <c r="C490">
        <f t="shared" si="14"/>
        <v>3</v>
      </c>
      <c r="I490" s="3">
        <v>8825.09</v>
      </c>
      <c r="K490" s="6">
        <f t="shared" si="15"/>
        <v>2941.6966666666667</v>
      </c>
    </row>
    <row r="491" spans="1:11" ht="14.5">
      <c r="A491" s="3">
        <v>1</v>
      </c>
      <c r="C491">
        <f t="shared" si="14"/>
        <v>2</v>
      </c>
      <c r="I491" s="3">
        <v>8233.1</v>
      </c>
      <c r="K491" s="6">
        <f t="shared" si="15"/>
        <v>4116.55</v>
      </c>
    </row>
    <row r="492" spans="1:11" ht="14.5">
      <c r="A492" s="3">
        <v>1</v>
      </c>
      <c r="C492">
        <f t="shared" si="14"/>
        <v>2</v>
      </c>
      <c r="I492" s="3">
        <v>8334.59</v>
      </c>
      <c r="K492" s="6">
        <f t="shared" si="15"/>
        <v>4167.2950000000001</v>
      </c>
    </row>
    <row r="493" spans="1:11" ht="14.5">
      <c r="A493" s="3">
        <v>2</v>
      </c>
      <c r="C493">
        <f t="shared" si="14"/>
        <v>3</v>
      </c>
      <c r="I493" s="3">
        <v>9193.84</v>
      </c>
      <c r="K493" s="6">
        <f t="shared" si="15"/>
        <v>3064.6133333333332</v>
      </c>
    </row>
    <row r="494" spans="1:11" ht="14.5">
      <c r="A494" s="3">
        <v>1</v>
      </c>
      <c r="C494">
        <f t="shared" si="14"/>
        <v>2</v>
      </c>
      <c r="I494" s="3">
        <v>8823.99</v>
      </c>
      <c r="K494" s="6">
        <f t="shared" si="15"/>
        <v>4411.9949999999999</v>
      </c>
    </row>
    <row r="495" spans="1:11" ht="14.5">
      <c r="A495" s="3">
        <v>3</v>
      </c>
      <c r="C495">
        <f t="shared" si="14"/>
        <v>4</v>
      </c>
      <c r="I495" s="3">
        <v>9414.92</v>
      </c>
      <c r="K495" s="6">
        <f t="shared" si="15"/>
        <v>2353.73</v>
      </c>
    </row>
    <row r="496" spans="1:11" ht="14.5">
      <c r="A496" s="3">
        <v>0</v>
      </c>
      <c r="C496">
        <f t="shared" si="14"/>
        <v>1</v>
      </c>
      <c r="I496" s="3">
        <v>42111.66</v>
      </c>
      <c r="K496" s="6">
        <f t="shared" si="15"/>
        <v>42111.66</v>
      </c>
    </row>
    <row r="497" spans="1:11" ht="14.5">
      <c r="A497" s="3">
        <v>5</v>
      </c>
      <c r="C497">
        <f t="shared" si="14"/>
        <v>6</v>
      </c>
      <c r="I497" s="3">
        <v>10096.969999999999</v>
      </c>
      <c r="K497" s="6">
        <f t="shared" si="15"/>
        <v>1682.8283333333331</v>
      </c>
    </row>
    <row r="498" spans="1:11" ht="14.5">
      <c r="A498" s="3">
        <v>3</v>
      </c>
      <c r="C498">
        <f t="shared" si="14"/>
        <v>4</v>
      </c>
      <c r="I498" s="3">
        <v>9500.57</v>
      </c>
      <c r="K498" s="6">
        <f t="shared" si="15"/>
        <v>2375.1424999999999</v>
      </c>
    </row>
    <row r="499" spans="1:11" ht="14.5">
      <c r="A499" s="3">
        <v>1</v>
      </c>
      <c r="C499">
        <f t="shared" si="14"/>
        <v>2</v>
      </c>
      <c r="I499" s="3">
        <v>21677.279999999999</v>
      </c>
      <c r="K499" s="6">
        <f t="shared" si="15"/>
        <v>10838.64</v>
      </c>
    </row>
    <row r="500" spans="1:11" ht="14.5">
      <c r="A500" s="3">
        <v>2</v>
      </c>
      <c r="C500">
        <f t="shared" si="14"/>
        <v>3</v>
      </c>
      <c r="I500" s="3">
        <v>8347.16</v>
      </c>
      <c r="K500" s="6">
        <f t="shared" si="15"/>
        <v>2782.3866666666668</v>
      </c>
    </row>
    <row r="501" spans="1:11" ht="14.5">
      <c r="A501" s="3">
        <v>2</v>
      </c>
      <c r="C501">
        <f t="shared" si="14"/>
        <v>3</v>
      </c>
      <c r="I501" s="3">
        <v>8733.23</v>
      </c>
      <c r="K501" s="6">
        <f t="shared" si="15"/>
        <v>2911.0766666666664</v>
      </c>
    </row>
    <row r="502" spans="1:11" ht="14.5">
      <c r="A502" s="3">
        <v>1</v>
      </c>
      <c r="C502">
        <f t="shared" si="14"/>
        <v>2</v>
      </c>
      <c r="I502" s="3">
        <v>41661.599999999999</v>
      </c>
      <c r="K502" s="6">
        <f t="shared" si="15"/>
        <v>20830.8</v>
      </c>
    </row>
    <row r="503" spans="1:11" ht="14.5">
      <c r="A503" s="3">
        <v>3</v>
      </c>
      <c r="C503">
        <f t="shared" si="14"/>
        <v>4</v>
      </c>
      <c r="I503" s="3">
        <v>9301.89</v>
      </c>
      <c r="K503" s="6">
        <f t="shared" si="15"/>
        <v>2325.4724999999999</v>
      </c>
    </row>
    <row r="504" spans="1:11" ht="14.5">
      <c r="A504" s="3">
        <v>0</v>
      </c>
      <c r="C504">
        <f t="shared" si="14"/>
        <v>1</v>
      </c>
      <c r="I504" s="3">
        <v>7935.29</v>
      </c>
      <c r="K504" s="6">
        <f t="shared" si="15"/>
        <v>7935.29</v>
      </c>
    </row>
    <row r="505" spans="1:11" ht="14.5">
      <c r="A505" s="3">
        <v>2</v>
      </c>
      <c r="C505">
        <f t="shared" si="14"/>
        <v>3</v>
      </c>
      <c r="I505" s="3">
        <v>21098.55</v>
      </c>
      <c r="K505" s="6">
        <f t="shared" si="15"/>
        <v>7032.8499999999995</v>
      </c>
    </row>
    <row r="506" spans="1:11" ht="14.5">
      <c r="A506" s="3">
        <v>2</v>
      </c>
      <c r="C506">
        <f t="shared" si="14"/>
        <v>3</v>
      </c>
      <c r="I506" s="3">
        <v>8516.83</v>
      </c>
      <c r="K506" s="6">
        <f t="shared" si="15"/>
        <v>2838.9433333333332</v>
      </c>
    </row>
    <row r="507" spans="1:11" ht="14.5">
      <c r="A507" s="3">
        <v>2</v>
      </c>
      <c r="C507">
        <f t="shared" si="14"/>
        <v>3</v>
      </c>
      <c r="I507" s="3">
        <v>8520.0300000000007</v>
      </c>
      <c r="K507" s="6">
        <f t="shared" si="15"/>
        <v>2840.01</v>
      </c>
    </row>
    <row r="508" spans="1:11" ht="14.5">
      <c r="A508" s="3">
        <v>1</v>
      </c>
      <c r="C508">
        <f t="shared" si="14"/>
        <v>2</v>
      </c>
      <c r="I508" s="3">
        <v>7441.05</v>
      </c>
      <c r="K508" s="6">
        <f t="shared" si="15"/>
        <v>3720.5250000000001</v>
      </c>
    </row>
    <row r="509" spans="1:11" ht="14.5">
      <c r="A509" s="3">
        <v>2</v>
      </c>
      <c r="C509">
        <f t="shared" si="14"/>
        <v>3</v>
      </c>
      <c r="I509" s="3">
        <v>42760.5</v>
      </c>
      <c r="K509" s="6">
        <f t="shared" si="15"/>
        <v>14253.5</v>
      </c>
    </row>
    <row r="510" spans="1:11" ht="14.5">
      <c r="A510" s="3">
        <v>5</v>
      </c>
      <c r="C510">
        <f t="shared" si="14"/>
        <v>6</v>
      </c>
      <c r="I510" s="3">
        <v>9788.8700000000008</v>
      </c>
      <c r="K510" s="6">
        <f t="shared" si="15"/>
        <v>1631.4783333333335</v>
      </c>
    </row>
    <row r="511" spans="1:11" ht="14.5">
      <c r="A511" s="3">
        <v>0</v>
      </c>
      <c r="C511">
        <f t="shared" si="14"/>
        <v>1</v>
      </c>
      <c r="I511" s="3">
        <v>7345.08</v>
      </c>
      <c r="K511" s="6">
        <f t="shared" si="15"/>
        <v>7345.08</v>
      </c>
    </row>
    <row r="512" spans="1:11" ht="14.5">
      <c r="A512" s="3">
        <v>2</v>
      </c>
      <c r="C512">
        <f t="shared" si="14"/>
        <v>3</v>
      </c>
      <c r="I512" s="3">
        <v>8027.97</v>
      </c>
      <c r="K512" s="6">
        <f t="shared" si="15"/>
        <v>2675.9900000000002</v>
      </c>
    </row>
    <row r="513" spans="1:11" ht="14.5">
      <c r="A513" s="3">
        <v>2</v>
      </c>
      <c r="C513">
        <f t="shared" si="14"/>
        <v>3</v>
      </c>
      <c r="I513" s="3">
        <v>8413.4599999999991</v>
      </c>
      <c r="K513" s="6">
        <f t="shared" si="15"/>
        <v>2804.4866666666662</v>
      </c>
    </row>
    <row r="514" spans="1:11" ht="14.5">
      <c r="A514" s="3">
        <v>2</v>
      </c>
      <c r="C514">
        <f t="shared" si="14"/>
        <v>3</v>
      </c>
      <c r="I514" s="3">
        <v>8527.5300000000007</v>
      </c>
      <c r="K514" s="6">
        <f t="shared" si="15"/>
        <v>2842.51</v>
      </c>
    </row>
    <row r="515" spans="1:11" ht="14.5">
      <c r="A515" s="3">
        <v>0</v>
      </c>
      <c r="C515">
        <f t="shared" si="14"/>
        <v>1</v>
      </c>
      <c r="I515" s="3">
        <v>7222.79</v>
      </c>
      <c r="K515" s="6">
        <f t="shared" si="15"/>
        <v>7222.79</v>
      </c>
    </row>
    <row r="516" spans="1:11" ht="14.5">
      <c r="A516" s="3">
        <v>2</v>
      </c>
      <c r="C516">
        <f t="shared" si="14"/>
        <v>3</v>
      </c>
      <c r="I516" s="3">
        <v>8604.48</v>
      </c>
      <c r="K516" s="6">
        <f t="shared" si="15"/>
        <v>2868.16</v>
      </c>
    </row>
    <row r="517" spans="1:11" ht="14.5">
      <c r="A517" s="3">
        <v>2</v>
      </c>
      <c r="C517">
        <f t="shared" ref="C517:C580" si="16">1+A517</f>
        <v>3</v>
      </c>
      <c r="I517" s="3">
        <v>9095.07</v>
      </c>
      <c r="K517" s="6">
        <f t="shared" ref="K517:K580" si="17">I517/C517</f>
        <v>3031.69</v>
      </c>
    </row>
    <row r="518" spans="1:11" ht="14.5">
      <c r="A518" s="3">
        <v>0</v>
      </c>
      <c r="C518">
        <f t="shared" si="16"/>
        <v>1</v>
      </c>
      <c r="I518" s="3">
        <v>7448.4</v>
      </c>
      <c r="K518" s="6">
        <f t="shared" si="17"/>
        <v>7448.4</v>
      </c>
    </row>
    <row r="519" spans="1:11" ht="14.5">
      <c r="A519" s="3">
        <v>0</v>
      </c>
      <c r="C519">
        <f t="shared" si="16"/>
        <v>1</v>
      </c>
      <c r="I519" s="3">
        <v>7731.86</v>
      </c>
      <c r="K519" s="6">
        <f t="shared" si="17"/>
        <v>7731.86</v>
      </c>
    </row>
    <row r="520" spans="1:11" ht="14.5">
      <c r="A520" s="3">
        <v>1</v>
      </c>
      <c r="C520">
        <f t="shared" si="16"/>
        <v>2</v>
      </c>
      <c r="I520" s="3">
        <v>7445.92</v>
      </c>
      <c r="K520" s="6">
        <f t="shared" si="17"/>
        <v>3722.96</v>
      </c>
    </row>
    <row r="521" spans="1:11" ht="14.5">
      <c r="A521" s="3">
        <v>0</v>
      </c>
      <c r="C521">
        <f t="shared" si="16"/>
        <v>1</v>
      </c>
      <c r="I521" s="3">
        <v>35069.370000000003</v>
      </c>
      <c r="K521" s="6">
        <f t="shared" si="17"/>
        <v>35069.370000000003</v>
      </c>
    </row>
    <row r="522" spans="1:11" ht="14.5">
      <c r="A522" s="3">
        <v>0</v>
      </c>
      <c r="C522">
        <f t="shared" si="16"/>
        <v>1</v>
      </c>
      <c r="I522" s="3">
        <v>7348.14</v>
      </c>
      <c r="K522" s="6">
        <f t="shared" si="17"/>
        <v>7348.14</v>
      </c>
    </row>
    <row r="523" spans="1:11" ht="14.5">
      <c r="A523" s="3">
        <v>3</v>
      </c>
      <c r="C523">
        <f t="shared" si="16"/>
        <v>4</v>
      </c>
      <c r="I523" s="3">
        <v>9704.67</v>
      </c>
      <c r="K523" s="6">
        <f t="shared" si="17"/>
        <v>2426.1675</v>
      </c>
    </row>
    <row r="524" spans="1:11" ht="14.5">
      <c r="A524" s="3">
        <v>1</v>
      </c>
      <c r="C524">
        <f t="shared" si="16"/>
        <v>2</v>
      </c>
      <c r="I524" s="3">
        <v>28340.19</v>
      </c>
      <c r="K524" s="6">
        <f t="shared" si="17"/>
        <v>14170.094999999999</v>
      </c>
    </row>
    <row r="525" spans="1:11" ht="14.5">
      <c r="A525" s="3">
        <v>1</v>
      </c>
      <c r="C525">
        <f t="shared" si="16"/>
        <v>2</v>
      </c>
      <c r="I525" s="3">
        <v>39725.519999999997</v>
      </c>
      <c r="K525" s="6">
        <f t="shared" si="17"/>
        <v>19862.759999999998</v>
      </c>
    </row>
    <row r="526" spans="1:11" ht="14.5">
      <c r="A526" s="3">
        <v>0</v>
      </c>
      <c r="C526">
        <f t="shared" si="16"/>
        <v>1</v>
      </c>
      <c r="I526" s="3">
        <v>17929.3</v>
      </c>
      <c r="K526" s="6">
        <f t="shared" si="17"/>
        <v>17929.3</v>
      </c>
    </row>
    <row r="527" spans="1:11" ht="14.5">
      <c r="A527" s="3">
        <v>3</v>
      </c>
      <c r="C527">
        <f t="shared" si="16"/>
        <v>4</v>
      </c>
      <c r="I527" s="3">
        <v>8605.36</v>
      </c>
      <c r="K527" s="6">
        <f t="shared" si="17"/>
        <v>2151.34</v>
      </c>
    </row>
    <row r="528" spans="1:11" ht="14.5">
      <c r="A528" s="3">
        <v>2</v>
      </c>
      <c r="C528">
        <f t="shared" si="16"/>
        <v>3</v>
      </c>
      <c r="I528" s="3">
        <v>8603.82</v>
      </c>
      <c r="K528" s="6">
        <f t="shared" si="17"/>
        <v>2867.94</v>
      </c>
    </row>
    <row r="529" spans="1:11" ht="14.5">
      <c r="A529" s="3">
        <v>2</v>
      </c>
      <c r="C529">
        <f t="shared" si="16"/>
        <v>3</v>
      </c>
      <c r="I529" s="3">
        <v>8515.76</v>
      </c>
      <c r="K529" s="6">
        <f t="shared" si="17"/>
        <v>2838.5866666666666</v>
      </c>
    </row>
    <row r="530" spans="1:11" ht="14.5">
      <c r="A530" s="3">
        <v>3</v>
      </c>
      <c r="C530">
        <f t="shared" si="16"/>
        <v>4</v>
      </c>
      <c r="I530" s="3">
        <v>9101.7999999999993</v>
      </c>
      <c r="K530" s="6">
        <f t="shared" si="17"/>
        <v>2275.4499999999998</v>
      </c>
    </row>
    <row r="531" spans="1:11" ht="14.5">
      <c r="A531" s="3">
        <v>3</v>
      </c>
      <c r="C531">
        <f t="shared" si="16"/>
        <v>4</v>
      </c>
      <c r="I531" s="3">
        <v>8615.2999999999993</v>
      </c>
      <c r="K531" s="6">
        <f t="shared" si="17"/>
        <v>2153.8249999999998</v>
      </c>
    </row>
    <row r="532" spans="1:11" ht="14.5">
      <c r="A532" s="3">
        <v>0</v>
      </c>
      <c r="C532">
        <f t="shared" si="16"/>
        <v>1</v>
      </c>
      <c r="I532" s="3">
        <v>62592.87</v>
      </c>
      <c r="K532" s="6">
        <f t="shared" si="17"/>
        <v>62592.87</v>
      </c>
    </row>
    <row r="533" spans="1:11" ht="14.5">
      <c r="A533" s="3">
        <v>2</v>
      </c>
      <c r="C533">
        <f t="shared" si="16"/>
        <v>3</v>
      </c>
      <c r="I533" s="3">
        <v>7726.85</v>
      </c>
      <c r="K533" s="6">
        <f t="shared" si="17"/>
        <v>2575.6166666666668</v>
      </c>
    </row>
    <row r="534" spans="1:11" ht="14.5">
      <c r="A534" s="3">
        <v>2</v>
      </c>
      <c r="C534">
        <f t="shared" si="16"/>
        <v>3</v>
      </c>
      <c r="I534" s="3">
        <v>7740.34</v>
      </c>
      <c r="K534" s="6">
        <f t="shared" si="17"/>
        <v>2580.1133333333332</v>
      </c>
    </row>
    <row r="535" spans="1:11" ht="14.5">
      <c r="A535" s="3">
        <v>1</v>
      </c>
      <c r="C535">
        <f t="shared" si="16"/>
        <v>2</v>
      </c>
      <c r="I535" s="3">
        <v>39556.49</v>
      </c>
      <c r="K535" s="6">
        <f t="shared" si="17"/>
        <v>19778.244999999999</v>
      </c>
    </row>
    <row r="536" spans="1:11" ht="14.5">
      <c r="A536" s="3">
        <v>0</v>
      </c>
      <c r="C536">
        <f t="shared" si="16"/>
        <v>1</v>
      </c>
      <c r="I536" s="3">
        <v>6948.7</v>
      </c>
      <c r="K536" s="6">
        <f t="shared" si="17"/>
        <v>6948.7</v>
      </c>
    </row>
    <row r="537" spans="1:11" ht="14.5">
      <c r="A537" s="3">
        <v>0</v>
      </c>
      <c r="C537">
        <f t="shared" si="16"/>
        <v>1</v>
      </c>
      <c r="I537" s="3">
        <v>7419.48</v>
      </c>
      <c r="K537" s="6">
        <f t="shared" si="17"/>
        <v>7419.48</v>
      </c>
    </row>
    <row r="538" spans="1:11" ht="14.5">
      <c r="A538" s="3">
        <v>2</v>
      </c>
      <c r="C538">
        <f t="shared" si="16"/>
        <v>3</v>
      </c>
      <c r="I538" s="3">
        <v>7731.43</v>
      </c>
      <c r="K538" s="6">
        <f t="shared" si="17"/>
        <v>2577.1433333333334</v>
      </c>
    </row>
    <row r="539" spans="1:11" ht="14.5">
      <c r="A539" s="3">
        <v>1</v>
      </c>
      <c r="C539">
        <f t="shared" si="16"/>
        <v>2</v>
      </c>
      <c r="I539" s="3">
        <v>7152.67</v>
      </c>
      <c r="K539" s="6">
        <f t="shared" si="17"/>
        <v>3576.335</v>
      </c>
    </row>
    <row r="540" spans="1:11" ht="14.5">
      <c r="A540" s="3">
        <v>0</v>
      </c>
      <c r="C540">
        <f t="shared" si="16"/>
        <v>1</v>
      </c>
      <c r="I540" s="3">
        <v>7421.19</v>
      </c>
      <c r="K540" s="6">
        <f t="shared" si="17"/>
        <v>7421.19</v>
      </c>
    </row>
    <row r="541" spans="1:11" ht="14.5">
      <c r="A541" s="3">
        <v>2</v>
      </c>
      <c r="C541">
        <f t="shared" si="16"/>
        <v>3</v>
      </c>
      <c r="I541" s="3">
        <v>8116.27</v>
      </c>
      <c r="K541" s="6">
        <f t="shared" si="17"/>
        <v>2705.4233333333336</v>
      </c>
    </row>
    <row r="542" spans="1:11" ht="14.5">
      <c r="A542" s="3">
        <v>2</v>
      </c>
      <c r="C542">
        <f t="shared" si="16"/>
        <v>3</v>
      </c>
      <c r="I542" s="3">
        <v>8302.5400000000009</v>
      </c>
      <c r="K542" s="6">
        <f t="shared" si="17"/>
        <v>2767.5133333333338</v>
      </c>
    </row>
    <row r="543" spans="1:11" ht="14.5">
      <c r="A543" s="3">
        <v>1</v>
      </c>
      <c r="C543">
        <f t="shared" si="16"/>
        <v>2</v>
      </c>
      <c r="I543" s="3">
        <v>19594.810000000001</v>
      </c>
      <c r="K543" s="6">
        <f t="shared" si="17"/>
        <v>9797.4050000000007</v>
      </c>
    </row>
    <row r="544" spans="1:11" ht="14.5">
      <c r="A544" s="3">
        <v>0</v>
      </c>
      <c r="C544">
        <f t="shared" si="16"/>
        <v>1</v>
      </c>
      <c r="I544" s="3">
        <v>48885.14</v>
      </c>
      <c r="K544" s="6">
        <f t="shared" si="17"/>
        <v>48885.14</v>
      </c>
    </row>
    <row r="545" spans="1:11" ht="14.5">
      <c r="A545" s="3">
        <v>2</v>
      </c>
      <c r="C545">
        <f t="shared" si="16"/>
        <v>3</v>
      </c>
      <c r="I545" s="3">
        <v>8211.1</v>
      </c>
      <c r="K545" s="6">
        <f t="shared" si="17"/>
        <v>2737.0333333333333</v>
      </c>
    </row>
    <row r="546" spans="1:11" ht="14.5">
      <c r="A546" s="3">
        <v>0</v>
      </c>
      <c r="C546">
        <f t="shared" si="16"/>
        <v>1</v>
      </c>
      <c r="I546" s="3">
        <v>42983.46</v>
      </c>
      <c r="K546" s="6">
        <f t="shared" si="17"/>
        <v>42983.46</v>
      </c>
    </row>
    <row r="547" spans="1:11" ht="14.5">
      <c r="A547" s="3">
        <v>2</v>
      </c>
      <c r="C547">
        <f t="shared" si="16"/>
        <v>3</v>
      </c>
      <c r="I547" s="3">
        <v>46200.99</v>
      </c>
      <c r="K547" s="6">
        <f t="shared" si="17"/>
        <v>15400.33</v>
      </c>
    </row>
    <row r="548" spans="1:11" ht="14.5">
      <c r="A548" s="3">
        <v>0</v>
      </c>
      <c r="C548">
        <f t="shared" si="16"/>
        <v>1</v>
      </c>
      <c r="I548" s="3">
        <v>12797.21</v>
      </c>
      <c r="K548" s="6">
        <f t="shared" si="17"/>
        <v>12797.21</v>
      </c>
    </row>
    <row r="549" spans="1:11" ht="14.5">
      <c r="A549" s="3">
        <v>2</v>
      </c>
      <c r="C549">
        <f t="shared" si="16"/>
        <v>3</v>
      </c>
      <c r="I549" s="3">
        <v>8219.2000000000007</v>
      </c>
      <c r="K549" s="6">
        <f t="shared" si="17"/>
        <v>2739.7333333333336</v>
      </c>
    </row>
    <row r="550" spans="1:11" ht="14.5">
      <c r="A550" s="3">
        <v>3</v>
      </c>
      <c r="C550">
        <f t="shared" si="16"/>
        <v>4</v>
      </c>
      <c r="I550" s="3">
        <v>8891.14</v>
      </c>
      <c r="K550" s="6">
        <f t="shared" si="17"/>
        <v>2222.7849999999999</v>
      </c>
    </row>
    <row r="551" spans="1:11" ht="14.5">
      <c r="A551" s="3">
        <v>1</v>
      </c>
      <c r="C551">
        <f t="shared" si="16"/>
        <v>2</v>
      </c>
      <c r="I551" s="3">
        <v>7633.72</v>
      </c>
      <c r="K551" s="6">
        <f t="shared" si="17"/>
        <v>3816.86</v>
      </c>
    </row>
    <row r="552" spans="1:11" ht="14.5">
      <c r="A552" s="3">
        <v>1</v>
      </c>
      <c r="C552">
        <f t="shared" si="16"/>
        <v>2</v>
      </c>
      <c r="I552" s="3">
        <v>7626.99</v>
      </c>
      <c r="K552" s="6">
        <f t="shared" si="17"/>
        <v>3813.4949999999999</v>
      </c>
    </row>
    <row r="553" spans="1:11" ht="14.5">
      <c r="A553" s="3">
        <v>2</v>
      </c>
      <c r="C553">
        <f t="shared" si="16"/>
        <v>3</v>
      </c>
      <c r="I553" s="3">
        <v>32108.66</v>
      </c>
      <c r="K553" s="6">
        <f t="shared" si="17"/>
        <v>10702.886666666667</v>
      </c>
    </row>
    <row r="554" spans="1:11" ht="14.5">
      <c r="A554" s="3">
        <v>2</v>
      </c>
      <c r="C554">
        <f t="shared" si="16"/>
        <v>3</v>
      </c>
      <c r="I554" s="3">
        <v>38998.550000000003</v>
      </c>
      <c r="K554" s="6">
        <f t="shared" si="17"/>
        <v>12999.516666666668</v>
      </c>
    </row>
    <row r="555" spans="1:11" ht="14.5">
      <c r="A555" s="3">
        <v>1</v>
      </c>
      <c r="C555">
        <f t="shared" si="16"/>
        <v>2</v>
      </c>
      <c r="I555" s="3">
        <v>7518.03</v>
      </c>
      <c r="K555" s="6">
        <f t="shared" si="17"/>
        <v>3759.0149999999999</v>
      </c>
    </row>
    <row r="556" spans="1:11" ht="14.5">
      <c r="A556" s="3">
        <v>1</v>
      </c>
      <c r="C556">
        <f t="shared" si="16"/>
        <v>2</v>
      </c>
      <c r="I556" s="3">
        <v>7624.63</v>
      </c>
      <c r="K556" s="6">
        <f t="shared" si="17"/>
        <v>3812.3150000000001</v>
      </c>
    </row>
    <row r="557" spans="1:11" ht="14.5">
      <c r="A557" s="3">
        <v>1</v>
      </c>
      <c r="C557">
        <f t="shared" si="16"/>
        <v>2</v>
      </c>
      <c r="I557" s="3">
        <v>8023.14</v>
      </c>
      <c r="K557" s="6">
        <f t="shared" si="17"/>
        <v>4011.57</v>
      </c>
    </row>
    <row r="558" spans="1:11" ht="14.5">
      <c r="A558" s="3">
        <v>1</v>
      </c>
      <c r="C558">
        <f t="shared" si="16"/>
        <v>2</v>
      </c>
      <c r="I558" s="3">
        <v>7623.52</v>
      </c>
      <c r="K558" s="6">
        <f t="shared" si="17"/>
        <v>3811.76</v>
      </c>
    </row>
    <row r="559" spans="1:11" ht="14.5">
      <c r="A559" s="3">
        <v>1</v>
      </c>
      <c r="C559">
        <f t="shared" si="16"/>
        <v>2</v>
      </c>
      <c r="I559" s="3">
        <v>7147.47</v>
      </c>
      <c r="K559" s="6">
        <f t="shared" si="17"/>
        <v>3573.7350000000001</v>
      </c>
    </row>
    <row r="560" spans="1:11" ht="14.5">
      <c r="A560" s="3">
        <v>3</v>
      </c>
      <c r="C560">
        <f t="shared" si="16"/>
        <v>4</v>
      </c>
      <c r="I560" s="3">
        <v>8606.2199999999993</v>
      </c>
      <c r="K560" s="6">
        <f t="shared" si="17"/>
        <v>2151.5549999999998</v>
      </c>
    </row>
    <row r="561" spans="1:11" ht="14.5">
      <c r="A561" s="3">
        <v>3</v>
      </c>
      <c r="C561">
        <f t="shared" si="16"/>
        <v>4</v>
      </c>
      <c r="I561" s="3">
        <v>42124.52</v>
      </c>
      <c r="K561" s="6">
        <f t="shared" si="17"/>
        <v>10531.13</v>
      </c>
    </row>
    <row r="562" spans="1:11" ht="14.5">
      <c r="A562" s="3">
        <v>2</v>
      </c>
      <c r="C562">
        <f t="shared" si="16"/>
        <v>3</v>
      </c>
      <c r="I562" s="3">
        <v>19144.580000000002</v>
      </c>
      <c r="K562" s="6">
        <f t="shared" si="17"/>
        <v>6381.5266666666676</v>
      </c>
    </row>
    <row r="563" spans="1:11" ht="14.5">
      <c r="A563" s="3">
        <v>3</v>
      </c>
      <c r="C563">
        <f t="shared" si="16"/>
        <v>4</v>
      </c>
      <c r="I563" s="3">
        <v>8522</v>
      </c>
      <c r="K563" s="6">
        <f t="shared" si="17"/>
        <v>2130.5</v>
      </c>
    </row>
    <row r="564" spans="1:11" ht="14.5">
      <c r="A564" s="3">
        <v>1</v>
      </c>
      <c r="C564">
        <f t="shared" si="16"/>
        <v>2</v>
      </c>
      <c r="I564" s="3">
        <v>7345.73</v>
      </c>
      <c r="K564" s="6">
        <f t="shared" si="17"/>
        <v>3672.8649999999998</v>
      </c>
    </row>
    <row r="565" spans="1:11" ht="14.5">
      <c r="A565" s="3">
        <v>0</v>
      </c>
      <c r="C565">
        <f t="shared" si="16"/>
        <v>1</v>
      </c>
      <c r="I565" s="3">
        <v>6837.37</v>
      </c>
      <c r="K565" s="6">
        <f t="shared" si="17"/>
        <v>6837.37</v>
      </c>
    </row>
    <row r="566" spans="1:11" ht="14.5">
      <c r="A566" s="3">
        <v>0</v>
      </c>
      <c r="C566">
        <f t="shared" si="16"/>
        <v>1</v>
      </c>
      <c r="I566" s="3">
        <v>45863.21</v>
      </c>
      <c r="K566" s="6">
        <f t="shared" si="17"/>
        <v>45863.21</v>
      </c>
    </row>
    <row r="567" spans="1:11" ht="14.5">
      <c r="A567" s="3">
        <v>2</v>
      </c>
      <c r="C567">
        <f t="shared" si="16"/>
        <v>3</v>
      </c>
      <c r="I567" s="3">
        <v>7441.5</v>
      </c>
      <c r="K567" s="6">
        <f t="shared" si="17"/>
        <v>2480.5</v>
      </c>
    </row>
    <row r="568" spans="1:11" ht="14.5">
      <c r="A568" s="3">
        <v>2</v>
      </c>
      <c r="C568">
        <f t="shared" si="16"/>
        <v>3</v>
      </c>
      <c r="I568" s="3">
        <v>18806.150000000001</v>
      </c>
      <c r="K568" s="6">
        <f t="shared" si="17"/>
        <v>6268.7166666666672</v>
      </c>
    </row>
    <row r="569" spans="1:11" ht="14.5">
      <c r="A569" s="3">
        <v>2</v>
      </c>
      <c r="C569">
        <f t="shared" si="16"/>
        <v>3</v>
      </c>
      <c r="I569" s="3">
        <v>42560.43</v>
      </c>
      <c r="K569" s="6">
        <f t="shared" si="17"/>
        <v>14186.81</v>
      </c>
    </row>
    <row r="570" spans="1:11" ht="14.5">
      <c r="A570" s="3">
        <v>2</v>
      </c>
      <c r="C570">
        <f t="shared" si="16"/>
        <v>3</v>
      </c>
      <c r="I570" s="3">
        <v>8310.84</v>
      </c>
      <c r="K570" s="6">
        <f t="shared" si="17"/>
        <v>2770.28</v>
      </c>
    </row>
    <row r="571" spans="1:11" ht="14.5">
      <c r="A571" s="3">
        <v>1</v>
      </c>
      <c r="C571">
        <f t="shared" si="16"/>
        <v>2</v>
      </c>
      <c r="I571" s="3">
        <v>6849.03</v>
      </c>
      <c r="K571" s="6">
        <f t="shared" si="17"/>
        <v>3424.5149999999999</v>
      </c>
    </row>
    <row r="572" spans="1:11" ht="14.5">
      <c r="A572" s="3">
        <v>2</v>
      </c>
      <c r="C572">
        <f t="shared" si="16"/>
        <v>3</v>
      </c>
      <c r="I572" s="3">
        <v>19798.05</v>
      </c>
      <c r="K572" s="6">
        <f t="shared" si="17"/>
        <v>6599.3499999999995</v>
      </c>
    </row>
    <row r="573" spans="1:11" ht="14.5">
      <c r="A573" s="3">
        <v>0</v>
      </c>
      <c r="C573">
        <f t="shared" si="16"/>
        <v>1</v>
      </c>
      <c r="I573" s="3">
        <v>21774.32</v>
      </c>
      <c r="K573" s="6">
        <f t="shared" si="17"/>
        <v>21774.32</v>
      </c>
    </row>
    <row r="574" spans="1:11" ht="14.5">
      <c r="A574" s="3">
        <v>0</v>
      </c>
      <c r="C574">
        <f t="shared" si="16"/>
        <v>1</v>
      </c>
      <c r="I574" s="3">
        <v>6250.44</v>
      </c>
      <c r="K574" s="6">
        <f t="shared" si="17"/>
        <v>6250.44</v>
      </c>
    </row>
    <row r="575" spans="1:11" ht="14.5">
      <c r="A575" s="3">
        <v>1</v>
      </c>
      <c r="C575">
        <f t="shared" si="16"/>
        <v>2</v>
      </c>
      <c r="I575" s="3">
        <v>41034.22</v>
      </c>
      <c r="K575" s="6">
        <f t="shared" si="17"/>
        <v>20517.11</v>
      </c>
    </row>
    <row r="576" spans="1:11" ht="14.5">
      <c r="A576" s="3">
        <v>3</v>
      </c>
      <c r="C576">
        <f t="shared" si="16"/>
        <v>4</v>
      </c>
      <c r="I576" s="3">
        <v>8410.0499999999993</v>
      </c>
      <c r="K576" s="6">
        <f t="shared" si="17"/>
        <v>2102.5124999999998</v>
      </c>
    </row>
    <row r="577" spans="1:11" ht="14.5">
      <c r="A577" s="3">
        <v>2</v>
      </c>
      <c r="C577">
        <f t="shared" si="16"/>
        <v>3</v>
      </c>
      <c r="I577" s="3">
        <v>18767.740000000002</v>
      </c>
      <c r="K577" s="6">
        <f t="shared" si="17"/>
        <v>6255.9133333333339</v>
      </c>
    </row>
    <row r="578" spans="1:11" ht="14.5">
      <c r="A578" s="3">
        <v>2</v>
      </c>
      <c r="C578">
        <f t="shared" si="16"/>
        <v>3</v>
      </c>
      <c r="I578" s="3">
        <v>21880.82</v>
      </c>
      <c r="K578" s="6">
        <f t="shared" si="17"/>
        <v>7293.6066666666666</v>
      </c>
    </row>
    <row r="579" spans="1:11" ht="14.5">
      <c r="A579" s="3">
        <v>0</v>
      </c>
      <c r="C579">
        <f t="shared" si="16"/>
        <v>1</v>
      </c>
      <c r="I579" s="3">
        <v>7325.05</v>
      </c>
      <c r="K579" s="6">
        <f t="shared" si="17"/>
        <v>7325.05</v>
      </c>
    </row>
    <row r="580" spans="1:11" ht="14.5">
      <c r="A580" s="3">
        <v>3</v>
      </c>
      <c r="C580">
        <f t="shared" si="16"/>
        <v>4</v>
      </c>
      <c r="I580" s="3">
        <v>40941.29</v>
      </c>
      <c r="K580" s="6">
        <f t="shared" si="17"/>
        <v>10235.3225</v>
      </c>
    </row>
    <row r="581" spans="1:11" ht="14.5">
      <c r="A581" s="3">
        <v>1</v>
      </c>
      <c r="C581">
        <f t="shared" ref="C581:C644" si="18">1+A581</f>
        <v>2</v>
      </c>
      <c r="I581" s="3">
        <v>7727.25</v>
      </c>
      <c r="K581" s="6">
        <f t="shared" ref="K581:K644" si="19">I581/C581</f>
        <v>3863.625</v>
      </c>
    </row>
    <row r="582" spans="1:11" ht="14.5">
      <c r="A582" s="3">
        <v>2</v>
      </c>
      <c r="C582">
        <f t="shared" si="18"/>
        <v>3</v>
      </c>
      <c r="I582" s="3">
        <v>22478.6</v>
      </c>
      <c r="K582" s="6">
        <f t="shared" si="19"/>
        <v>7492.8666666666659</v>
      </c>
    </row>
    <row r="583" spans="1:11" ht="14.5">
      <c r="A583" s="3">
        <v>1</v>
      </c>
      <c r="C583">
        <f t="shared" si="18"/>
        <v>2</v>
      </c>
      <c r="I583" s="3">
        <v>21771.34</v>
      </c>
      <c r="K583" s="6">
        <f t="shared" si="19"/>
        <v>10885.67</v>
      </c>
    </row>
    <row r="584" spans="1:11" ht="14.5">
      <c r="A584" s="3">
        <v>1</v>
      </c>
      <c r="C584">
        <f t="shared" si="18"/>
        <v>2</v>
      </c>
      <c r="I584" s="3">
        <v>7337.75</v>
      </c>
      <c r="K584" s="6">
        <f t="shared" si="19"/>
        <v>3668.875</v>
      </c>
    </row>
    <row r="585" spans="1:11" ht="14.5">
      <c r="A585" s="3">
        <v>5</v>
      </c>
      <c r="C585">
        <f t="shared" si="18"/>
        <v>6</v>
      </c>
      <c r="I585" s="3">
        <v>14478.33</v>
      </c>
      <c r="K585" s="6">
        <f t="shared" si="19"/>
        <v>2413.0549999999998</v>
      </c>
    </row>
    <row r="586" spans="1:11" ht="14.5">
      <c r="A586" s="3">
        <v>0</v>
      </c>
      <c r="C586">
        <f t="shared" si="18"/>
        <v>1</v>
      </c>
      <c r="I586" s="3">
        <v>37829.72</v>
      </c>
      <c r="K586" s="6">
        <f t="shared" si="19"/>
        <v>37829.72</v>
      </c>
    </row>
    <row r="587" spans="1:11" ht="14.5">
      <c r="A587" s="3">
        <v>0</v>
      </c>
      <c r="C587">
        <f t="shared" si="18"/>
        <v>1</v>
      </c>
      <c r="I587" s="3">
        <v>19964.75</v>
      </c>
      <c r="K587" s="6">
        <f t="shared" si="19"/>
        <v>19964.75</v>
      </c>
    </row>
    <row r="588" spans="1:11" ht="14.5">
      <c r="A588" s="3">
        <v>0</v>
      </c>
      <c r="C588">
        <f t="shared" si="18"/>
        <v>1</v>
      </c>
      <c r="I588" s="3">
        <v>21348.71</v>
      </c>
      <c r="K588" s="6">
        <f t="shared" si="19"/>
        <v>21348.71</v>
      </c>
    </row>
    <row r="589" spans="1:11" ht="14.5">
      <c r="A589" s="3">
        <v>0</v>
      </c>
      <c r="C589">
        <f t="shared" si="18"/>
        <v>1</v>
      </c>
      <c r="I589" s="3">
        <v>19515.54</v>
      </c>
      <c r="K589" s="6">
        <f t="shared" si="19"/>
        <v>19515.54</v>
      </c>
    </row>
    <row r="590" spans="1:11" ht="14.5">
      <c r="A590" s="3">
        <v>1</v>
      </c>
      <c r="C590">
        <f t="shared" si="18"/>
        <v>2</v>
      </c>
      <c r="I590" s="3">
        <v>7443.64</v>
      </c>
      <c r="K590" s="6">
        <f t="shared" si="19"/>
        <v>3721.82</v>
      </c>
    </row>
    <row r="591" spans="1:11" ht="14.5">
      <c r="A591" s="3">
        <v>2</v>
      </c>
      <c r="C591">
        <f t="shared" si="18"/>
        <v>3</v>
      </c>
      <c r="I591" s="3">
        <v>8017.06</v>
      </c>
      <c r="K591" s="6">
        <f t="shared" si="19"/>
        <v>2672.3533333333335</v>
      </c>
    </row>
    <row r="592" spans="1:11" ht="14.5">
      <c r="A592" s="3">
        <v>1</v>
      </c>
      <c r="C592">
        <f t="shared" si="18"/>
        <v>2</v>
      </c>
      <c r="I592" s="3">
        <v>7639.42</v>
      </c>
      <c r="K592" s="6">
        <f t="shared" si="19"/>
        <v>3819.71</v>
      </c>
    </row>
    <row r="593" spans="1:11" ht="14.5">
      <c r="A593" s="3">
        <v>0</v>
      </c>
      <c r="C593">
        <f t="shared" si="18"/>
        <v>1</v>
      </c>
      <c r="I593" s="3">
        <v>5969.72</v>
      </c>
      <c r="K593" s="6">
        <f t="shared" si="19"/>
        <v>5969.72</v>
      </c>
    </row>
    <row r="594" spans="1:11" ht="14.5">
      <c r="A594" s="3">
        <v>0</v>
      </c>
      <c r="C594">
        <f t="shared" si="18"/>
        <v>1</v>
      </c>
      <c r="I594" s="3">
        <v>22144.03</v>
      </c>
      <c r="K594" s="6">
        <f t="shared" si="19"/>
        <v>22144.03</v>
      </c>
    </row>
    <row r="595" spans="1:11" ht="14.5">
      <c r="A595" s="3">
        <v>1</v>
      </c>
      <c r="C595">
        <f t="shared" si="18"/>
        <v>2</v>
      </c>
      <c r="I595" s="3">
        <v>38245.589999999997</v>
      </c>
      <c r="K595" s="6">
        <f t="shared" si="19"/>
        <v>19122.794999999998</v>
      </c>
    </row>
    <row r="596" spans="1:11" ht="14.5">
      <c r="A596" s="3">
        <v>2</v>
      </c>
      <c r="C596">
        <f t="shared" si="18"/>
        <v>3</v>
      </c>
      <c r="I596" s="3">
        <v>7640.31</v>
      </c>
      <c r="K596" s="6">
        <f t="shared" si="19"/>
        <v>2546.77</v>
      </c>
    </row>
    <row r="597" spans="1:11" ht="14.5">
      <c r="A597" s="3">
        <v>3</v>
      </c>
      <c r="C597">
        <f t="shared" si="18"/>
        <v>4</v>
      </c>
      <c r="I597" s="3">
        <v>32787.46</v>
      </c>
      <c r="K597" s="6">
        <f t="shared" si="19"/>
        <v>8196.8649999999998</v>
      </c>
    </row>
    <row r="598" spans="1:11" ht="14.5">
      <c r="A598" s="3">
        <v>2</v>
      </c>
      <c r="C598">
        <f t="shared" si="18"/>
        <v>3</v>
      </c>
      <c r="I598" s="3">
        <v>7729.65</v>
      </c>
      <c r="K598" s="6">
        <f t="shared" si="19"/>
        <v>2576.5499999999997</v>
      </c>
    </row>
    <row r="599" spans="1:11" ht="14.5">
      <c r="A599" s="3">
        <v>1</v>
      </c>
      <c r="C599">
        <f t="shared" si="18"/>
        <v>2</v>
      </c>
      <c r="I599" s="3">
        <v>7050.64</v>
      </c>
      <c r="K599" s="6">
        <f t="shared" si="19"/>
        <v>3525.32</v>
      </c>
    </row>
    <row r="600" spans="1:11" ht="14.5">
      <c r="A600" s="3">
        <v>1</v>
      </c>
      <c r="C600">
        <f t="shared" si="18"/>
        <v>2</v>
      </c>
      <c r="I600" s="3">
        <v>7046.72</v>
      </c>
      <c r="K600" s="6">
        <f t="shared" si="19"/>
        <v>3523.36</v>
      </c>
    </row>
    <row r="601" spans="1:11" ht="14.5">
      <c r="A601" s="3">
        <v>2</v>
      </c>
      <c r="C601">
        <f t="shared" si="18"/>
        <v>3</v>
      </c>
      <c r="I601" s="3">
        <v>7160.33</v>
      </c>
      <c r="K601" s="6">
        <f t="shared" si="19"/>
        <v>2386.7766666666666</v>
      </c>
    </row>
    <row r="602" spans="1:11" ht="14.5">
      <c r="A602" s="3">
        <v>0</v>
      </c>
      <c r="C602">
        <f t="shared" si="18"/>
        <v>1</v>
      </c>
      <c r="I602" s="3">
        <v>5966.89</v>
      </c>
      <c r="K602" s="6">
        <f t="shared" si="19"/>
        <v>5966.89</v>
      </c>
    </row>
    <row r="603" spans="1:11" ht="14.5">
      <c r="A603" s="3">
        <v>2</v>
      </c>
      <c r="C603">
        <f t="shared" si="18"/>
        <v>3</v>
      </c>
      <c r="I603" s="3">
        <v>7160.09</v>
      </c>
      <c r="K603" s="6">
        <f t="shared" si="19"/>
        <v>2386.6966666666667</v>
      </c>
    </row>
    <row r="604" spans="1:11" ht="14.5">
      <c r="A604" s="3">
        <v>0</v>
      </c>
      <c r="C604">
        <f t="shared" si="18"/>
        <v>1</v>
      </c>
      <c r="I604" s="3">
        <v>6358.78</v>
      </c>
      <c r="K604" s="6">
        <f t="shared" si="19"/>
        <v>6358.78</v>
      </c>
    </row>
    <row r="605" spans="1:11" ht="14.5">
      <c r="A605" s="3">
        <v>1</v>
      </c>
      <c r="C605">
        <f t="shared" si="18"/>
        <v>2</v>
      </c>
      <c r="I605" s="3">
        <v>7045.5</v>
      </c>
      <c r="K605" s="6">
        <f t="shared" si="19"/>
        <v>3522.75</v>
      </c>
    </row>
    <row r="606" spans="1:11" ht="14.5">
      <c r="A606" s="3">
        <v>0</v>
      </c>
      <c r="C606">
        <f t="shared" si="18"/>
        <v>1</v>
      </c>
      <c r="I606" s="3">
        <v>5979.73</v>
      </c>
      <c r="K606" s="6">
        <f t="shared" si="19"/>
        <v>5979.73</v>
      </c>
    </row>
    <row r="607" spans="1:11" ht="14.5">
      <c r="A607" s="3">
        <v>1</v>
      </c>
      <c r="C607">
        <f t="shared" si="18"/>
        <v>2</v>
      </c>
      <c r="I607" s="3">
        <v>7650.77</v>
      </c>
      <c r="K607" s="6">
        <f t="shared" si="19"/>
        <v>3825.3850000000002</v>
      </c>
    </row>
    <row r="608" spans="1:11" ht="14.5">
      <c r="A608" s="3">
        <v>2</v>
      </c>
      <c r="C608">
        <f t="shared" si="18"/>
        <v>3</v>
      </c>
      <c r="I608" s="3">
        <v>7162.01</v>
      </c>
      <c r="K608" s="6">
        <f t="shared" si="19"/>
        <v>2387.3366666666666</v>
      </c>
    </row>
    <row r="609" spans="1:11" ht="14.5">
      <c r="A609" s="3">
        <v>0</v>
      </c>
      <c r="C609">
        <f t="shared" si="18"/>
        <v>1</v>
      </c>
      <c r="I609" s="3">
        <v>6474.01</v>
      </c>
      <c r="K609" s="6">
        <f t="shared" si="19"/>
        <v>6474.01</v>
      </c>
    </row>
    <row r="610" spans="1:11" ht="14.5">
      <c r="A610" s="3">
        <v>2</v>
      </c>
      <c r="C610">
        <f t="shared" si="18"/>
        <v>3</v>
      </c>
      <c r="I610" s="3">
        <v>21259.38</v>
      </c>
      <c r="K610" s="6">
        <f t="shared" si="19"/>
        <v>7086.46</v>
      </c>
    </row>
    <row r="611" spans="1:11" ht="14.5">
      <c r="A611" s="3">
        <v>1</v>
      </c>
      <c r="C611">
        <f t="shared" si="18"/>
        <v>2</v>
      </c>
      <c r="I611" s="3">
        <v>6940.91</v>
      </c>
      <c r="K611" s="6">
        <f t="shared" si="19"/>
        <v>3470.4549999999999</v>
      </c>
    </row>
    <row r="612" spans="1:11" ht="14.5">
      <c r="A612" s="3">
        <v>2</v>
      </c>
      <c r="C612">
        <f t="shared" si="18"/>
        <v>3</v>
      </c>
      <c r="I612" s="3">
        <v>43896.38</v>
      </c>
      <c r="K612" s="6">
        <f t="shared" si="19"/>
        <v>14632.126666666665</v>
      </c>
    </row>
    <row r="613" spans="1:11" ht="14.5">
      <c r="A613" s="3">
        <v>0</v>
      </c>
      <c r="C613">
        <f t="shared" si="18"/>
        <v>1</v>
      </c>
      <c r="I613" s="3">
        <v>7050.02</v>
      </c>
      <c r="K613" s="6">
        <f t="shared" si="19"/>
        <v>7050.02</v>
      </c>
    </row>
    <row r="614" spans="1:11" ht="14.5">
      <c r="A614" s="3">
        <v>1</v>
      </c>
      <c r="C614">
        <f t="shared" si="18"/>
        <v>2</v>
      </c>
      <c r="I614" s="3">
        <v>6272.48</v>
      </c>
      <c r="K614" s="6">
        <f t="shared" si="19"/>
        <v>3136.24</v>
      </c>
    </row>
    <row r="615" spans="1:11" ht="14.5">
      <c r="A615" s="3">
        <v>0</v>
      </c>
      <c r="C615">
        <f t="shared" si="18"/>
        <v>1</v>
      </c>
      <c r="I615" s="3">
        <v>6571.02</v>
      </c>
      <c r="K615" s="6">
        <f t="shared" si="19"/>
        <v>6571.02</v>
      </c>
    </row>
    <row r="616" spans="1:11" ht="14.5">
      <c r="A616" s="3">
        <v>0</v>
      </c>
      <c r="C616">
        <f t="shared" si="18"/>
        <v>1</v>
      </c>
      <c r="I616" s="3">
        <v>6186.13</v>
      </c>
      <c r="K616" s="6">
        <f t="shared" si="19"/>
        <v>6186.13</v>
      </c>
    </row>
    <row r="617" spans="1:11" ht="14.5">
      <c r="A617" s="3">
        <v>3</v>
      </c>
      <c r="C617">
        <f t="shared" si="18"/>
        <v>4</v>
      </c>
      <c r="I617" s="3">
        <v>8538.2900000000009</v>
      </c>
      <c r="K617" s="6">
        <f t="shared" si="19"/>
        <v>2134.5725000000002</v>
      </c>
    </row>
    <row r="618" spans="1:11" ht="14.5">
      <c r="A618" s="3">
        <v>1</v>
      </c>
      <c r="C618">
        <f t="shared" si="18"/>
        <v>2</v>
      </c>
      <c r="I618" s="3">
        <v>6775.96</v>
      </c>
      <c r="K618" s="6">
        <f t="shared" si="19"/>
        <v>3387.98</v>
      </c>
    </row>
    <row r="619" spans="1:11" ht="14.5">
      <c r="A619" s="3">
        <v>2</v>
      </c>
      <c r="C619">
        <f t="shared" si="18"/>
        <v>3</v>
      </c>
      <c r="I619" s="3">
        <v>7371.77</v>
      </c>
      <c r="K619" s="6">
        <f t="shared" si="19"/>
        <v>2457.2566666666667</v>
      </c>
    </row>
    <row r="620" spans="1:11" ht="14.5">
      <c r="A620" s="3">
        <v>1</v>
      </c>
      <c r="C620">
        <f t="shared" si="18"/>
        <v>2</v>
      </c>
      <c r="I620" s="3">
        <v>7358.18</v>
      </c>
      <c r="K620" s="6">
        <f t="shared" si="19"/>
        <v>3679.09</v>
      </c>
    </row>
    <row r="621" spans="1:11" ht="14.5">
      <c r="A621" s="3">
        <v>2</v>
      </c>
      <c r="C621">
        <f t="shared" si="18"/>
        <v>3</v>
      </c>
      <c r="I621" s="3">
        <v>7265.7</v>
      </c>
      <c r="K621" s="6">
        <f t="shared" si="19"/>
        <v>2421.9</v>
      </c>
    </row>
    <row r="622" spans="1:11" ht="14.5">
      <c r="A622" s="3">
        <v>2</v>
      </c>
      <c r="C622">
        <f t="shared" si="18"/>
        <v>3</v>
      </c>
      <c r="I622" s="3">
        <v>7749.16</v>
      </c>
      <c r="K622" s="6">
        <f t="shared" si="19"/>
        <v>2583.0533333333333</v>
      </c>
    </row>
    <row r="623" spans="1:11" ht="14.5">
      <c r="A623" s="3">
        <v>2</v>
      </c>
      <c r="C623">
        <f t="shared" si="18"/>
        <v>3</v>
      </c>
      <c r="I623" s="3">
        <v>7256.72</v>
      </c>
      <c r="K623" s="6">
        <f t="shared" si="19"/>
        <v>2418.9066666666668</v>
      </c>
    </row>
    <row r="624" spans="1:11" ht="14.5">
      <c r="A624" s="3">
        <v>0</v>
      </c>
      <c r="C624">
        <f t="shared" si="18"/>
        <v>1</v>
      </c>
      <c r="I624" s="3">
        <v>5709.16</v>
      </c>
      <c r="K624" s="6">
        <f t="shared" si="19"/>
        <v>5709.16</v>
      </c>
    </row>
    <row r="625" spans="1:11" ht="14.5">
      <c r="A625" s="3">
        <v>0</v>
      </c>
      <c r="C625">
        <f t="shared" si="18"/>
        <v>1</v>
      </c>
      <c r="I625" s="3">
        <v>6185.32</v>
      </c>
      <c r="K625" s="6">
        <f t="shared" si="19"/>
        <v>6185.32</v>
      </c>
    </row>
    <row r="626" spans="1:11" ht="14.5">
      <c r="A626" s="3">
        <v>1</v>
      </c>
      <c r="C626">
        <f t="shared" si="18"/>
        <v>2</v>
      </c>
      <c r="I626" s="3">
        <v>40273.65</v>
      </c>
      <c r="K626" s="6">
        <f t="shared" si="19"/>
        <v>20136.825000000001</v>
      </c>
    </row>
    <row r="627" spans="1:11" ht="14.5">
      <c r="A627" s="3">
        <v>1</v>
      </c>
      <c r="C627">
        <f t="shared" si="18"/>
        <v>2</v>
      </c>
      <c r="I627" s="3">
        <v>6664.69</v>
      </c>
      <c r="K627" s="6">
        <f t="shared" si="19"/>
        <v>3332.3449999999998</v>
      </c>
    </row>
    <row r="628" spans="1:11" ht="14.5">
      <c r="A628" s="3">
        <v>1</v>
      </c>
      <c r="C628">
        <f t="shared" si="18"/>
        <v>2</v>
      </c>
      <c r="I628" s="3">
        <v>6781.35</v>
      </c>
      <c r="K628" s="6">
        <f t="shared" si="19"/>
        <v>3390.6750000000002</v>
      </c>
    </row>
    <row r="629" spans="1:11" ht="14.5">
      <c r="A629" s="3">
        <v>2</v>
      </c>
      <c r="C629">
        <f t="shared" si="18"/>
        <v>3</v>
      </c>
      <c r="I629" s="3">
        <v>7261.74</v>
      </c>
      <c r="K629" s="6">
        <f t="shared" si="19"/>
        <v>2420.58</v>
      </c>
    </row>
    <row r="630" spans="1:11" ht="14.5">
      <c r="A630" s="3">
        <v>3</v>
      </c>
      <c r="C630">
        <f t="shared" si="18"/>
        <v>4</v>
      </c>
      <c r="I630" s="3">
        <v>39597.410000000003</v>
      </c>
      <c r="K630" s="6">
        <f t="shared" si="19"/>
        <v>9899.3525000000009</v>
      </c>
    </row>
    <row r="631" spans="1:11" ht="14.5">
      <c r="A631" s="3">
        <v>1</v>
      </c>
      <c r="C631">
        <f t="shared" si="18"/>
        <v>2</v>
      </c>
      <c r="I631" s="3">
        <v>6282.24</v>
      </c>
      <c r="K631" s="6">
        <f t="shared" si="19"/>
        <v>3141.12</v>
      </c>
    </row>
    <row r="632" spans="1:11" ht="14.5">
      <c r="A632" s="3">
        <v>1</v>
      </c>
      <c r="C632">
        <f t="shared" si="18"/>
        <v>2</v>
      </c>
      <c r="I632" s="3">
        <v>6289.75</v>
      </c>
      <c r="K632" s="6">
        <f t="shared" si="19"/>
        <v>3144.875</v>
      </c>
    </row>
    <row r="633" spans="1:11" ht="14.5">
      <c r="A633" s="3">
        <v>5</v>
      </c>
      <c r="C633">
        <f t="shared" si="18"/>
        <v>6</v>
      </c>
      <c r="I633" s="3">
        <v>9222.4</v>
      </c>
      <c r="K633" s="6">
        <f t="shared" si="19"/>
        <v>1537.0666666666666</v>
      </c>
    </row>
    <row r="634" spans="1:11" ht="14.5">
      <c r="A634" s="3">
        <v>3</v>
      </c>
      <c r="C634">
        <f t="shared" si="18"/>
        <v>4</v>
      </c>
      <c r="I634" s="3">
        <v>7954.52</v>
      </c>
      <c r="K634" s="6">
        <f t="shared" si="19"/>
        <v>1988.63</v>
      </c>
    </row>
    <row r="635" spans="1:11" ht="14.5">
      <c r="A635" s="3">
        <v>1</v>
      </c>
      <c r="C635">
        <f t="shared" si="18"/>
        <v>2</v>
      </c>
      <c r="I635" s="3">
        <v>7153.55</v>
      </c>
      <c r="K635" s="6">
        <f t="shared" si="19"/>
        <v>3576.7750000000001</v>
      </c>
    </row>
    <row r="636" spans="1:11" ht="14.5">
      <c r="A636" s="3">
        <v>1</v>
      </c>
      <c r="C636">
        <f t="shared" si="18"/>
        <v>2</v>
      </c>
      <c r="I636" s="3">
        <v>13725.47</v>
      </c>
      <c r="K636" s="6">
        <f t="shared" si="19"/>
        <v>6862.7349999999997</v>
      </c>
    </row>
    <row r="637" spans="1:11" ht="14.5">
      <c r="A637" s="3">
        <v>0</v>
      </c>
      <c r="C637">
        <f t="shared" si="18"/>
        <v>1</v>
      </c>
      <c r="I637" s="3">
        <v>5699.84</v>
      </c>
      <c r="K637" s="6">
        <f t="shared" si="19"/>
        <v>5699.84</v>
      </c>
    </row>
    <row r="638" spans="1:11" ht="14.5">
      <c r="A638" s="3">
        <v>1</v>
      </c>
      <c r="C638">
        <f t="shared" si="18"/>
        <v>2</v>
      </c>
      <c r="I638" s="3">
        <v>6858.48</v>
      </c>
      <c r="K638" s="6">
        <f t="shared" si="19"/>
        <v>3429.24</v>
      </c>
    </row>
    <row r="639" spans="1:11" ht="14.5">
      <c r="A639" s="3">
        <v>1</v>
      </c>
      <c r="C639">
        <f t="shared" si="18"/>
        <v>2</v>
      </c>
      <c r="I639" s="3">
        <v>6770.19</v>
      </c>
      <c r="K639" s="6">
        <f t="shared" si="19"/>
        <v>3385.0949999999998</v>
      </c>
    </row>
    <row r="640" spans="1:11" ht="14.5">
      <c r="A640" s="3">
        <v>2</v>
      </c>
      <c r="C640">
        <f t="shared" si="18"/>
        <v>3</v>
      </c>
      <c r="I640" s="3">
        <v>6875.96</v>
      </c>
      <c r="K640" s="6">
        <f t="shared" si="19"/>
        <v>2291.9866666666667</v>
      </c>
    </row>
    <row r="641" spans="1:11" ht="14.5">
      <c r="A641" s="3">
        <v>3</v>
      </c>
      <c r="C641">
        <f t="shared" si="18"/>
        <v>4</v>
      </c>
      <c r="I641" s="3">
        <v>8059.68</v>
      </c>
      <c r="K641" s="6">
        <f t="shared" si="19"/>
        <v>2014.92</v>
      </c>
    </row>
    <row r="642" spans="1:11" ht="14.5">
      <c r="A642" s="3">
        <v>1</v>
      </c>
      <c r="C642">
        <f t="shared" si="18"/>
        <v>2</v>
      </c>
      <c r="I642" s="3">
        <v>6389.38</v>
      </c>
      <c r="K642" s="6">
        <f t="shared" si="19"/>
        <v>3194.69</v>
      </c>
    </row>
    <row r="643" spans="1:11" ht="14.5">
      <c r="A643" s="3">
        <v>0</v>
      </c>
      <c r="C643">
        <f t="shared" si="18"/>
        <v>1</v>
      </c>
      <c r="I643" s="3">
        <v>5920.1</v>
      </c>
      <c r="K643" s="6">
        <f t="shared" si="19"/>
        <v>5920.1</v>
      </c>
    </row>
    <row r="644" spans="1:11" ht="14.5">
      <c r="A644" s="3">
        <v>1</v>
      </c>
      <c r="C644">
        <f t="shared" si="18"/>
        <v>2</v>
      </c>
      <c r="I644" s="3">
        <v>7077.19</v>
      </c>
      <c r="K644" s="6">
        <f t="shared" si="19"/>
        <v>3538.5949999999998</v>
      </c>
    </row>
    <row r="645" spans="1:11" ht="14.5">
      <c r="A645" s="3">
        <v>1</v>
      </c>
      <c r="C645">
        <f t="shared" ref="C645:C708" si="20">1+A645</f>
        <v>2</v>
      </c>
      <c r="I645" s="3">
        <v>6610.11</v>
      </c>
      <c r="K645" s="6">
        <f t="shared" ref="K645:K708" si="21">I645/C645</f>
        <v>3305.0549999999998</v>
      </c>
    </row>
    <row r="646" spans="1:11" ht="14.5">
      <c r="A646" s="3">
        <v>4</v>
      </c>
      <c r="C646">
        <f t="shared" si="20"/>
        <v>5</v>
      </c>
      <c r="I646" s="3">
        <v>8162.72</v>
      </c>
      <c r="K646" s="6">
        <f t="shared" si="21"/>
        <v>1632.5440000000001</v>
      </c>
    </row>
    <row r="647" spans="1:11" ht="14.5">
      <c r="A647" s="3">
        <v>2</v>
      </c>
      <c r="C647">
        <f t="shared" si="20"/>
        <v>3</v>
      </c>
      <c r="I647" s="3">
        <v>19444.27</v>
      </c>
      <c r="K647" s="6">
        <f t="shared" si="21"/>
        <v>6481.4233333333332</v>
      </c>
    </row>
    <row r="648" spans="1:11" ht="14.5">
      <c r="A648" s="3">
        <v>3</v>
      </c>
      <c r="C648">
        <f t="shared" si="20"/>
        <v>4</v>
      </c>
      <c r="I648" s="3">
        <v>7196.87</v>
      </c>
      <c r="K648" s="6">
        <f t="shared" si="21"/>
        <v>1799.2175</v>
      </c>
    </row>
    <row r="649" spans="1:11" ht="14.5">
      <c r="A649" s="3">
        <v>1</v>
      </c>
      <c r="C649">
        <f t="shared" si="20"/>
        <v>2</v>
      </c>
      <c r="I649" s="3">
        <v>17179.52</v>
      </c>
      <c r="K649" s="6">
        <f t="shared" si="21"/>
        <v>8589.76</v>
      </c>
    </row>
    <row r="650" spans="1:11" ht="14.5">
      <c r="A650" s="3">
        <v>1</v>
      </c>
      <c r="C650">
        <f t="shared" si="20"/>
        <v>2</v>
      </c>
      <c r="I650" s="3">
        <v>22331.57</v>
      </c>
      <c r="K650" s="6">
        <f t="shared" si="21"/>
        <v>11165.785</v>
      </c>
    </row>
    <row r="651" spans="1:11" ht="14.5">
      <c r="A651" s="3">
        <v>1</v>
      </c>
      <c r="C651">
        <f t="shared" si="20"/>
        <v>2</v>
      </c>
      <c r="I651" s="3">
        <v>6600.21</v>
      </c>
      <c r="K651" s="6">
        <f t="shared" si="21"/>
        <v>3300.105</v>
      </c>
    </row>
    <row r="652" spans="1:11" ht="14.5">
      <c r="A652" s="3">
        <v>1</v>
      </c>
      <c r="C652">
        <f t="shared" si="20"/>
        <v>2</v>
      </c>
      <c r="I652" s="3">
        <v>39125.33</v>
      </c>
      <c r="K652" s="6">
        <f t="shared" si="21"/>
        <v>19562.665000000001</v>
      </c>
    </row>
    <row r="653" spans="1:11" ht="14.5">
      <c r="A653" s="3">
        <v>0</v>
      </c>
      <c r="C653">
        <f t="shared" si="20"/>
        <v>1</v>
      </c>
      <c r="I653" s="3">
        <v>5910.94</v>
      </c>
      <c r="K653" s="6">
        <f t="shared" si="21"/>
        <v>5910.94</v>
      </c>
    </row>
    <row r="654" spans="1:11" ht="14.5">
      <c r="A654" s="3">
        <v>3</v>
      </c>
      <c r="C654">
        <f t="shared" si="20"/>
        <v>4</v>
      </c>
      <c r="I654" s="3">
        <v>7682.67</v>
      </c>
      <c r="K654" s="6">
        <f t="shared" si="21"/>
        <v>1920.6675</v>
      </c>
    </row>
    <row r="655" spans="1:11" ht="14.5">
      <c r="A655" s="3">
        <v>2</v>
      </c>
      <c r="C655">
        <f t="shared" si="20"/>
        <v>3</v>
      </c>
      <c r="I655" s="3">
        <v>7173.36</v>
      </c>
      <c r="K655" s="6">
        <f t="shared" si="21"/>
        <v>2391.12</v>
      </c>
    </row>
    <row r="656" spans="1:11" ht="14.5">
      <c r="A656" s="3">
        <v>3</v>
      </c>
      <c r="C656">
        <f t="shared" si="20"/>
        <v>4</v>
      </c>
      <c r="I656" s="3">
        <v>8252.2800000000007</v>
      </c>
      <c r="K656" s="6">
        <f t="shared" si="21"/>
        <v>2063.0700000000002</v>
      </c>
    </row>
    <row r="657" spans="1:11" ht="14.5">
      <c r="A657" s="3">
        <v>2</v>
      </c>
      <c r="C657">
        <f t="shared" si="20"/>
        <v>3</v>
      </c>
      <c r="I657" s="3">
        <v>40003.33</v>
      </c>
      <c r="K657" s="6">
        <f t="shared" si="21"/>
        <v>13334.443333333335</v>
      </c>
    </row>
    <row r="658" spans="1:11" ht="14.5">
      <c r="A658" s="3">
        <v>1</v>
      </c>
      <c r="C658">
        <f t="shared" si="20"/>
        <v>2</v>
      </c>
      <c r="I658" s="3">
        <v>6500.24</v>
      </c>
      <c r="K658" s="6">
        <f t="shared" si="21"/>
        <v>3250.12</v>
      </c>
    </row>
    <row r="659" spans="1:11" ht="14.5">
      <c r="A659" s="3">
        <v>0</v>
      </c>
      <c r="C659">
        <f t="shared" si="20"/>
        <v>1</v>
      </c>
      <c r="I659" s="3">
        <v>5438.75</v>
      </c>
      <c r="K659" s="6">
        <f t="shared" si="21"/>
        <v>5438.75</v>
      </c>
    </row>
    <row r="660" spans="1:11" ht="14.5">
      <c r="A660" s="3">
        <v>2</v>
      </c>
      <c r="C660">
        <f t="shared" si="20"/>
        <v>3</v>
      </c>
      <c r="I660" s="3">
        <v>6986.7</v>
      </c>
      <c r="K660" s="6">
        <f t="shared" si="21"/>
        <v>2328.9</v>
      </c>
    </row>
    <row r="661" spans="1:11" ht="14.5">
      <c r="A661" s="3">
        <v>1</v>
      </c>
      <c r="C661">
        <f t="shared" si="20"/>
        <v>2</v>
      </c>
      <c r="I661" s="3">
        <v>28476.73</v>
      </c>
      <c r="K661" s="6">
        <f t="shared" si="21"/>
        <v>14238.365</v>
      </c>
    </row>
    <row r="662" spans="1:11" ht="14.5">
      <c r="A662" s="3">
        <v>2</v>
      </c>
      <c r="C662">
        <f t="shared" si="20"/>
        <v>3</v>
      </c>
      <c r="I662" s="3">
        <v>6600.36</v>
      </c>
      <c r="K662" s="6">
        <f t="shared" si="21"/>
        <v>2200.12</v>
      </c>
    </row>
    <row r="663" spans="1:11" ht="14.5">
      <c r="A663" s="3">
        <v>1</v>
      </c>
      <c r="C663">
        <f t="shared" si="20"/>
        <v>2</v>
      </c>
      <c r="I663" s="3">
        <v>6496.89</v>
      </c>
      <c r="K663" s="6">
        <f t="shared" si="21"/>
        <v>3248.4450000000002</v>
      </c>
    </row>
    <row r="664" spans="1:11" ht="14.5">
      <c r="A664" s="3">
        <v>1</v>
      </c>
      <c r="C664">
        <f t="shared" si="20"/>
        <v>2</v>
      </c>
      <c r="I664" s="3">
        <v>6393.6</v>
      </c>
      <c r="K664" s="6">
        <f t="shared" si="21"/>
        <v>3196.8</v>
      </c>
    </row>
    <row r="665" spans="1:11" ht="14.5">
      <c r="A665" s="3">
        <v>0</v>
      </c>
      <c r="C665">
        <f t="shared" si="20"/>
        <v>1</v>
      </c>
      <c r="I665" s="3">
        <v>5415.66</v>
      </c>
      <c r="K665" s="6">
        <f t="shared" si="21"/>
        <v>5415.66</v>
      </c>
    </row>
    <row r="666" spans="1:11" ht="14.5">
      <c r="A666" s="3">
        <v>2</v>
      </c>
      <c r="C666">
        <f t="shared" si="20"/>
        <v>3</v>
      </c>
      <c r="I666" s="3">
        <v>6593.51</v>
      </c>
      <c r="K666" s="6">
        <f t="shared" si="21"/>
        <v>2197.8366666666666</v>
      </c>
    </row>
    <row r="667" spans="1:11" ht="14.5">
      <c r="A667" s="3">
        <v>4</v>
      </c>
      <c r="C667">
        <f t="shared" si="20"/>
        <v>5</v>
      </c>
      <c r="I667" s="3">
        <v>15828.82</v>
      </c>
      <c r="K667" s="6">
        <f t="shared" si="21"/>
        <v>3165.7640000000001</v>
      </c>
    </row>
    <row r="668" spans="1:11" ht="14.5">
      <c r="A668" s="3">
        <v>0</v>
      </c>
      <c r="C668">
        <f t="shared" si="20"/>
        <v>1</v>
      </c>
      <c r="I668" s="3">
        <v>5649.72</v>
      </c>
      <c r="K668" s="6">
        <f t="shared" si="21"/>
        <v>5649.72</v>
      </c>
    </row>
    <row r="669" spans="1:11" ht="14.5">
      <c r="A669" s="3">
        <v>2</v>
      </c>
      <c r="C669">
        <f t="shared" si="20"/>
        <v>3</v>
      </c>
      <c r="I669" s="3">
        <v>6710.19</v>
      </c>
      <c r="K669" s="6">
        <f t="shared" si="21"/>
        <v>2236.73</v>
      </c>
    </row>
    <row r="670" spans="1:11" ht="14.5">
      <c r="A670" s="3">
        <v>3</v>
      </c>
      <c r="C670">
        <f t="shared" si="20"/>
        <v>4</v>
      </c>
      <c r="I670" s="3">
        <v>21659.93</v>
      </c>
      <c r="K670" s="6">
        <f t="shared" si="21"/>
        <v>5414.9825000000001</v>
      </c>
    </row>
    <row r="671" spans="1:11" ht="14.5">
      <c r="A671" s="3">
        <v>4</v>
      </c>
      <c r="C671">
        <f t="shared" si="20"/>
        <v>5</v>
      </c>
      <c r="I671" s="3">
        <v>7512.27</v>
      </c>
      <c r="K671" s="6">
        <f t="shared" si="21"/>
        <v>1502.4540000000002</v>
      </c>
    </row>
    <row r="672" spans="1:11" ht="14.5">
      <c r="A672" s="3">
        <v>1</v>
      </c>
      <c r="C672">
        <f t="shared" si="20"/>
        <v>2</v>
      </c>
      <c r="I672" s="3">
        <v>21082.16</v>
      </c>
      <c r="K672" s="6">
        <f t="shared" si="21"/>
        <v>10541.08</v>
      </c>
    </row>
    <row r="673" spans="1:11" ht="14.5">
      <c r="A673" s="3">
        <v>2</v>
      </c>
      <c r="C673">
        <f t="shared" si="20"/>
        <v>3</v>
      </c>
      <c r="I673" s="3">
        <v>6356.27</v>
      </c>
      <c r="K673" s="6">
        <f t="shared" si="21"/>
        <v>2118.7566666666667</v>
      </c>
    </row>
    <row r="674" spans="1:11" ht="14.5">
      <c r="A674" s="3">
        <v>0</v>
      </c>
      <c r="C674">
        <f t="shared" si="20"/>
        <v>1</v>
      </c>
      <c r="I674" s="3">
        <v>20149.32</v>
      </c>
      <c r="K674" s="6">
        <f t="shared" si="21"/>
        <v>20149.32</v>
      </c>
    </row>
    <row r="675" spans="1:11" ht="14.5">
      <c r="A675" s="3">
        <v>1</v>
      </c>
      <c r="C675">
        <f t="shared" si="20"/>
        <v>2</v>
      </c>
      <c r="I675" s="3">
        <v>6123.57</v>
      </c>
      <c r="K675" s="6">
        <f t="shared" si="21"/>
        <v>3061.7849999999999</v>
      </c>
    </row>
    <row r="676" spans="1:11" ht="14.5">
      <c r="A676" s="3">
        <v>2</v>
      </c>
      <c r="C676">
        <f t="shared" si="20"/>
        <v>3</v>
      </c>
      <c r="I676" s="3">
        <v>40103.89</v>
      </c>
      <c r="K676" s="6">
        <f t="shared" si="21"/>
        <v>13367.963333333333</v>
      </c>
    </row>
    <row r="677" spans="1:11" ht="14.5">
      <c r="A677" s="3">
        <v>3</v>
      </c>
      <c r="C677">
        <f t="shared" si="20"/>
        <v>4</v>
      </c>
      <c r="I677" s="3">
        <v>7985.82</v>
      </c>
      <c r="K677" s="6">
        <f t="shared" si="21"/>
        <v>1996.4549999999999</v>
      </c>
    </row>
    <row r="678" spans="1:11" ht="14.5">
      <c r="A678" s="3">
        <v>0</v>
      </c>
      <c r="C678">
        <f t="shared" si="20"/>
        <v>1</v>
      </c>
      <c r="I678" s="3">
        <v>5662.23</v>
      </c>
      <c r="K678" s="6">
        <f t="shared" si="21"/>
        <v>5662.23</v>
      </c>
    </row>
    <row r="679" spans="1:11" ht="14.5">
      <c r="A679" s="3">
        <v>2</v>
      </c>
      <c r="C679">
        <f t="shared" si="20"/>
        <v>3</v>
      </c>
      <c r="I679" s="3">
        <v>7209.49</v>
      </c>
      <c r="K679" s="6">
        <f t="shared" si="21"/>
        <v>2403.1633333333334</v>
      </c>
    </row>
    <row r="680" spans="1:11" ht="14.5">
      <c r="A680" s="3">
        <v>1</v>
      </c>
      <c r="C680">
        <f t="shared" si="20"/>
        <v>2</v>
      </c>
      <c r="I680" s="3">
        <v>6117.49</v>
      </c>
      <c r="K680" s="6">
        <f t="shared" si="21"/>
        <v>3058.7449999999999</v>
      </c>
    </row>
    <row r="681" spans="1:11" ht="14.5">
      <c r="A681" s="3">
        <v>1</v>
      </c>
      <c r="C681">
        <f t="shared" si="20"/>
        <v>2</v>
      </c>
      <c r="I681" s="3">
        <v>6238.3</v>
      </c>
      <c r="K681" s="6">
        <f t="shared" si="21"/>
        <v>3119.15</v>
      </c>
    </row>
    <row r="682" spans="1:11" ht="14.5">
      <c r="A682" s="3">
        <v>5</v>
      </c>
      <c r="C682">
        <f t="shared" si="20"/>
        <v>6</v>
      </c>
      <c r="I682" s="3">
        <v>8965.7999999999993</v>
      </c>
      <c r="K682" s="6">
        <f t="shared" si="21"/>
        <v>1494.3</v>
      </c>
    </row>
    <row r="683" spans="1:11" ht="14.5">
      <c r="A683" s="3">
        <v>5</v>
      </c>
      <c r="C683">
        <f t="shared" si="20"/>
        <v>6</v>
      </c>
      <c r="I683" s="3">
        <v>8596.83</v>
      </c>
      <c r="K683" s="6">
        <f t="shared" si="21"/>
        <v>1432.8050000000001</v>
      </c>
    </row>
    <row r="684" spans="1:11" ht="14.5">
      <c r="A684" s="3">
        <v>3</v>
      </c>
      <c r="C684">
        <f t="shared" si="20"/>
        <v>4</v>
      </c>
      <c r="I684" s="3">
        <v>7986.48</v>
      </c>
      <c r="K684" s="6">
        <f t="shared" si="21"/>
        <v>1996.62</v>
      </c>
    </row>
    <row r="685" spans="1:11" ht="14.5">
      <c r="A685" s="3">
        <v>3</v>
      </c>
      <c r="C685">
        <f t="shared" si="20"/>
        <v>4</v>
      </c>
      <c r="I685" s="3">
        <v>7418.52</v>
      </c>
      <c r="K685" s="6">
        <f t="shared" si="21"/>
        <v>1854.63</v>
      </c>
    </row>
    <row r="686" spans="1:11" ht="14.5">
      <c r="A686" s="3">
        <v>0</v>
      </c>
      <c r="C686">
        <f t="shared" si="20"/>
        <v>1</v>
      </c>
      <c r="I686" s="3">
        <v>5757.41</v>
      </c>
      <c r="K686" s="6">
        <f t="shared" si="21"/>
        <v>5757.41</v>
      </c>
    </row>
    <row r="687" spans="1:11" ht="14.5">
      <c r="A687" s="3">
        <v>5</v>
      </c>
      <c r="C687">
        <f t="shared" si="20"/>
        <v>6</v>
      </c>
      <c r="I687" s="3">
        <v>19023.259999999998</v>
      </c>
      <c r="K687" s="6">
        <f t="shared" si="21"/>
        <v>3170.5433333333331</v>
      </c>
    </row>
    <row r="688" spans="1:11" ht="14.5">
      <c r="A688" s="3">
        <v>5</v>
      </c>
      <c r="C688">
        <f t="shared" si="20"/>
        <v>6</v>
      </c>
      <c r="I688" s="3">
        <v>8582.2999999999993</v>
      </c>
      <c r="K688" s="6">
        <f t="shared" si="21"/>
        <v>1430.3833333333332</v>
      </c>
    </row>
    <row r="689" spans="1:11" ht="14.5">
      <c r="A689" s="3">
        <v>2</v>
      </c>
      <c r="C689">
        <f t="shared" si="20"/>
        <v>3</v>
      </c>
      <c r="I689" s="3">
        <v>6338.08</v>
      </c>
      <c r="K689" s="6">
        <f t="shared" si="21"/>
        <v>2112.6933333333332</v>
      </c>
    </row>
    <row r="690" spans="1:11" ht="14.5">
      <c r="A690" s="3">
        <v>2</v>
      </c>
      <c r="C690">
        <f t="shared" si="20"/>
        <v>3</v>
      </c>
      <c r="I690" s="3">
        <v>23563.02</v>
      </c>
      <c r="K690" s="6">
        <f t="shared" si="21"/>
        <v>7854.34</v>
      </c>
    </row>
    <row r="691" spans="1:11" ht="14.5">
      <c r="A691" s="3">
        <v>1</v>
      </c>
      <c r="C691">
        <f t="shared" si="20"/>
        <v>2</v>
      </c>
      <c r="I691" s="3">
        <v>22462.04</v>
      </c>
      <c r="K691" s="6">
        <f t="shared" si="21"/>
        <v>11231.02</v>
      </c>
    </row>
    <row r="692" spans="1:11" ht="14.5">
      <c r="A692" s="3">
        <v>2</v>
      </c>
      <c r="C692">
        <f t="shared" si="20"/>
        <v>3</v>
      </c>
      <c r="I692" s="3">
        <v>7201.7</v>
      </c>
      <c r="K692" s="6">
        <f t="shared" si="21"/>
        <v>2400.5666666666666</v>
      </c>
    </row>
    <row r="693" spans="1:11" ht="14.5">
      <c r="A693" s="3">
        <v>1</v>
      </c>
      <c r="C693">
        <f t="shared" si="20"/>
        <v>2</v>
      </c>
      <c r="I693" s="3">
        <v>6079.67</v>
      </c>
      <c r="K693" s="6">
        <f t="shared" si="21"/>
        <v>3039.835</v>
      </c>
    </row>
    <row r="694" spans="1:11" ht="14.5">
      <c r="A694" s="3">
        <v>0</v>
      </c>
      <c r="C694">
        <f t="shared" si="20"/>
        <v>1</v>
      </c>
      <c r="I694" s="3">
        <v>15820.7</v>
      </c>
      <c r="K694" s="6">
        <f t="shared" si="21"/>
        <v>15820.7</v>
      </c>
    </row>
    <row r="695" spans="1:11" ht="14.5">
      <c r="A695" s="3">
        <v>2</v>
      </c>
      <c r="C695">
        <f t="shared" si="20"/>
        <v>3</v>
      </c>
      <c r="I695" s="3">
        <v>6082.41</v>
      </c>
      <c r="K695" s="6">
        <f t="shared" si="21"/>
        <v>2027.47</v>
      </c>
    </row>
    <row r="696" spans="1:11" ht="14.5">
      <c r="A696" s="3">
        <v>2</v>
      </c>
      <c r="C696">
        <f t="shared" si="20"/>
        <v>3</v>
      </c>
      <c r="I696" s="3">
        <v>6455.86</v>
      </c>
      <c r="K696" s="6">
        <f t="shared" si="21"/>
        <v>2151.9533333333334</v>
      </c>
    </row>
    <row r="697" spans="1:11" ht="14.5">
      <c r="A697" s="3">
        <v>0</v>
      </c>
      <c r="C697">
        <f t="shared" si="20"/>
        <v>1</v>
      </c>
      <c r="I697" s="3">
        <v>5400.98</v>
      </c>
      <c r="K697" s="6">
        <f t="shared" si="21"/>
        <v>5400.98</v>
      </c>
    </row>
    <row r="698" spans="1:11" ht="14.5">
      <c r="A698" s="3">
        <v>3</v>
      </c>
      <c r="C698">
        <f t="shared" si="20"/>
        <v>4</v>
      </c>
      <c r="I698" s="3">
        <v>6652.53</v>
      </c>
      <c r="K698" s="6">
        <f t="shared" si="21"/>
        <v>1663.1324999999999</v>
      </c>
    </row>
    <row r="699" spans="1:11" ht="14.5">
      <c r="A699" s="3">
        <v>1</v>
      </c>
      <c r="C699">
        <f t="shared" si="20"/>
        <v>2</v>
      </c>
      <c r="I699" s="3">
        <v>6555.07</v>
      </c>
      <c r="K699" s="6">
        <f t="shared" si="21"/>
        <v>3277.5349999999999</v>
      </c>
    </row>
    <row r="700" spans="1:11" ht="14.5">
      <c r="A700" s="3">
        <v>1</v>
      </c>
      <c r="C700">
        <f t="shared" si="20"/>
        <v>2</v>
      </c>
      <c r="I700" s="3">
        <v>5974.38</v>
      </c>
      <c r="K700" s="6">
        <f t="shared" si="21"/>
        <v>2987.19</v>
      </c>
    </row>
    <row r="701" spans="1:11" ht="14.5">
      <c r="A701" s="3">
        <v>0</v>
      </c>
      <c r="C701">
        <f t="shared" si="20"/>
        <v>1</v>
      </c>
      <c r="I701" s="3">
        <v>5397.62</v>
      </c>
      <c r="K701" s="6">
        <f t="shared" si="21"/>
        <v>5397.62</v>
      </c>
    </row>
    <row r="702" spans="1:11" ht="14.5">
      <c r="A702" s="3">
        <v>1</v>
      </c>
      <c r="C702">
        <f t="shared" si="20"/>
        <v>2</v>
      </c>
      <c r="I702" s="3">
        <v>6067.13</v>
      </c>
      <c r="K702" s="6">
        <f t="shared" si="21"/>
        <v>3033.5650000000001</v>
      </c>
    </row>
    <row r="703" spans="1:11" ht="14.5">
      <c r="A703" s="3">
        <v>1</v>
      </c>
      <c r="C703">
        <f t="shared" si="20"/>
        <v>2</v>
      </c>
      <c r="I703" s="3">
        <v>6373.56</v>
      </c>
      <c r="K703" s="6">
        <f t="shared" si="21"/>
        <v>3186.78</v>
      </c>
    </row>
    <row r="704" spans="1:11" ht="14.5">
      <c r="A704" s="3">
        <v>1</v>
      </c>
      <c r="C704">
        <f t="shared" si="20"/>
        <v>2</v>
      </c>
      <c r="I704" s="3">
        <v>5976.83</v>
      </c>
      <c r="K704" s="6">
        <f t="shared" si="21"/>
        <v>2988.415</v>
      </c>
    </row>
    <row r="705" spans="1:11" ht="14.5">
      <c r="A705" s="3">
        <v>2</v>
      </c>
      <c r="C705">
        <f t="shared" si="20"/>
        <v>3</v>
      </c>
      <c r="I705" s="3">
        <v>6571.54</v>
      </c>
      <c r="K705" s="6">
        <f t="shared" si="21"/>
        <v>2190.5133333333333</v>
      </c>
    </row>
    <row r="706" spans="1:11" ht="14.5">
      <c r="A706" s="3">
        <v>2</v>
      </c>
      <c r="C706">
        <f t="shared" si="20"/>
        <v>3</v>
      </c>
      <c r="I706" s="3">
        <v>6933.24</v>
      </c>
      <c r="K706" s="6">
        <f t="shared" si="21"/>
        <v>2311.08</v>
      </c>
    </row>
    <row r="707" spans="1:11" ht="14.5">
      <c r="A707" s="3">
        <v>3</v>
      </c>
      <c r="C707">
        <f t="shared" si="20"/>
        <v>4</v>
      </c>
      <c r="I707" s="3">
        <v>7151.09</v>
      </c>
      <c r="K707" s="6">
        <f t="shared" si="21"/>
        <v>1787.7725</v>
      </c>
    </row>
    <row r="708" spans="1:11" ht="14.5">
      <c r="A708" s="3">
        <v>1</v>
      </c>
      <c r="C708">
        <f t="shared" si="20"/>
        <v>2</v>
      </c>
      <c r="I708" s="3">
        <v>5488.26</v>
      </c>
      <c r="K708" s="6">
        <f t="shared" si="21"/>
        <v>2744.13</v>
      </c>
    </row>
    <row r="709" spans="1:11" ht="14.5">
      <c r="A709" s="3">
        <v>2</v>
      </c>
      <c r="C709">
        <f t="shared" ref="C709:C772" si="22">1+A709</f>
        <v>3</v>
      </c>
      <c r="I709" s="3">
        <v>7144.86</v>
      </c>
      <c r="K709" s="6">
        <f t="shared" ref="K709:K772" si="23">I709/C709</f>
        <v>2381.62</v>
      </c>
    </row>
    <row r="710" spans="1:11" ht="14.5">
      <c r="A710" s="3">
        <v>1</v>
      </c>
      <c r="C710">
        <f t="shared" si="22"/>
        <v>2</v>
      </c>
      <c r="I710" s="3">
        <v>5484.47</v>
      </c>
      <c r="K710" s="6">
        <f t="shared" si="23"/>
        <v>2742.2350000000001</v>
      </c>
    </row>
    <row r="711" spans="1:11" ht="14.5">
      <c r="A711" s="3">
        <v>0</v>
      </c>
      <c r="C711">
        <f t="shared" si="22"/>
        <v>1</v>
      </c>
      <c r="I711" s="3">
        <v>5383.54</v>
      </c>
      <c r="K711" s="6">
        <f t="shared" si="23"/>
        <v>5383.54</v>
      </c>
    </row>
    <row r="712" spans="1:11" ht="14.5">
      <c r="A712" s="3">
        <v>1</v>
      </c>
      <c r="C712">
        <f t="shared" si="22"/>
        <v>2</v>
      </c>
      <c r="I712" s="3">
        <v>5855.9</v>
      </c>
      <c r="K712" s="6">
        <f t="shared" si="23"/>
        <v>2927.95</v>
      </c>
    </row>
    <row r="713" spans="1:11" ht="14.5">
      <c r="A713" s="3">
        <v>3</v>
      </c>
      <c r="C713">
        <f t="shared" si="22"/>
        <v>4</v>
      </c>
      <c r="I713" s="3">
        <v>41949.24</v>
      </c>
      <c r="K713" s="6">
        <f t="shared" si="23"/>
        <v>10487.31</v>
      </c>
    </row>
    <row r="714" spans="1:11" ht="14.5">
      <c r="A714" s="3">
        <v>2</v>
      </c>
      <c r="C714">
        <f t="shared" si="22"/>
        <v>3</v>
      </c>
      <c r="I714" s="3">
        <v>6457.84</v>
      </c>
      <c r="K714" s="6">
        <f t="shared" si="23"/>
        <v>2152.6133333333332</v>
      </c>
    </row>
    <row r="715" spans="1:11" ht="14.5">
      <c r="A715" s="3">
        <v>3</v>
      </c>
      <c r="C715">
        <f t="shared" si="22"/>
        <v>4</v>
      </c>
      <c r="I715" s="3">
        <v>7537.16</v>
      </c>
      <c r="K715" s="6">
        <f t="shared" si="23"/>
        <v>1884.29</v>
      </c>
    </row>
    <row r="716" spans="1:11" ht="14.5">
      <c r="A716" s="3">
        <v>2</v>
      </c>
      <c r="C716">
        <f t="shared" si="22"/>
        <v>3</v>
      </c>
      <c r="I716" s="3">
        <v>6640.54</v>
      </c>
      <c r="K716" s="6">
        <f t="shared" si="23"/>
        <v>2213.5133333333333</v>
      </c>
    </row>
    <row r="717" spans="1:11" ht="14.5">
      <c r="A717" s="3">
        <v>2</v>
      </c>
      <c r="C717">
        <f t="shared" si="22"/>
        <v>3</v>
      </c>
      <c r="I717" s="3">
        <v>7133.9</v>
      </c>
      <c r="K717" s="6">
        <f t="shared" si="23"/>
        <v>2377.9666666666667</v>
      </c>
    </row>
    <row r="718" spans="1:11" ht="14.5">
      <c r="A718" s="3">
        <v>3</v>
      </c>
      <c r="C718">
        <f t="shared" si="22"/>
        <v>4</v>
      </c>
      <c r="I718" s="3">
        <v>7281.51</v>
      </c>
      <c r="K718" s="6">
        <f t="shared" si="23"/>
        <v>1820.3775000000001</v>
      </c>
    </row>
    <row r="719" spans="1:11" ht="14.5">
      <c r="A719" s="3">
        <v>2</v>
      </c>
      <c r="C719">
        <f t="shared" si="22"/>
        <v>3</v>
      </c>
      <c r="I719" s="3">
        <v>6406.41</v>
      </c>
      <c r="K719" s="6">
        <f t="shared" si="23"/>
        <v>2135.4699999999998</v>
      </c>
    </row>
    <row r="720" spans="1:11" ht="14.5">
      <c r="A720" s="3">
        <v>2</v>
      </c>
      <c r="C720">
        <f t="shared" si="22"/>
        <v>3</v>
      </c>
      <c r="I720" s="3">
        <v>6203.9</v>
      </c>
      <c r="K720" s="6">
        <f t="shared" si="23"/>
        <v>2067.9666666666667</v>
      </c>
    </row>
    <row r="721" spans="1:11" ht="14.5">
      <c r="A721" s="3">
        <v>2</v>
      </c>
      <c r="C721">
        <f t="shared" si="22"/>
        <v>3</v>
      </c>
      <c r="I721" s="3">
        <v>6313.76</v>
      </c>
      <c r="K721" s="6">
        <f t="shared" si="23"/>
        <v>2104.5866666666666</v>
      </c>
    </row>
    <row r="722" spans="1:11" ht="14.5">
      <c r="A722" s="3">
        <v>2</v>
      </c>
      <c r="C722">
        <f t="shared" si="22"/>
        <v>3</v>
      </c>
      <c r="I722" s="3">
        <v>39836.519999999997</v>
      </c>
      <c r="K722" s="6">
        <f t="shared" si="23"/>
        <v>13278.839999999998</v>
      </c>
    </row>
    <row r="723" spans="1:11" ht="14.5">
      <c r="A723" s="3">
        <v>0</v>
      </c>
      <c r="C723">
        <f t="shared" si="22"/>
        <v>1</v>
      </c>
      <c r="I723" s="3">
        <v>4646.76</v>
      </c>
      <c r="K723" s="6">
        <f t="shared" si="23"/>
        <v>4646.76</v>
      </c>
    </row>
    <row r="724" spans="1:11" ht="14.5">
      <c r="A724" s="3">
        <v>2</v>
      </c>
      <c r="C724">
        <f t="shared" si="22"/>
        <v>3</v>
      </c>
      <c r="I724" s="3">
        <v>6686.43</v>
      </c>
      <c r="K724" s="6">
        <f t="shared" si="23"/>
        <v>2228.81</v>
      </c>
    </row>
    <row r="725" spans="1:11" ht="14.5">
      <c r="A725" s="3">
        <v>0</v>
      </c>
      <c r="C725">
        <f t="shared" si="22"/>
        <v>1</v>
      </c>
      <c r="I725" s="3">
        <v>5028.1499999999996</v>
      </c>
      <c r="K725" s="6">
        <f t="shared" si="23"/>
        <v>5028.1499999999996</v>
      </c>
    </row>
    <row r="726" spans="1:11" ht="14.5">
      <c r="A726" s="3">
        <v>3</v>
      </c>
      <c r="C726">
        <f t="shared" si="22"/>
        <v>4</v>
      </c>
      <c r="I726" s="3">
        <v>6796.86</v>
      </c>
      <c r="K726" s="6">
        <f t="shared" si="23"/>
        <v>1699.2149999999999</v>
      </c>
    </row>
    <row r="727" spans="1:11" ht="14.5">
      <c r="A727" s="3">
        <v>0</v>
      </c>
      <c r="C727">
        <f t="shared" si="22"/>
        <v>1</v>
      </c>
      <c r="I727" s="3">
        <v>19214.71</v>
      </c>
      <c r="K727" s="6">
        <f t="shared" si="23"/>
        <v>19214.71</v>
      </c>
    </row>
    <row r="728" spans="1:11" ht="14.5">
      <c r="A728" s="3">
        <v>4</v>
      </c>
      <c r="C728">
        <f t="shared" si="22"/>
        <v>5</v>
      </c>
      <c r="I728" s="3">
        <v>40182.25</v>
      </c>
      <c r="K728" s="6">
        <f t="shared" si="23"/>
        <v>8036.45</v>
      </c>
    </row>
    <row r="729" spans="1:11" ht="14.5">
      <c r="A729" s="3">
        <v>3</v>
      </c>
      <c r="C729">
        <f t="shared" si="22"/>
        <v>4</v>
      </c>
      <c r="I729" s="3">
        <v>6435.62</v>
      </c>
      <c r="K729" s="6">
        <f t="shared" si="23"/>
        <v>1608.905</v>
      </c>
    </row>
    <row r="730" spans="1:11" ht="14.5">
      <c r="A730" s="3">
        <v>0</v>
      </c>
      <c r="C730">
        <f t="shared" si="22"/>
        <v>1</v>
      </c>
      <c r="I730" s="3">
        <v>40419.019999999997</v>
      </c>
      <c r="K730" s="6">
        <f t="shared" si="23"/>
        <v>40419.019999999997</v>
      </c>
    </row>
    <row r="731" spans="1:11" ht="14.5">
      <c r="A731" s="3">
        <v>0</v>
      </c>
      <c r="C731">
        <f t="shared" si="22"/>
        <v>1</v>
      </c>
      <c r="I731" s="3">
        <v>19539.240000000002</v>
      </c>
      <c r="K731" s="6">
        <f t="shared" si="23"/>
        <v>19539.240000000002</v>
      </c>
    </row>
    <row r="732" spans="1:11" ht="14.5">
      <c r="A732" s="3">
        <v>0</v>
      </c>
      <c r="C732">
        <f t="shared" si="22"/>
        <v>1</v>
      </c>
      <c r="I732" s="3">
        <v>37270.15</v>
      </c>
      <c r="K732" s="6">
        <f t="shared" si="23"/>
        <v>37270.15</v>
      </c>
    </row>
    <row r="733" spans="1:11" ht="14.5">
      <c r="A733" s="3">
        <v>2</v>
      </c>
      <c r="C733">
        <f t="shared" si="22"/>
        <v>3</v>
      </c>
      <c r="I733" s="3">
        <v>46113.51</v>
      </c>
      <c r="K733" s="6">
        <f t="shared" si="23"/>
        <v>15371.17</v>
      </c>
    </row>
    <row r="734" spans="1:11" ht="14.5">
      <c r="A734" s="3">
        <v>2</v>
      </c>
      <c r="C734">
        <f t="shared" si="22"/>
        <v>3</v>
      </c>
      <c r="I734" s="3">
        <v>6311.95</v>
      </c>
      <c r="K734" s="6">
        <f t="shared" si="23"/>
        <v>2103.9833333333331</v>
      </c>
    </row>
    <row r="735" spans="1:11" ht="14.5">
      <c r="A735" s="3">
        <v>1</v>
      </c>
      <c r="C735">
        <f t="shared" si="22"/>
        <v>2</v>
      </c>
      <c r="I735" s="3">
        <v>39047.29</v>
      </c>
      <c r="K735" s="6">
        <f t="shared" si="23"/>
        <v>19523.645</v>
      </c>
    </row>
    <row r="736" spans="1:11" ht="14.5">
      <c r="A736" s="3">
        <v>2</v>
      </c>
      <c r="C736">
        <f t="shared" si="22"/>
        <v>3</v>
      </c>
      <c r="I736" s="3">
        <v>6877.98</v>
      </c>
      <c r="K736" s="6">
        <f t="shared" si="23"/>
        <v>2292.66</v>
      </c>
    </row>
    <row r="737" spans="1:11" ht="14.5">
      <c r="A737" s="3">
        <v>1</v>
      </c>
      <c r="C737">
        <f t="shared" si="22"/>
        <v>2</v>
      </c>
      <c r="I737" s="3">
        <v>39871.699999999997</v>
      </c>
      <c r="K737" s="6">
        <f t="shared" si="23"/>
        <v>19935.849999999999</v>
      </c>
    </row>
    <row r="738" spans="1:11" ht="14.5">
      <c r="A738" s="3">
        <v>0</v>
      </c>
      <c r="C738">
        <f t="shared" si="22"/>
        <v>1</v>
      </c>
      <c r="I738" s="3">
        <v>20420.599999999999</v>
      </c>
      <c r="K738" s="6">
        <f t="shared" si="23"/>
        <v>20420.599999999999</v>
      </c>
    </row>
    <row r="739" spans="1:11" ht="14.5">
      <c r="A739" s="3">
        <v>1</v>
      </c>
      <c r="C739">
        <f t="shared" si="22"/>
        <v>2</v>
      </c>
      <c r="I739" s="3">
        <v>6112.35</v>
      </c>
      <c r="K739" s="6">
        <f t="shared" si="23"/>
        <v>3056.1750000000002</v>
      </c>
    </row>
    <row r="740" spans="1:11" ht="14.5">
      <c r="A740" s="3">
        <v>2</v>
      </c>
      <c r="C740">
        <f t="shared" si="22"/>
        <v>3</v>
      </c>
      <c r="I740" s="3">
        <v>6198.75</v>
      </c>
      <c r="K740" s="6">
        <f t="shared" si="23"/>
        <v>2066.25</v>
      </c>
    </row>
    <row r="741" spans="1:11" ht="14.5">
      <c r="A741" s="3">
        <v>1</v>
      </c>
      <c r="C741">
        <f t="shared" si="22"/>
        <v>2</v>
      </c>
      <c r="I741" s="3">
        <v>20296.86</v>
      </c>
      <c r="K741" s="6">
        <f t="shared" si="23"/>
        <v>10148.43</v>
      </c>
    </row>
    <row r="742" spans="1:11" ht="14.5">
      <c r="A742" s="3">
        <v>3</v>
      </c>
      <c r="C742">
        <f t="shared" si="22"/>
        <v>4</v>
      </c>
      <c r="I742" s="3">
        <v>6985.51</v>
      </c>
      <c r="K742" s="6">
        <f t="shared" si="23"/>
        <v>1746.3775000000001</v>
      </c>
    </row>
    <row r="743" spans="1:11" ht="14.5">
      <c r="A743" s="3">
        <v>1</v>
      </c>
      <c r="C743">
        <f t="shared" si="22"/>
        <v>2</v>
      </c>
      <c r="I743" s="3">
        <v>38709.18</v>
      </c>
      <c r="K743" s="6">
        <f t="shared" si="23"/>
        <v>19354.59</v>
      </c>
    </row>
    <row r="744" spans="1:11" ht="14.5">
      <c r="A744" s="3">
        <v>0</v>
      </c>
      <c r="C744">
        <f t="shared" si="22"/>
        <v>1</v>
      </c>
      <c r="I744" s="3">
        <v>37742.58</v>
      </c>
      <c r="K744" s="6">
        <f t="shared" si="23"/>
        <v>37742.58</v>
      </c>
    </row>
    <row r="745" spans="1:11" ht="14.5">
      <c r="A745" s="3">
        <v>3</v>
      </c>
      <c r="C745">
        <f t="shared" si="22"/>
        <v>4</v>
      </c>
      <c r="I745" s="3">
        <v>43753.34</v>
      </c>
      <c r="K745" s="6">
        <f t="shared" si="23"/>
        <v>10938.334999999999</v>
      </c>
    </row>
    <row r="746" spans="1:11" ht="14.5">
      <c r="A746" s="3">
        <v>0</v>
      </c>
      <c r="C746">
        <f t="shared" si="22"/>
        <v>1</v>
      </c>
      <c r="I746" s="3">
        <v>4883.87</v>
      </c>
      <c r="K746" s="6">
        <f t="shared" si="23"/>
        <v>4883.87</v>
      </c>
    </row>
    <row r="747" spans="1:11" ht="14.5">
      <c r="A747" s="3">
        <v>3</v>
      </c>
      <c r="C747">
        <f t="shared" si="22"/>
        <v>4</v>
      </c>
      <c r="I747" s="3">
        <v>6746.74</v>
      </c>
      <c r="K747" s="6">
        <f t="shared" si="23"/>
        <v>1686.6849999999999</v>
      </c>
    </row>
    <row r="748" spans="1:11" ht="14.5">
      <c r="A748" s="3">
        <v>1</v>
      </c>
      <c r="C748">
        <f t="shared" si="22"/>
        <v>2</v>
      </c>
      <c r="I748" s="3">
        <v>5478.04</v>
      </c>
      <c r="K748" s="6">
        <f t="shared" si="23"/>
        <v>2739.02</v>
      </c>
    </row>
    <row r="749" spans="1:11" ht="14.5">
      <c r="A749" s="3">
        <v>2</v>
      </c>
      <c r="C749">
        <f t="shared" si="22"/>
        <v>3</v>
      </c>
      <c r="I749" s="3">
        <v>18608.259999999998</v>
      </c>
      <c r="K749" s="6">
        <f t="shared" si="23"/>
        <v>6202.7533333333331</v>
      </c>
    </row>
    <row r="750" spans="1:11" ht="14.5">
      <c r="A750" s="3">
        <v>3</v>
      </c>
      <c r="C750">
        <f t="shared" si="22"/>
        <v>4</v>
      </c>
      <c r="I750" s="3">
        <v>6748.59</v>
      </c>
      <c r="K750" s="6">
        <f t="shared" si="23"/>
        <v>1687.1475</v>
      </c>
    </row>
    <row r="751" spans="1:11" ht="14.5">
      <c r="A751" s="3">
        <v>0</v>
      </c>
      <c r="C751">
        <f t="shared" si="22"/>
        <v>1</v>
      </c>
      <c r="I751" s="3">
        <v>4399.7299999999996</v>
      </c>
      <c r="K751" s="6">
        <f t="shared" si="23"/>
        <v>4399.7299999999996</v>
      </c>
    </row>
    <row r="752" spans="1:11" ht="14.5">
      <c r="A752" s="3">
        <v>0</v>
      </c>
      <c r="C752">
        <f t="shared" si="22"/>
        <v>1</v>
      </c>
      <c r="I752" s="3">
        <v>5469.01</v>
      </c>
      <c r="K752" s="6">
        <f t="shared" si="23"/>
        <v>5469.01</v>
      </c>
    </row>
    <row r="753" spans="1:11" ht="14.5">
      <c r="A753" s="3">
        <v>2</v>
      </c>
      <c r="C753">
        <f t="shared" si="22"/>
        <v>3</v>
      </c>
      <c r="I753" s="3">
        <v>5584.31</v>
      </c>
      <c r="K753" s="6">
        <f t="shared" si="23"/>
        <v>1861.4366666666667</v>
      </c>
    </row>
    <row r="754" spans="1:11" ht="14.5">
      <c r="A754" s="3">
        <v>1</v>
      </c>
      <c r="C754">
        <f t="shared" si="22"/>
        <v>2</v>
      </c>
      <c r="I754" s="3">
        <v>20773.63</v>
      </c>
      <c r="K754" s="6">
        <f t="shared" si="23"/>
        <v>10386.815000000001</v>
      </c>
    </row>
    <row r="755" spans="1:11" ht="14.5">
      <c r="A755" s="3">
        <v>0</v>
      </c>
      <c r="C755">
        <f t="shared" si="22"/>
        <v>1</v>
      </c>
      <c r="I755" s="3">
        <v>5266.37</v>
      </c>
      <c r="K755" s="6">
        <f t="shared" si="23"/>
        <v>5266.37</v>
      </c>
    </row>
    <row r="756" spans="1:11" ht="14.5">
      <c r="A756" s="3">
        <v>1</v>
      </c>
      <c r="C756">
        <f t="shared" si="22"/>
        <v>2</v>
      </c>
      <c r="I756" s="3">
        <v>5377.46</v>
      </c>
      <c r="K756" s="6">
        <f t="shared" si="23"/>
        <v>2688.73</v>
      </c>
    </row>
    <row r="757" spans="1:11" ht="14.5">
      <c r="A757" s="3">
        <v>0</v>
      </c>
      <c r="C757">
        <f t="shared" si="22"/>
        <v>1</v>
      </c>
      <c r="I757" s="3">
        <v>4402.2299999999996</v>
      </c>
      <c r="K757" s="6">
        <f t="shared" si="23"/>
        <v>4402.2299999999996</v>
      </c>
    </row>
    <row r="758" spans="1:11" ht="14.5">
      <c r="A758" s="3">
        <v>0</v>
      </c>
      <c r="C758">
        <f t="shared" si="22"/>
        <v>1</v>
      </c>
      <c r="I758" s="3">
        <v>5458.05</v>
      </c>
      <c r="K758" s="6">
        <f t="shared" si="23"/>
        <v>5458.05</v>
      </c>
    </row>
    <row r="759" spans="1:11" ht="14.5">
      <c r="A759" s="3">
        <v>0</v>
      </c>
      <c r="C759">
        <f t="shared" si="22"/>
        <v>1</v>
      </c>
      <c r="I759" s="3">
        <v>5272.18</v>
      </c>
      <c r="K759" s="6">
        <f t="shared" si="23"/>
        <v>5272.18</v>
      </c>
    </row>
    <row r="760" spans="1:11" ht="14.5">
      <c r="A760" s="3">
        <v>4</v>
      </c>
      <c r="C760">
        <f t="shared" si="22"/>
        <v>5</v>
      </c>
      <c r="I760" s="3">
        <v>7243.81</v>
      </c>
      <c r="K760" s="6">
        <f t="shared" si="23"/>
        <v>1448.7620000000002</v>
      </c>
    </row>
    <row r="761" spans="1:11" ht="14.5">
      <c r="A761" s="3">
        <v>0</v>
      </c>
      <c r="C761">
        <f t="shared" si="22"/>
        <v>1</v>
      </c>
      <c r="I761" s="3">
        <v>4889.04</v>
      </c>
      <c r="K761" s="6">
        <f t="shared" si="23"/>
        <v>4889.04</v>
      </c>
    </row>
    <row r="762" spans="1:11" ht="14.5">
      <c r="A762" s="3">
        <v>0</v>
      </c>
      <c r="C762">
        <f t="shared" si="22"/>
        <v>1</v>
      </c>
      <c r="I762" s="3">
        <v>5267.82</v>
      </c>
      <c r="K762" s="6">
        <f t="shared" si="23"/>
        <v>5267.82</v>
      </c>
    </row>
    <row r="763" spans="1:11" ht="14.5">
      <c r="A763" s="3">
        <v>3</v>
      </c>
      <c r="C763">
        <f t="shared" si="22"/>
        <v>4</v>
      </c>
      <c r="I763" s="3">
        <v>6548.2</v>
      </c>
      <c r="K763" s="6">
        <f t="shared" si="23"/>
        <v>1637.05</v>
      </c>
    </row>
    <row r="764" spans="1:11" ht="14.5">
      <c r="A764" s="3">
        <v>3</v>
      </c>
      <c r="C764">
        <f t="shared" si="22"/>
        <v>4</v>
      </c>
      <c r="I764" s="3">
        <v>7228.22</v>
      </c>
      <c r="K764" s="6">
        <f t="shared" si="23"/>
        <v>1807.0550000000001</v>
      </c>
    </row>
    <row r="765" spans="1:11" ht="14.5">
      <c r="A765" s="3">
        <v>2</v>
      </c>
      <c r="C765">
        <f t="shared" si="22"/>
        <v>3</v>
      </c>
      <c r="I765" s="3">
        <v>38415.47</v>
      </c>
      <c r="K765" s="6">
        <f t="shared" si="23"/>
        <v>12805.156666666668</v>
      </c>
    </row>
    <row r="766" spans="1:11" ht="14.5">
      <c r="A766" s="3">
        <v>1</v>
      </c>
      <c r="C766">
        <f t="shared" si="22"/>
        <v>2</v>
      </c>
      <c r="I766" s="3">
        <v>5373.36</v>
      </c>
      <c r="K766" s="6">
        <f t="shared" si="23"/>
        <v>2686.68</v>
      </c>
    </row>
    <row r="767" spans="1:11" ht="14.5">
      <c r="A767" s="3">
        <v>1</v>
      </c>
      <c r="C767">
        <f t="shared" si="22"/>
        <v>2</v>
      </c>
      <c r="I767" s="3">
        <v>5472.45</v>
      </c>
      <c r="K767" s="6">
        <f t="shared" si="23"/>
        <v>2736.2249999999999</v>
      </c>
    </row>
    <row r="768" spans="1:11" ht="14.5">
      <c r="A768" s="3">
        <v>1</v>
      </c>
      <c r="C768">
        <f t="shared" si="22"/>
        <v>2</v>
      </c>
      <c r="I768" s="3">
        <v>39774.28</v>
      </c>
      <c r="K768" s="6">
        <f t="shared" si="23"/>
        <v>19887.14</v>
      </c>
    </row>
    <row r="769" spans="1:11" ht="14.5">
      <c r="A769" s="3">
        <v>2</v>
      </c>
      <c r="C769">
        <f t="shared" si="22"/>
        <v>3</v>
      </c>
      <c r="I769" s="3">
        <v>5729.01</v>
      </c>
      <c r="K769" s="6">
        <f t="shared" si="23"/>
        <v>1909.67</v>
      </c>
    </row>
    <row r="770" spans="1:11" ht="14.5">
      <c r="A770" s="3">
        <v>1</v>
      </c>
      <c r="C770">
        <f t="shared" si="22"/>
        <v>2</v>
      </c>
      <c r="I770" s="3">
        <v>5125.22</v>
      </c>
      <c r="K770" s="6">
        <f t="shared" si="23"/>
        <v>2562.61</v>
      </c>
    </row>
    <row r="771" spans="1:11" ht="14.5">
      <c r="A771" s="3">
        <v>1</v>
      </c>
      <c r="C771">
        <f t="shared" si="22"/>
        <v>2</v>
      </c>
      <c r="I771" s="3">
        <v>5246.05</v>
      </c>
      <c r="K771" s="6">
        <f t="shared" si="23"/>
        <v>2623.0250000000001</v>
      </c>
    </row>
    <row r="772" spans="1:11" ht="14.5">
      <c r="A772" s="3">
        <v>2</v>
      </c>
      <c r="C772">
        <f t="shared" si="22"/>
        <v>3</v>
      </c>
      <c r="I772" s="3">
        <v>20984.09</v>
      </c>
      <c r="K772" s="6">
        <f t="shared" si="23"/>
        <v>6994.6966666666667</v>
      </c>
    </row>
    <row r="773" spans="1:11" ht="14.5">
      <c r="A773" s="3">
        <v>1</v>
      </c>
      <c r="C773">
        <f t="shared" ref="C773:C836" si="24">1+A773</f>
        <v>2</v>
      </c>
      <c r="I773" s="3">
        <v>4751.07</v>
      </c>
      <c r="K773" s="6">
        <f t="shared" ref="K773:K836" si="25">I773/C773</f>
        <v>2375.5349999999999</v>
      </c>
    </row>
    <row r="774" spans="1:11" ht="14.5">
      <c r="A774" s="3">
        <v>2</v>
      </c>
      <c r="C774">
        <f t="shared" si="24"/>
        <v>3</v>
      </c>
      <c r="I774" s="3">
        <v>5846.92</v>
      </c>
      <c r="K774" s="6">
        <f t="shared" si="25"/>
        <v>1948.9733333333334</v>
      </c>
    </row>
    <row r="775" spans="1:11" ht="14.5">
      <c r="A775" s="3">
        <v>3</v>
      </c>
      <c r="C775">
        <f t="shared" si="24"/>
        <v>4</v>
      </c>
      <c r="I775" s="3">
        <v>5926.85</v>
      </c>
      <c r="K775" s="6">
        <f t="shared" si="25"/>
        <v>1481.7125000000001</v>
      </c>
    </row>
    <row r="776" spans="1:11" ht="14.5">
      <c r="A776" s="3">
        <v>1</v>
      </c>
      <c r="C776">
        <f t="shared" si="24"/>
        <v>2</v>
      </c>
      <c r="I776" s="3">
        <v>4762.33</v>
      </c>
      <c r="K776" s="6">
        <f t="shared" si="25"/>
        <v>2381.165</v>
      </c>
    </row>
    <row r="777" spans="1:11" ht="14.5">
      <c r="A777" s="3">
        <v>1</v>
      </c>
      <c r="C777">
        <f t="shared" si="24"/>
        <v>2</v>
      </c>
      <c r="I777" s="3">
        <v>5240.7700000000004</v>
      </c>
      <c r="K777" s="6">
        <f t="shared" si="25"/>
        <v>2620.3850000000002</v>
      </c>
    </row>
    <row r="778" spans="1:11" ht="14.5">
      <c r="A778" s="3">
        <v>3</v>
      </c>
      <c r="C778">
        <f t="shared" si="24"/>
        <v>4</v>
      </c>
      <c r="I778" s="3">
        <v>39983.43</v>
      </c>
      <c r="K778" s="6">
        <f t="shared" si="25"/>
        <v>9995.8575000000001</v>
      </c>
    </row>
    <row r="779" spans="1:11" ht="14.5">
      <c r="A779" s="3">
        <v>2</v>
      </c>
      <c r="C779">
        <f t="shared" si="24"/>
        <v>3</v>
      </c>
      <c r="I779" s="3">
        <v>24915.05</v>
      </c>
      <c r="K779" s="6">
        <f t="shared" si="25"/>
        <v>8305.0166666666664</v>
      </c>
    </row>
    <row r="780" spans="1:11" ht="14.5">
      <c r="A780" s="3">
        <v>3</v>
      </c>
      <c r="C780">
        <f t="shared" si="24"/>
        <v>4</v>
      </c>
      <c r="I780" s="3">
        <v>19362</v>
      </c>
      <c r="K780" s="6">
        <f t="shared" si="25"/>
        <v>4840.5</v>
      </c>
    </row>
    <row r="781" spans="1:11" ht="14.5">
      <c r="A781" s="3">
        <v>3</v>
      </c>
      <c r="C781">
        <f t="shared" si="24"/>
        <v>4</v>
      </c>
      <c r="I781" s="3">
        <v>5934.38</v>
      </c>
      <c r="K781" s="6">
        <f t="shared" si="25"/>
        <v>1483.595</v>
      </c>
    </row>
    <row r="782" spans="1:11" ht="14.5">
      <c r="A782" s="3">
        <v>3</v>
      </c>
      <c r="C782">
        <f t="shared" si="24"/>
        <v>4</v>
      </c>
      <c r="I782" s="3">
        <v>6414.18</v>
      </c>
      <c r="K782" s="6">
        <f t="shared" si="25"/>
        <v>1603.5450000000001</v>
      </c>
    </row>
    <row r="783" spans="1:11" ht="14.5">
      <c r="A783" s="3">
        <v>2</v>
      </c>
      <c r="C783">
        <f t="shared" si="24"/>
        <v>3</v>
      </c>
      <c r="I783" s="3">
        <v>6402.29</v>
      </c>
      <c r="K783" s="6">
        <f t="shared" si="25"/>
        <v>2134.0966666666668</v>
      </c>
    </row>
    <row r="784" spans="1:11" ht="14.5">
      <c r="A784" s="3">
        <v>1</v>
      </c>
      <c r="C784">
        <f t="shared" si="24"/>
        <v>2</v>
      </c>
      <c r="I784" s="3">
        <v>5245.23</v>
      </c>
      <c r="K784" s="6">
        <f t="shared" si="25"/>
        <v>2622.6149999999998</v>
      </c>
    </row>
    <row r="785" spans="1:11" ht="14.5">
      <c r="A785" s="3">
        <v>1</v>
      </c>
      <c r="C785">
        <f t="shared" si="24"/>
        <v>2</v>
      </c>
      <c r="I785" s="3">
        <v>4746.34</v>
      </c>
      <c r="K785" s="6">
        <f t="shared" si="25"/>
        <v>2373.17</v>
      </c>
    </row>
    <row r="786" spans="1:11" ht="14.5">
      <c r="A786" s="3">
        <v>0</v>
      </c>
      <c r="C786">
        <f t="shared" si="24"/>
        <v>1</v>
      </c>
      <c r="I786" s="3">
        <v>20234.849999999999</v>
      </c>
      <c r="K786" s="6">
        <f t="shared" si="25"/>
        <v>20234.849999999999</v>
      </c>
    </row>
    <row r="787" spans="1:11" ht="14.5">
      <c r="A787" s="3">
        <v>2</v>
      </c>
      <c r="C787">
        <f t="shared" si="24"/>
        <v>3</v>
      </c>
      <c r="I787" s="3">
        <v>5836.52</v>
      </c>
      <c r="K787" s="6">
        <f t="shared" si="25"/>
        <v>1945.5066666666669</v>
      </c>
    </row>
    <row r="788" spans="1:11" ht="14.5">
      <c r="A788" s="3">
        <v>1</v>
      </c>
      <c r="C788">
        <f t="shared" si="24"/>
        <v>2</v>
      </c>
      <c r="I788" s="3">
        <v>5630.46</v>
      </c>
      <c r="K788" s="6">
        <f t="shared" si="25"/>
        <v>2815.23</v>
      </c>
    </row>
    <row r="789" spans="1:11" ht="14.5">
      <c r="A789" s="3">
        <v>0</v>
      </c>
      <c r="C789">
        <f t="shared" si="24"/>
        <v>1</v>
      </c>
      <c r="I789" s="3">
        <v>5227.99</v>
      </c>
      <c r="K789" s="6">
        <f t="shared" si="25"/>
        <v>5227.99</v>
      </c>
    </row>
    <row r="790" spans="1:11" ht="14.5">
      <c r="A790" s="3">
        <v>1</v>
      </c>
      <c r="C790">
        <f t="shared" si="24"/>
        <v>2</v>
      </c>
      <c r="I790" s="3">
        <v>5116.5</v>
      </c>
      <c r="K790" s="6">
        <f t="shared" si="25"/>
        <v>2558.25</v>
      </c>
    </row>
    <row r="791" spans="1:11" ht="14.5">
      <c r="A791" s="3">
        <v>1</v>
      </c>
      <c r="C791">
        <f t="shared" si="24"/>
        <v>2</v>
      </c>
      <c r="I791" s="3">
        <v>4747.05</v>
      </c>
      <c r="K791" s="6">
        <f t="shared" si="25"/>
        <v>2373.5250000000001</v>
      </c>
    </row>
    <row r="792" spans="1:11" ht="14.5">
      <c r="A792" s="3">
        <v>4</v>
      </c>
      <c r="C792">
        <f t="shared" si="24"/>
        <v>5</v>
      </c>
      <c r="I792" s="3">
        <v>19496.72</v>
      </c>
      <c r="K792" s="6">
        <f t="shared" si="25"/>
        <v>3899.3440000000001</v>
      </c>
    </row>
    <row r="793" spans="1:11" ht="14.5">
      <c r="A793" s="3">
        <v>1</v>
      </c>
      <c r="C793">
        <f t="shared" si="24"/>
        <v>2</v>
      </c>
      <c r="I793" s="3">
        <v>37701.879999999997</v>
      </c>
      <c r="K793" s="6">
        <f t="shared" si="25"/>
        <v>18850.939999999999</v>
      </c>
    </row>
    <row r="794" spans="1:11" ht="14.5">
      <c r="A794" s="3">
        <v>2</v>
      </c>
      <c r="C794">
        <f t="shared" si="24"/>
        <v>3</v>
      </c>
      <c r="I794" s="3">
        <v>5989.52</v>
      </c>
      <c r="K794" s="6">
        <f t="shared" si="25"/>
        <v>1996.5066666666669</v>
      </c>
    </row>
    <row r="795" spans="1:11" ht="14.5">
      <c r="A795" s="3">
        <v>1</v>
      </c>
      <c r="C795">
        <f t="shared" si="24"/>
        <v>2</v>
      </c>
      <c r="I795" s="3">
        <v>5003.8500000000004</v>
      </c>
      <c r="K795" s="6">
        <f t="shared" si="25"/>
        <v>2501.9250000000002</v>
      </c>
    </row>
    <row r="796" spans="1:11" ht="14.5">
      <c r="A796" s="3">
        <v>2</v>
      </c>
      <c r="C796">
        <f t="shared" si="24"/>
        <v>3</v>
      </c>
      <c r="I796" s="3">
        <v>27375.9</v>
      </c>
      <c r="K796" s="6">
        <f t="shared" si="25"/>
        <v>9125.3000000000011</v>
      </c>
    </row>
    <row r="797" spans="1:11" ht="14.5">
      <c r="A797" s="3">
        <v>2</v>
      </c>
      <c r="C797">
        <f t="shared" si="24"/>
        <v>3</v>
      </c>
      <c r="I797" s="3">
        <v>18972.5</v>
      </c>
      <c r="K797" s="6">
        <f t="shared" si="25"/>
        <v>6324.166666666667</v>
      </c>
    </row>
    <row r="798" spans="1:11" ht="14.5">
      <c r="A798" s="3">
        <v>1</v>
      </c>
      <c r="C798">
        <f t="shared" si="24"/>
        <v>2</v>
      </c>
      <c r="I798" s="3">
        <v>5002.78</v>
      </c>
      <c r="K798" s="6">
        <f t="shared" si="25"/>
        <v>2501.39</v>
      </c>
    </row>
    <row r="799" spans="1:11" ht="14.5">
      <c r="A799" s="3">
        <v>1</v>
      </c>
      <c r="C799">
        <f t="shared" si="24"/>
        <v>2</v>
      </c>
      <c r="I799" s="3">
        <v>5012.47</v>
      </c>
      <c r="K799" s="6">
        <f t="shared" si="25"/>
        <v>2506.2350000000001</v>
      </c>
    </row>
    <row r="800" spans="1:11" ht="14.5">
      <c r="A800" s="3">
        <v>1</v>
      </c>
      <c r="C800">
        <f t="shared" si="24"/>
        <v>2</v>
      </c>
      <c r="I800" s="3">
        <v>4894.75</v>
      </c>
      <c r="K800" s="6">
        <f t="shared" si="25"/>
        <v>2447.375</v>
      </c>
    </row>
    <row r="801" spans="1:11" ht="14.5">
      <c r="A801" s="3">
        <v>0</v>
      </c>
      <c r="C801">
        <f t="shared" si="24"/>
        <v>1</v>
      </c>
      <c r="I801" s="3">
        <v>35491.64</v>
      </c>
      <c r="K801" s="6">
        <f t="shared" si="25"/>
        <v>35491.64</v>
      </c>
    </row>
    <row r="802" spans="1:11" ht="14.5">
      <c r="A802" s="3">
        <v>3</v>
      </c>
      <c r="C802">
        <f t="shared" si="24"/>
        <v>4</v>
      </c>
      <c r="I802" s="3">
        <v>6184.3</v>
      </c>
      <c r="K802" s="6">
        <f t="shared" si="25"/>
        <v>1546.075</v>
      </c>
    </row>
    <row r="803" spans="1:11" ht="14.5">
      <c r="A803" s="3">
        <v>3</v>
      </c>
      <c r="C803">
        <f t="shared" si="24"/>
        <v>4</v>
      </c>
      <c r="I803" s="3">
        <v>6196.45</v>
      </c>
      <c r="K803" s="6">
        <f t="shared" si="25"/>
        <v>1549.1125</v>
      </c>
    </row>
    <row r="804" spans="1:11" ht="14.5">
      <c r="A804" s="3">
        <v>0</v>
      </c>
      <c r="C804">
        <f t="shared" si="24"/>
        <v>1</v>
      </c>
      <c r="I804" s="3">
        <v>3935.18</v>
      </c>
      <c r="K804" s="6">
        <f t="shared" si="25"/>
        <v>3935.18</v>
      </c>
    </row>
    <row r="805" spans="1:11" ht="14.5">
      <c r="A805" s="3">
        <v>1</v>
      </c>
      <c r="C805">
        <f t="shared" si="24"/>
        <v>2</v>
      </c>
      <c r="I805" s="3">
        <v>43943.88</v>
      </c>
      <c r="K805" s="6">
        <f t="shared" si="25"/>
        <v>21971.94</v>
      </c>
    </row>
    <row r="806" spans="1:11" ht="14.5">
      <c r="A806" s="3">
        <v>1</v>
      </c>
      <c r="C806">
        <f t="shared" si="24"/>
        <v>2</v>
      </c>
      <c r="I806" s="3">
        <v>5594.85</v>
      </c>
      <c r="K806" s="6">
        <f t="shared" si="25"/>
        <v>2797.4250000000002</v>
      </c>
    </row>
    <row r="807" spans="1:11" ht="14.5">
      <c r="A807" s="3">
        <v>3</v>
      </c>
      <c r="C807">
        <f t="shared" si="24"/>
        <v>4</v>
      </c>
      <c r="I807" s="3">
        <v>6753.04</v>
      </c>
      <c r="K807" s="6">
        <f t="shared" si="25"/>
        <v>1688.26</v>
      </c>
    </row>
    <row r="808" spans="1:11" ht="14.5">
      <c r="A808" s="3">
        <v>1</v>
      </c>
      <c r="C808">
        <f t="shared" si="24"/>
        <v>2</v>
      </c>
      <c r="I808" s="3">
        <v>5385.34</v>
      </c>
      <c r="K808" s="6">
        <f t="shared" si="25"/>
        <v>2692.67</v>
      </c>
    </row>
    <row r="809" spans="1:11" ht="14.5">
      <c r="A809" s="3">
        <v>2</v>
      </c>
      <c r="C809">
        <f t="shared" si="24"/>
        <v>3</v>
      </c>
      <c r="I809" s="3">
        <v>11737.85</v>
      </c>
      <c r="K809" s="6">
        <f t="shared" si="25"/>
        <v>3912.6166666666668</v>
      </c>
    </row>
    <row r="810" spans="1:11" ht="14.5">
      <c r="A810" s="3">
        <v>0</v>
      </c>
      <c r="C810">
        <f t="shared" si="24"/>
        <v>1</v>
      </c>
      <c r="I810" s="3">
        <v>4320.41</v>
      </c>
      <c r="K810" s="6">
        <f t="shared" si="25"/>
        <v>4320.41</v>
      </c>
    </row>
    <row r="811" spans="1:11" ht="14.5">
      <c r="A811" s="3">
        <v>1</v>
      </c>
      <c r="C811">
        <f t="shared" si="24"/>
        <v>2</v>
      </c>
      <c r="I811" s="3">
        <v>20009.63</v>
      </c>
      <c r="K811" s="6">
        <f t="shared" si="25"/>
        <v>10004.815000000001</v>
      </c>
    </row>
    <row r="812" spans="1:11" ht="14.5">
      <c r="A812" s="3">
        <v>0</v>
      </c>
      <c r="C812">
        <f t="shared" si="24"/>
        <v>1</v>
      </c>
      <c r="I812" s="3">
        <v>4992.38</v>
      </c>
      <c r="K812" s="6">
        <f t="shared" si="25"/>
        <v>4992.38</v>
      </c>
    </row>
    <row r="813" spans="1:11" ht="14.5">
      <c r="A813" s="3">
        <v>0</v>
      </c>
      <c r="C813">
        <f t="shared" si="24"/>
        <v>1</v>
      </c>
      <c r="I813" s="3">
        <v>4500.34</v>
      </c>
      <c r="K813" s="6">
        <f t="shared" si="25"/>
        <v>4500.34</v>
      </c>
    </row>
    <row r="814" spans="1:11" ht="14.5">
      <c r="A814" s="3">
        <v>0</v>
      </c>
      <c r="C814">
        <f t="shared" si="24"/>
        <v>1</v>
      </c>
      <c r="I814" s="3">
        <v>4518.83</v>
      </c>
      <c r="K814" s="6">
        <f t="shared" si="25"/>
        <v>4518.83</v>
      </c>
    </row>
    <row r="815" spans="1:11" ht="14.5">
      <c r="A815" s="3">
        <v>1</v>
      </c>
      <c r="C815">
        <f t="shared" si="24"/>
        <v>2</v>
      </c>
      <c r="I815" s="3">
        <v>14358.36</v>
      </c>
      <c r="K815" s="6">
        <f t="shared" si="25"/>
        <v>7179.18</v>
      </c>
    </row>
    <row r="816" spans="1:11" ht="14.5">
      <c r="A816" s="3">
        <v>2</v>
      </c>
      <c r="C816">
        <f t="shared" si="24"/>
        <v>3</v>
      </c>
      <c r="I816" s="3">
        <v>5124.1899999999996</v>
      </c>
      <c r="K816" s="6">
        <f t="shared" si="25"/>
        <v>1708.0633333333333</v>
      </c>
    </row>
    <row r="817" spans="1:11" ht="14.5">
      <c r="A817" s="3">
        <v>0</v>
      </c>
      <c r="C817">
        <f t="shared" si="24"/>
        <v>1</v>
      </c>
      <c r="I817" s="3">
        <v>4415.16</v>
      </c>
      <c r="K817" s="6">
        <f t="shared" si="25"/>
        <v>4415.16</v>
      </c>
    </row>
    <row r="818" spans="1:11" ht="14.5">
      <c r="A818" s="3">
        <v>1</v>
      </c>
      <c r="C818">
        <f t="shared" si="24"/>
        <v>2</v>
      </c>
      <c r="I818" s="3">
        <v>4536.26</v>
      </c>
      <c r="K818" s="6">
        <f t="shared" si="25"/>
        <v>2268.13</v>
      </c>
    </row>
    <row r="819" spans="1:11" ht="14.5">
      <c r="A819" s="3">
        <v>0</v>
      </c>
      <c r="C819">
        <f t="shared" si="24"/>
        <v>1</v>
      </c>
      <c r="I819" s="3">
        <v>21984.47</v>
      </c>
      <c r="K819" s="6">
        <f t="shared" si="25"/>
        <v>21984.47</v>
      </c>
    </row>
    <row r="820" spans="1:11" ht="14.5">
      <c r="A820" s="3">
        <v>1</v>
      </c>
      <c r="C820">
        <f t="shared" si="24"/>
        <v>2</v>
      </c>
      <c r="I820" s="3">
        <v>5354.07</v>
      </c>
      <c r="K820" s="6">
        <f t="shared" si="25"/>
        <v>2677.0349999999999</v>
      </c>
    </row>
    <row r="821" spans="1:11" ht="14.5">
      <c r="A821" s="3">
        <v>2</v>
      </c>
      <c r="C821">
        <f t="shared" si="24"/>
        <v>3</v>
      </c>
      <c r="I821" s="3">
        <v>4890</v>
      </c>
      <c r="K821" s="6">
        <f t="shared" si="25"/>
        <v>1630</v>
      </c>
    </row>
    <row r="822" spans="1:11" ht="14.5">
      <c r="A822" s="3">
        <v>0</v>
      </c>
      <c r="C822">
        <f t="shared" si="24"/>
        <v>1</v>
      </c>
      <c r="I822" s="3">
        <v>12404.88</v>
      </c>
      <c r="K822" s="6">
        <f t="shared" si="25"/>
        <v>12404.88</v>
      </c>
    </row>
    <row r="823" spans="1:11" ht="14.5">
      <c r="A823" s="3">
        <v>0</v>
      </c>
      <c r="C823">
        <f t="shared" si="24"/>
        <v>1</v>
      </c>
      <c r="I823" s="3">
        <v>4185.1000000000004</v>
      </c>
      <c r="K823" s="6">
        <f t="shared" si="25"/>
        <v>4185.1000000000004</v>
      </c>
    </row>
    <row r="824" spans="1:11" ht="14.5">
      <c r="A824" s="3">
        <v>0</v>
      </c>
      <c r="C824">
        <f t="shared" si="24"/>
        <v>1</v>
      </c>
      <c r="I824" s="3">
        <v>37079.370000000003</v>
      </c>
      <c r="K824" s="6">
        <f t="shared" si="25"/>
        <v>37079.370000000003</v>
      </c>
    </row>
    <row r="825" spans="1:11" ht="14.5">
      <c r="A825" s="3">
        <v>3</v>
      </c>
      <c r="C825">
        <f t="shared" si="24"/>
        <v>4</v>
      </c>
      <c r="I825" s="3">
        <v>5972.38</v>
      </c>
      <c r="K825" s="6">
        <f t="shared" si="25"/>
        <v>1493.095</v>
      </c>
    </row>
    <row r="826" spans="1:11" ht="14.5">
      <c r="A826" s="3">
        <v>1</v>
      </c>
      <c r="C826">
        <f t="shared" si="24"/>
        <v>2</v>
      </c>
      <c r="I826" s="3">
        <v>4779.6000000000004</v>
      </c>
      <c r="K826" s="6">
        <f t="shared" si="25"/>
        <v>2389.8000000000002</v>
      </c>
    </row>
    <row r="827" spans="1:11" ht="14.5">
      <c r="A827" s="3">
        <v>1</v>
      </c>
      <c r="C827">
        <f t="shared" si="24"/>
        <v>2</v>
      </c>
      <c r="I827" s="3">
        <v>11326.71</v>
      </c>
      <c r="K827" s="6">
        <f t="shared" si="25"/>
        <v>5663.3549999999996</v>
      </c>
    </row>
    <row r="828" spans="1:11" ht="14.5">
      <c r="A828" s="3">
        <v>5</v>
      </c>
      <c r="C828">
        <f t="shared" si="24"/>
        <v>6</v>
      </c>
      <c r="I828" s="3">
        <v>6666.24</v>
      </c>
      <c r="K828" s="6">
        <f t="shared" si="25"/>
        <v>1111.04</v>
      </c>
    </row>
    <row r="829" spans="1:11" ht="14.5">
      <c r="A829" s="3">
        <v>1</v>
      </c>
      <c r="C829">
        <f t="shared" si="24"/>
        <v>2</v>
      </c>
      <c r="I829" s="3">
        <v>4766.0200000000004</v>
      </c>
      <c r="K829" s="6">
        <f t="shared" si="25"/>
        <v>2383.0100000000002</v>
      </c>
    </row>
    <row r="830" spans="1:11" ht="14.5">
      <c r="A830" s="3">
        <v>2</v>
      </c>
      <c r="C830">
        <f t="shared" si="24"/>
        <v>3</v>
      </c>
      <c r="I830" s="3">
        <v>5375.04</v>
      </c>
      <c r="K830" s="6">
        <f t="shared" si="25"/>
        <v>1791.68</v>
      </c>
    </row>
    <row r="831" spans="1:11" ht="14.5">
      <c r="A831" s="3">
        <v>1</v>
      </c>
      <c r="C831">
        <f t="shared" si="24"/>
        <v>2</v>
      </c>
      <c r="I831" s="3">
        <v>19040.88</v>
      </c>
      <c r="K831" s="6">
        <f t="shared" si="25"/>
        <v>9520.44</v>
      </c>
    </row>
    <row r="832" spans="1:11" ht="14.5">
      <c r="A832" s="3">
        <v>0</v>
      </c>
      <c r="C832">
        <f t="shared" si="24"/>
        <v>1</v>
      </c>
      <c r="I832" s="3">
        <v>17904.53</v>
      </c>
      <c r="K832" s="6">
        <f t="shared" si="25"/>
        <v>17904.53</v>
      </c>
    </row>
    <row r="833" spans="1:11" ht="14.5">
      <c r="A833" s="3">
        <v>3</v>
      </c>
      <c r="C833">
        <f t="shared" si="24"/>
        <v>4</v>
      </c>
      <c r="I833" s="3">
        <v>6360.99</v>
      </c>
      <c r="K833" s="6">
        <f t="shared" si="25"/>
        <v>1590.2474999999999</v>
      </c>
    </row>
    <row r="834" spans="1:11" ht="14.5">
      <c r="A834" s="3">
        <v>0</v>
      </c>
      <c r="C834">
        <f t="shared" si="24"/>
        <v>1</v>
      </c>
      <c r="I834" s="3">
        <v>55135.4</v>
      </c>
      <c r="K834" s="6">
        <f t="shared" si="25"/>
        <v>55135.4</v>
      </c>
    </row>
    <row r="835" spans="1:11" ht="14.5">
      <c r="A835" s="3">
        <v>5</v>
      </c>
      <c r="C835">
        <f t="shared" si="24"/>
        <v>6</v>
      </c>
      <c r="I835" s="3">
        <v>6653.79</v>
      </c>
      <c r="K835" s="6">
        <f t="shared" si="25"/>
        <v>1108.9649999999999</v>
      </c>
    </row>
    <row r="836" spans="1:11" ht="14.5">
      <c r="A836" s="3">
        <v>2</v>
      </c>
      <c r="C836">
        <f t="shared" si="24"/>
        <v>3</v>
      </c>
      <c r="I836" s="3">
        <v>5257.51</v>
      </c>
      <c r="K836" s="6">
        <f t="shared" si="25"/>
        <v>1752.5033333333333</v>
      </c>
    </row>
    <row r="837" spans="1:11" ht="14.5">
      <c r="A837" s="3">
        <v>3</v>
      </c>
      <c r="C837">
        <f t="shared" ref="C837:C900" si="26">1+A837</f>
        <v>4</v>
      </c>
      <c r="I837" s="3">
        <v>6551.75</v>
      </c>
      <c r="K837" s="6">
        <f t="shared" ref="K837:K900" si="27">I837/C837</f>
        <v>1637.9375</v>
      </c>
    </row>
    <row r="838" spans="1:11" ht="14.5">
      <c r="A838" s="3">
        <v>2</v>
      </c>
      <c r="C838">
        <f t="shared" si="26"/>
        <v>3</v>
      </c>
      <c r="I838" s="3">
        <v>16776.3</v>
      </c>
      <c r="K838" s="6">
        <f t="shared" si="27"/>
        <v>5592.0999999999995</v>
      </c>
    </row>
    <row r="839" spans="1:11" ht="14.5">
      <c r="A839" s="3">
        <v>1</v>
      </c>
      <c r="C839">
        <f t="shared" si="26"/>
        <v>2</v>
      </c>
      <c r="I839" s="3">
        <v>38282.75</v>
      </c>
      <c r="K839" s="6">
        <f t="shared" si="27"/>
        <v>19141.375</v>
      </c>
    </row>
    <row r="840" spans="1:11" ht="14.5">
      <c r="A840" s="3">
        <v>0</v>
      </c>
      <c r="C840">
        <f t="shared" si="26"/>
        <v>1</v>
      </c>
      <c r="I840" s="3">
        <v>3704.35</v>
      </c>
      <c r="K840" s="6">
        <f t="shared" si="27"/>
        <v>3704.35</v>
      </c>
    </row>
    <row r="841" spans="1:11" ht="14.5">
      <c r="A841" s="3">
        <v>1</v>
      </c>
      <c r="C841">
        <f t="shared" si="26"/>
        <v>2</v>
      </c>
      <c r="I841" s="3">
        <v>4795.66</v>
      </c>
      <c r="K841" s="6">
        <f t="shared" si="27"/>
        <v>2397.83</v>
      </c>
    </row>
    <row r="842" spans="1:11" ht="14.5">
      <c r="A842" s="3">
        <v>4</v>
      </c>
      <c r="C842">
        <f t="shared" si="26"/>
        <v>5</v>
      </c>
      <c r="I842" s="3">
        <v>6059.17</v>
      </c>
      <c r="K842" s="6">
        <f t="shared" si="27"/>
        <v>1211.8340000000001</v>
      </c>
    </row>
    <row r="843" spans="1:11" ht="14.5">
      <c r="A843" s="3">
        <v>2</v>
      </c>
      <c r="C843">
        <f t="shared" si="26"/>
        <v>3</v>
      </c>
      <c r="I843" s="3">
        <v>5261.47</v>
      </c>
      <c r="K843" s="6">
        <f t="shared" si="27"/>
        <v>1753.8233333333335</v>
      </c>
    </row>
    <row r="844" spans="1:11" ht="14.5">
      <c r="A844" s="3">
        <v>0</v>
      </c>
      <c r="C844">
        <f t="shared" si="26"/>
        <v>1</v>
      </c>
      <c r="I844" s="3">
        <v>4571.41</v>
      </c>
      <c r="K844" s="6">
        <f t="shared" si="27"/>
        <v>4571.41</v>
      </c>
    </row>
    <row r="845" spans="1:11" ht="14.5">
      <c r="A845" s="3">
        <v>0</v>
      </c>
      <c r="C845">
        <f t="shared" si="26"/>
        <v>1</v>
      </c>
      <c r="I845" s="3">
        <v>3866.86</v>
      </c>
      <c r="K845" s="6">
        <f t="shared" si="27"/>
        <v>3866.86</v>
      </c>
    </row>
    <row r="846" spans="1:11" ht="14.5">
      <c r="A846" s="3">
        <v>2</v>
      </c>
      <c r="C846">
        <f t="shared" si="26"/>
        <v>3</v>
      </c>
      <c r="I846" s="3">
        <v>32734.19</v>
      </c>
      <c r="K846" s="6">
        <f t="shared" si="27"/>
        <v>10911.396666666666</v>
      </c>
    </row>
    <row r="847" spans="1:11" ht="14.5">
      <c r="A847" s="3">
        <v>3</v>
      </c>
      <c r="C847">
        <f t="shared" si="26"/>
        <v>4</v>
      </c>
      <c r="I847" s="3">
        <v>6334.34</v>
      </c>
      <c r="K847" s="6">
        <f t="shared" si="27"/>
        <v>1583.585</v>
      </c>
    </row>
    <row r="848" spans="1:11" ht="14.5">
      <c r="A848" s="3">
        <v>2</v>
      </c>
      <c r="C848">
        <f t="shared" si="26"/>
        <v>3</v>
      </c>
      <c r="I848" s="3">
        <v>5152.13</v>
      </c>
      <c r="K848" s="6">
        <f t="shared" si="27"/>
        <v>1717.3766666666668</v>
      </c>
    </row>
    <row r="849" spans="1:11" ht="14.5">
      <c r="A849" s="3">
        <v>3</v>
      </c>
      <c r="C849">
        <f t="shared" si="26"/>
        <v>4</v>
      </c>
      <c r="I849" s="3">
        <v>6128.8</v>
      </c>
      <c r="K849" s="6">
        <f t="shared" si="27"/>
        <v>1532.2</v>
      </c>
    </row>
    <row r="850" spans="1:11" ht="14.5">
      <c r="A850" s="3">
        <v>3</v>
      </c>
      <c r="C850">
        <f t="shared" si="26"/>
        <v>4</v>
      </c>
      <c r="I850" s="3">
        <v>5253.52</v>
      </c>
      <c r="K850" s="6">
        <f t="shared" si="27"/>
        <v>1313.38</v>
      </c>
    </row>
    <row r="851" spans="1:11" ht="14.5">
      <c r="A851" s="3">
        <v>1</v>
      </c>
      <c r="C851">
        <f t="shared" si="26"/>
        <v>2</v>
      </c>
      <c r="I851" s="3">
        <v>4667.6099999999997</v>
      </c>
      <c r="K851" s="6">
        <f t="shared" si="27"/>
        <v>2333.8049999999998</v>
      </c>
    </row>
    <row r="852" spans="1:11" ht="14.5">
      <c r="A852" s="3">
        <v>1</v>
      </c>
      <c r="C852">
        <f t="shared" si="26"/>
        <v>2</v>
      </c>
      <c r="I852" s="3">
        <v>4074.45</v>
      </c>
      <c r="K852" s="6">
        <f t="shared" si="27"/>
        <v>2037.2249999999999</v>
      </c>
    </row>
    <row r="853" spans="1:11" ht="14.5">
      <c r="A853" s="3">
        <v>2</v>
      </c>
      <c r="C853">
        <f t="shared" si="26"/>
        <v>3</v>
      </c>
      <c r="I853" s="3">
        <v>4686.3900000000003</v>
      </c>
      <c r="K853" s="6">
        <f t="shared" si="27"/>
        <v>1562.13</v>
      </c>
    </row>
    <row r="854" spans="1:11" ht="14.5">
      <c r="A854" s="3">
        <v>0</v>
      </c>
      <c r="C854">
        <f t="shared" si="26"/>
        <v>1</v>
      </c>
      <c r="I854" s="3">
        <v>3994.18</v>
      </c>
      <c r="K854" s="6">
        <f t="shared" si="27"/>
        <v>3994.18</v>
      </c>
    </row>
    <row r="855" spans="1:11" ht="14.5">
      <c r="A855" s="3">
        <v>0</v>
      </c>
      <c r="C855">
        <f t="shared" si="26"/>
        <v>1</v>
      </c>
      <c r="I855" s="3">
        <v>3972.92</v>
      </c>
      <c r="K855" s="6">
        <f t="shared" si="27"/>
        <v>3972.92</v>
      </c>
    </row>
    <row r="856" spans="1:11" ht="14.5">
      <c r="A856" s="3">
        <v>1</v>
      </c>
      <c r="C856">
        <f t="shared" si="26"/>
        <v>2</v>
      </c>
      <c r="I856" s="3">
        <v>17626.240000000002</v>
      </c>
      <c r="K856" s="6">
        <f t="shared" si="27"/>
        <v>8813.1200000000008</v>
      </c>
    </row>
    <row r="857" spans="1:11" ht="14.5">
      <c r="A857" s="3">
        <v>1</v>
      </c>
      <c r="C857">
        <f t="shared" si="26"/>
        <v>2</v>
      </c>
      <c r="I857" s="3">
        <v>5148.55</v>
      </c>
      <c r="K857" s="6">
        <f t="shared" si="27"/>
        <v>2574.2750000000001</v>
      </c>
    </row>
    <row r="858" spans="1:11" ht="14.5">
      <c r="A858" s="3">
        <v>1</v>
      </c>
      <c r="C858">
        <f t="shared" si="26"/>
        <v>2</v>
      </c>
      <c r="I858" s="3">
        <v>19719.689999999999</v>
      </c>
      <c r="K858" s="6">
        <f t="shared" si="27"/>
        <v>9859.8449999999993</v>
      </c>
    </row>
    <row r="859" spans="1:11" ht="14.5">
      <c r="A859" s="3">
        <v>0</v>
      </c>
      <c r="C859">
        <f t="shared" si="26"/>
        <v>1</v>
      </c>
      <c r="I859" s="3">
        <v>17496.310000000001</v>
      </c>
      <c r="K859" s="6">
        <f t="shared" si="27"/>
        <v>17496.310000000001</v>
      </c>
    </row>
    <row r="860" spans="1:11" ht="14.5">
      <c r="A860" s="3">
        <v>2</v>
      </c>
      <c r="C860">
        <f t="shared" si="26"/>
        <v>3</v>
      </c>
      <c r="I860" s="3">
        <v>4673.3900000000003</v>
      </c>
      <c r="K860" s="6">
        <f t="shared" si="27"/>
        <v>1557.7966666666669</v>
      </c>
    </row>
    <row r="861" spans="1:11" ht="14.5">
      <c r="A861" s="3">
        <v>1</v>
      </c>
      <c r="C861">
        <f t="shared" si="26"/>
        <v>2</v>
      </c>
      <c r="I861" s="3">
        <v>4462.72</v>
      </c>
      <c r="K861" s="6">
        <f t="shared" si="27"/>
        <v>2231.36</v>
      </c>
    </row>
    <row r="862" spans="1:11" ht="14.5">
      <c r="A862" s="3">
        <v>1</v>
      </c>
      <c r="C862">
        <f t="shared" si="26"/>
        <v>2</v>
      </c>
      <c r="I862" s="3">
        <v>4562.84</v>
      </c>
      <c r="K862" s="6">
        <f t="shared" si="27"/>
        <v>2281.42</v>
      </c>
    </row>
    <row r="863" spans="1:11" ht="14.5">
      <c r="A863" s="3">
        <v>1</v>
      </c>
      <c r="C863">
        <f t="shared" si="26"/>
        <v>2</v>
      </c>
      <c r="I863" s="3">
        <v>4454.3999999999996</v>
      </c>
      <c r="K863" s="6">
        <f t="shared" si="27"/>
        <v>2227.1999999999998</v>
      </c>
    </row>
    <row r="864" spans="1:11" ht="14.5">
      <c r="A864" s="3">
        <v>1</v>
      </c>
      <c r="C864">
        <f t="shared" si="26"/>
        <v>2</v>
      </c>
      <c r="I864" s="3">
        <v>4076.5</v>
      </c>
      <c r="K864" s="6">
        <f t="shared" si="27"/>
        <v>2038.25</v>
      </c>
    </row>
    <row r="865" spans="1:11" ht="14.5">
      <c r="A865" s="3">
        <v>0</v>
      </c>
      <c r="C865">
        <f t="shared" si="26"/>
        <v>1</v>
      </c>
      <c r="I865" s="3">
        <v>3989.84</v>
      </c>
      <c r="K865" s="6">
        <f t="shared" si="27"/>
        <v>3989.84</v>
      </c>
    </row>
    <row r="866" spans="1:11" ht="14.5">
      <c r="A866" s="3">
        <v>2</v>
      </c>
      <c r="C866">
        <f t="shared" si="26"/>
        <v>3</v>
      </c>
      <c r="I866" s="3">
        <v>4670.6400000000003</v>
      </c>
      <c r="K866" s="6">
        <f t="shared" si="27"/>
        <v>1556.88</v>
      </c>
    </row>
    <row r="867" spans="1:11" ht="14.5">
      <c r="A867" s="3">
        <v>1</v>
      </c>
      <c r="C867">
        <f t="shared" si="26"/>
        <v>2</v>
      </c>
      <c r="I867" s="3">
        <v>37607.53</v>
      </c>
      <c r="K867" s="6">
        <f t="shared" si="27"/>
        <v>18803.764999999999</v>
      </c>
    </row>
    <row r="868" spans="1:11" ht="14.5">
      <c r="A868" s="3">
        <v>0</v>
      </c>
      <c r="C868">
        <f t="shared" si="26"/>
        <v>1</v>
      </c>
      <c r="I868" s="3">
        <v>4544.2299999999996</v>
      </c>
      <c r="K868" s="6">
        <f t="shared" si="27"/>
        <v>4544.2299999999996</v>
      </c>
    </row>
    <row r="869" spans="1:11" ht="14.5">
      <c r="A869" s="3">
        <v>0</v>
      </c>
      <c r="C869">
        <f t="shared" si="26"/>
        <v>1</v>
      </c>
      <c r="I869" s="3">
        <v>4357.04</v>
      </c>
      <c r="K869" s="6">
        <f t="shared" si="27"/>
        <v>4357.04</v>
      </c>
    </row>
    <row r="870" spans="1:11" ht="14.5">
      <c r="A870" s="3">
        <v>4</v>
      </c>
      <c r="C870">
        <f t="shared" si="26"/>
        <v>5</v>
      </c>
      <c r="I870" s="3">
        <v>21472.48</v>
      </c>
      <c r="K870" s="6">
        <f t="shared" si="27"/>
        <v>4294.4960000000001</v>
      </c>
    </row>
    <row r="871" spans="1:11" ht="14.5">
      <c r="A871" s="3">
        <v>0</v>
      </c>
      <c r="C871">
        <f t="shared" si="26"/>
        <v>1</v>
      </c>
      <c r="I871" s="3">
        <v>3756.62</v>
      </c>
      <c r="K871" s="6">
        <f t="shared" si="27"/>
        <v>3756.62</v>
      </c>
    </row>
    <row r="872" spans="1:11" ht="14.5">
      <c r="A872" s="3">
        <v>2</v>
      </c>
      <c r="C872">
        <f t="shared" si="26"/>
        <v>3</v>
      </c>
      <c r="I872" s="3">
        <v>38711</v>
      </c>
      <c r="K872" s="6">
        <f t="shared" si="27"/>
        <v>12903.666666666666</v>
      </c>
    </row>
    <row r="873" spans="1:11" ht="14.5">
      <c r="A873" s="3">
        <v>2</v>
      </c>
      <c r="C873">
        <f t="shared" si="26"/>
        <v>3</v>
      </c>
      <c r="I873" s="3">
        <v>4949.76</v>
      </c>
      <c r="K873" s="6">
        <f t="shared" si="27"/>
        <v>1649.92</v>
      </c>
    </row>
    <row r="874" spans="1:11" ht="14.5">
      <c r="A874" s="3">
        <v>5</v>
      </c>
      <c r="C874">
        <f t="shared" si="26"/>
        <v>6</v>
      </c>
      <c r="I874" s="3">
        <v>6799.46</v>
      </c>
      <c r="K874" s="6">
        <f t="shared" si="27"/>
        <v>1133.2433333333333</v>
      </c>
    </row>
    <row r="875" spans="1:11" ht="14.5">
      <c r="A875" s="3">
        <v>1</v>
      </c>
      <c r="C875">
        <f t="shared" si="26"/>
        <v>2</v>
      </c>
      <c r="I875" s="3">
        <v>4441.21</v>
      </c>
      <c r="K875" s="6">
        <f t="shared" si="27"/>
        <v>2220.605</v>
      </c>
    </row>
    <row r="876" spans="1:11" ht="14.5">
      <c r="A876" s="3">
        <v>2</v>
      </c>
      <c r="C876">
        <f t="shared" si="26"/>
        <v>3</v>
      </c>
      <c r="I876" s="3">
        <v>4463.21</v>
      </c>
      <c r="K876" s="6">
        <f t="shared" si="27"/>
        <v>1487.7366666666667</v>
      </c>
    </row>
    <row r="877" spans="1:11" ht="14.5">
      <c r="A877" s="3">
        <v>3</v>
      </c>
      <c r="C877">
        <f t="shared" si="26"/>
        <v>4</v>
      </c>
      <c r="I877" s="3">
        <v>38746.36</v>
      </c>
      <c r="K877" s="6">
        <f t="shared" si="27"/>
        <v>9686.59</v>
      </c>
    </row>
    <row r="878" spans="1:11" ht="14.5">
      <c r="A878" s="3">
        <v>0</v>
      </c>
      <c r="C878">
        <f t="shared" si="26"/>
        <v>1</v>
      </c>
      <c r="I878" s="3">
        <v>3260.2</v>
      </c>
      <c r="K878" s="6">
        <f t="shared" si="27"/>
        <v>3260.2</v>
      </c>
    </row>
    <row r="879" spans="1:11" ht="14.5">
      <c r="A879" s="3">
        <v>1</v>
      </c>
      <c r="C879">
        <f t="shared" si="26"/>
        <v>2</v>
      </c>
      <c r="I879" s="3">
        <v>4243.59</v>
      </c>
      <c r="K879" s="6">
        <f t="shared" si="27"/>
        <v>2121.7950000000001</v>
      </c>
    </row>
    <row r="880" spans="1:11" ht="14.5">
      <c r="A880" s="3">
        <v>1</v>
      </c>
      <c r="C880">
        <f t="shared" si="26"/>
        <v>2</v>
      </c>
      <c r="I880" s="3">
        <v>4738.2700000000004</v>
      </c>
      <c r="K880" s="6">
        <f t="shared" si="27"/>
        <v>2369.1350000000002</v>
      </c>
    </row>
    <row r="881" spans="1:11" ht="14.5">
      <c r="A881" s="3">
        <v>0</v>
      </c>
      <c r="C881">
        <f t="shared" si="26"/>
        <v>1</v>
      </c>
      <c r="I881" s="3">
        <v>4347.0200000000004</v>
      </c>
      <c r="K881" s="6">
        <f t="shared" si="27"/>
        <v>4347.0200000000004</v>
      </c>
    </row>
    <row r="882" spans="1:11" ht="14.5">
      <c r="A882" s="3">
        <v>2</v>
      </c>
      <c r="C882">
        <f t="shared" si="26"/>
        <v>3</v>
      </c>
      <c r="I882" s="3">
        <v>4931.6499999999996</v>
      </c>
      <c r="K882" s="6">
        <f t="shared" si="27"/>
        <v>1643.8833333333332</v>
      </c>
    </row>
    <row r="883" spans="1:11" ht="14.5">
      <c r="A883" s="3">
        <v>0</v>
      </c>
      <c r="C883">
        <f t="shared" si="26"/>
        <v>1</v>
      </c>
      <c r="I883" s="3">
        <v>3857.76</v>
      </c>
      <c r="K883" s="6">
        <f t="shared" si="27"/>
        <v>3857.76</v>
      </c>
    </row>
    <row r="884" spans="1:11" ht="14.5">
      <c r="A884" s="3">
        <v>0</v>
      </c>
      <c r="C884">
        <f t="shared" si="26"/>
        <v>1</v>
      </c>
      <c r="I884" s="3">
        <v>3761.29</v>
      </c>
      <c r="K884" s="6">
        <f t="shared" si="27"/>
        <v>3761.29</v>
      </c>
    </row>
    <row r="885" spans="1:11" ht="14.5">
      <c r="A885" s="3">
        <v>1</v>
      </c>
      <c r="C885">
        <f t="shared" si="26"/>
        <v>2</v>
      </c>
      <c r="I885" s="3">
        <v>58571.07</v>
      </c>
      <c r="K885" s="6">
        <f t="shared" si="27"/>
        <v>29285.535</v>
      </c>
    </row>
    <row r="886" spans="1:11" ht="14.5">
      <c r="A886" s="3">
        <v>3</v>
      </c>
      <c r="C886">
        <f t="shared" si="26"/>
        <v>4</v>
      </c>
      <c r="I886" s="3">
        <v>6113.23</v>
      </c>
      <c r="K886" s="6">
        <f t="shared" si="27"/>
        <v>1528.3074999999999</v>
      </c>
    </row>
    <row r="887" spans="1:11" ht="14.5">
      <c r="A887" s="3">
        <v>0</v>
      </c>
      <c r="C887">
        <f t="shared" si="26"/>
        <v>1</v>
      </c>
      <c r="I887" s="3">
        <v>3757.84</v>
      </c>
      <c r="K887" s="6">
        <f t="shared" si="27"/>
        <v>3757.84</v>
      </c>
    </row>
    <row r="888" spans="1:11" ht="14.5">
      <c r="A888" s="3">
        <v>2</v>
      </c>
      <c r="C888">
        <f t="shared" si="26"/>
        <v>3</v>
      </c>
      <c r="I888" s="3">
        <v>5031.2700000000004</v>
      </c>
      <c r="K888" s="6">
        <f t="shared" si="27"/>
        <v>1677.0900000000001</v>
      </c>
    </row>
    <row r="889" spans="1:11" ht="14.5">
      <c r="A889" s="3">
        <v>1</v>
      </c>
      <c r="C889">
        <f t="shared" si="26"/>
        <v>2</v>
      </c>
      <c r="I889" s="3">
        <v>4350.51</v>
      </c>
      <c r="K889" s="6">
        <f t="shared" si="27"/>
        <v>2175.2550000000001</v>
      </c>
    </row>
    <row r="890" spans="1:11" ht="14.5">
      <c r="A890" s="3">
        <v>1</v>
      </c>
      <c r="C890">
        <f t="shared" si="26"/>
        <v>2</v>
      </c>
      <c r="I890" s="3">
        <v>3875.73</v>
      </c>
      <c r="K890" s="6">
        <f t="shared" si="27"/>
        <v>1937.865</v>
      </c>
    </row>
    <row r="891" spans="1:11" ht="14.5">
      <c r="A891" s="3">
        <v>3</v>
      </c>
      <c r="C891">
        <f t="shared" si="26"/>
        <v>4</v>
      </c>
      <c r="I891" s="3">
        <v>19199.939999999999</v>
      </c>
      <c r="K891" s="6">
        <f t="shared" si="27"/>
        <v>4799.9849999999997</v>
      </c>
    </row>
    <row r="892" spans="1:11" ht="14.5">
      <c r="A892" s="3">
        <v>0</v>
      </c>
      <c r="C892">
        <f t="shared" si="26"/>
        <v>1</v>
      </c>
      <c r="I892" s="3">
        <v>19350.37</v>
      </c>
      <c r="K892" s="6">
        <f t="shared" si="27"/>
        <v>19350.37</v>
      </c>
    </row>
    <row r="893" spans="1:11" ht="14.5">
      <c r="A893" s="3">
        <v>2</v>
      </c>
      <c r="C893">
        <f t="shared" si="26"/>
        <v>3</v>
      </c>
      <c r="I893" s="3">
        <v>5327.4</v>
      </c>
      <c r="K893" s="6">
        <f t="shared" si="27"/>
        <v>1775.8</v>
      </c>
    </row>
    <row r="894" spans="1:11" ht="14.5">
      <c r="A894" s="3">
        <v>0</v>
      </c>
      <c r="C894">
        <f t="shared" si="26"/>
        <v>1</v>
      </c>
      <c r="I894" s="3">
        <v>4134.08</v>
      </c>
      <c r="K894" s="6">
        <f t="shared" si="27"/>
        <v>4134.08</v>
      </c>
    </row>
    <row r="895" spans="1:11" ht="14.5">
      <c r="A895" s="3">
        <v>2</v>
      </c>
      <c r="C895">
        <f t="shared" si="26"/>
        <v>3</v>
      </c>
      <c r="I895" s="3">
        <v>4934.71</v>
      </c>
      <c r="K895" s="6">
        <f t="shared" si="27"/>
        <v>1644.9033333333334</v>
      </c>
    </row>
    <row r="896" spans="1:11" ht="14.5">
      <c r="A896" s="3">
        <v>3</v>
      </c>
      <c r="C896">
        <f t="shared" si="26"/>
        <v>4</v>
      </c>
      <c r="I896" s="3">
        <v>5425.02</v>
      </c>
      <c r="K896" s="6">
        <f t="shared" si="27"/>
        <v>1356.2550000000001</v>
      </c>
    </row>
    <row r="897" spans="1:11" ht="14.5">
      <c r="A897" s="3">
        <v>1</v>
      </c>
      <c r="C897">
        <f t="shared" si="26"/>
        <v>2</v>
      </c>
      <c r="I897" s="3">
        <v>4239.8900000000003</v>
      </c>
      <c r="K897" s="6">
        <f t="shared" si="27"/>
        <v>2119.9450000000002</v>
      </c>
    </row>
    <row r="898" spans="1:11" ht="14.5">
      <c r="A898" s="3">
        <v>0</v>
      </c>
      <c r="C898">
        <f t="shared" si="26"/>
        <v>1</v>
      </c>
      <c r="I898" s="3">
        <v>36837.47</v>
      </c>
      <c r="K898" s="6">
        <f t="shared" si="27"/>
        <v>36837.47</v>
      </c>
    </row>
    <row r="899" spans="1:11" ht="14.5">
      <c r="A899" s="3">
        <v>1</v>
      </c>
      <c r="C899">
        <f t="shared" si="26"/>
        <v>2</v>
      </c>
      <c r="I899" s="3">
        <v>4149.74</v>
      </c>
      <c r="K899" s="6">
        <f t="shared" si="27"/>
        <v>2074.87</v>
      </c>
    </row>
    <row r="900" spans="1:11" ht="14.5">
      <c r="A900" s="3">
        <v>0</v>
      </c>
      <c r="C900">
        <f t="shared" si="26"/>
        <v>1</v>
      </c>
      <c r="I900" s="3">
        <v>3645.09</v>
      </c>
      <c r="K900" s="6">
        <f t="shared" si="27"/>
        <v>3645.09</v>
      </c>
    </row>
    <row r="901" spans="1:11" ht="14.5">
      <c r="A901" s="3">
        <v>3</v>
      </c>
      <c r="C901">
        <f t="shared" ref="C901:C964" si="28">1+A901</f>
        <v>4</v>
      </c>
      <c r="I901" s="3">
        <v>20745.990000000002</v>
      </c>
      <c r="K901" s="6">
        <f t="shared" ref="K901:K964" si="29">I901/C901</f>
        <v>5186.4975000000004</v>
      </c>
    </row>
    <row r="902" spans="1:11" ht="14.5">
      <c r="A902" s="3">
        <v>0</v>
      </c>
      <c r="C902">
        <f t="shared" si="28"/>
        <v>1</v>
      </c>
      <c r="I902" s="3">
        <v>36950.26</v>
      </c>
      <c r="K902" s="6">
        <f t="shared" si="29"/>
        <v>36950.26</v>
      </c>
    </row>
    <row r="903" spans="1:11" ht="14.5">
      <c r="A903" s="3">
        <v>3</v>
      </c>
      <c r="C903">
        <f t="shared" si="28"/>
        <v>4</v>
      </c>
      <c r="I903" s="3">
        <v>5325.65</v>
      </c>
      <c r="K903" s="6">
        <f t="shared" si="29"/>
        <v>1331.4124999999999</v>
      </c>
    </row>
    <row r="904" spans="1:11" ht="14.5">
      <c r="A904" s="3">
        <v>1</v>
      </c>
      <c r="C904">
        <f t="shared" si="28"/>
        <v>2</v>
      </c>
      <c r="I904" s="3">
        <v>4237.13</v>
      </c>
      <c r="K904" s="6">
        <f t="shared" si="29"/>
        <v>2118.5650000000001</v>
      </c>
    </row>
    <row r="905" spans="1:11" ht="14.5">
      <c r="A905" s="3">
        <v>1</v>
      </c>
      <c r="C905">
        <f t="shared" si="28"/>
        <v>2</v>
      </c>
      <c r="I905" s="3">
        <v>4151.03</v>
      </c>
      <c r="K905" s="6">
        <f t="shared" si="29"/>
        <v>2075.5149999999999</v>
      </c>
    </row>
    <row r="906" spans="1:11" ht="14.5">
      <c r="A906" s="3">
        <v>0</v>
      </c>
      <c r="C906">
        <f t="shared" si="28"/>
        <v>1</v>
      </c>
      <c r="I906" s="3">
        <v>3554.2</v>
      </c>
      <c r="K906" s="6">
        <f t="shared" si="29"/>
        <v>3554.2</v>
      </c>
    </row>
    <row r="907" spans="1:11" ht="14.5">
      <c r="A907" s="3">
        <v>1</v>
      </c>
      <c r="C907">
        <f t="shared" si="28"/>
        <v>2</v>
      </c>
      <c r="I907" s="3">
        <v>4032.24</v>
      </c>
      <c r="K907" s="6">
        <f t="shared" si="29"/>
        <v>2016.12</v>
      </c>
    </row>
    <row r="908" spans="1:11" ht="14.5">
      <c r="A908" s="3">
        <v>1</v>
      </c>
      <c r="C908">
        <f t="shared" si="28"/>
        <v>2</v>
      </c>
      <c r="I908" s="3">
        <v>19521.97</v>
      </c>
      <c r="K908" s="6">
        <f t="shared" si="29"/>
        <v>9760.9850000000006</v>
      </c>
    </row>
    <row r="909" spans="1:11" ht="14.5">
      <c r="A909" s="3">
        <v>2</v>
      </c>
      <c r="C909">
        <f t="shared" si="28"/>
        <v>3</v>
      </c>
      <c r="I909" s="3">
        <v>4753.6400000000003</v>
      </c>
      <c r="K909" s="6">
        <f t="shared" si="29"/>
        <v>1584.5466666666669</v>
      </c>
    </row>
    <row r="910" spans="1:11" ht="14.5">
      <c r="A910" s="3">
        <v>2</v>
      </c>
      <c r="C910">
        <f t="shared" si="28"/>
        <v>3</v>
      </c>
      <c r="I910" s="3">
        <v>39241.440000000002</v>
      </c>
      <c r="K910" s="6">
        <f t="shared" si="29"/>
        <v>13080.480000000001</v>
      </c>
    </row>
    <row r="911" spans="1:11" ht="14.5">
      <c r="A911" s="3">
        <v>1</v>
      </c>
      <c r="C911">
        <f t="shared" si="28"/>
        <v>2</v>
      </c>
      <c r="I911" s="3">
        <v>3659.35</v>
      </c>
      <c r="K911" s="6">
        <f t="shared" si="29"/>
        <v>1829.675</v>
      </c>
    </row>
    <row r="912" spans="1:11" ht="14.5">
      <c r="A912" s="3">
        <v>3</v>
      </c>
      <c r="C912">
        <f t="shared" si="28"/>
        <v>4</v>
      </c>
      <c r="I912" s="3">
        <v>4837.58</v>
      </c>
      <c r="K912" s="6">
        <f t="shared" si="29"/>
        <v>1209.395</v>
      </c>
    </row>
    <row r="913" spans="1:11" ht="14.5">
      <c r="A913" s="3">
        <v>3</v>
      </c>
      <c r="C913">
        <f t="shared" si="28"/>
        <v>4</v>
      </c>
      <c r="I913" s="3">
        <v>40932.43</v>
      </c>
      <c r="K913" s="6">
        <f t="shared" si="29"/>
        <v>10233.1075</v>
      </c>
    </row>
    <row r="914" spans="1:11" ht="14.5">
      <c r="A914" s="3">
        <v>3</v>
      </c>
      <c r="C914">
        <f t="shared" si="28"/>
        <v>4</v>
      </c>
      <c r="I914" s="3">
        <v>5428.73</v>
      </c>
      <c r="K914" s="6">
        <f t="shared" si="29"/>
        <v>1357.1824999999999</v>
      </c>
    </row>
    <row r="915" spans="1:11" ht="14.5">
      <c r="A915" s="3">
        <v>3</v>
      </c>
      <c r="C915">
        <f t="shared" si="28"/>
        <v>4</v>
      </c>
      <c r="I915" s="3">
        <v>18259.22</v>
      </c>
      <c r="K915" s="6">
        <f t="shared" si="29"/>
        <v>4564.8050000000003</v>
      </c>
    </row>
    <row r="916" spans="1:11" ht="14.5">
      <c r="A916" s="3">
        <v>2</v>
      </c>
      <c r="C916">
        <f t="shared" si="28"/>
        <v>3</v>
      </c>
      <c r="I916" s="3">
        <v>4266.17</v>
      </c>
      <c r="K916" s="6">
        <f t="shared" si="29"/>
        <v>1422.0566666666666</v>
      </c>
    </row>
    <row r="917" spans="1:11" ht="14.5">
      <c r="A917" s="3">
        <v>1</v>
      </c>
      <c r="C917">
        <f t="shared" si="28"/>
        <v>2</v>
      </c>
      <c r="I917" s="3">
        <v>4719.5200000000004</v>
      </c>
      <c r="K917" s="6">
        <f t="shared" si="29"/>
        <v>2359.7600000000002</v>
      </c>
    </row>
    <row r="918" spans="1:11" ht="14.5">
      <c r="A918" s="3">
        <v>1</v>
      </c>
      <c r="C918">
        <f t="shared" si="28"/>
        <v>2</v>
      </c>
      <c r="I918" s="3">
        <v>4527.18</v>
      </c>
      <c r="K918" s="6">
        <f t="shared" si="29"/>
        <v>2263.59</v>
      </c>
    </row>
    <row r="919" spans="1:11" ht="14.5">
      <c r="A919" s="3">
        <v>2</v>
      </c>
      <c r="C919">
        <f t="shared" si="28"/>
        <v>3</v>
      </c>
      <c r="I919" s="3">
        <v>17361.77</v>
      </c>
      <c r="K919" s="6">
        <f t="shared" si="29"/>
        <v>5787.2566666666671</v>
      </c>
    </row>
    <row r="920" spans="1:11" ht="14.5">
      <c r="A920" s="3">
        <v>0</v>
      </c>
      <c r="C920">
        <f t="shared" si="28"/>
        <v>1</v>
      </c>
      <c r="I920" s="3">
        <v>4137.5200000000004</v>
      </c>
      <c r="K920" s="6">
        <f t="shared" si="29"/>
        <v>4137.5200000000004</v>
      </c>
    </row>
    <row r="921" spans="1:11" ht="14.5">
      <c r="A921" s="3">
        <v>3</v>
      </c>
      <c r="C921">
        <f t="shared" si="28"/>
        <v>4</v>
      </c>
      <c r="I921" s="3">
        <v>5693.43</v>
      </c>
      <c r="K921" s="6">
        <f t="shared" si="29"/>
        <v>1423.3575000000001</v>
      </c>
    </row>
    <row r="922" spans="1:11" ht="14.5">
      <c r="A922" s="3">
        <v>1</v>
      </c>
      <c r="C922">
        <f t="shared" si="28"/>
        <v>2</v>
      </c>
      <c r="I922" s="3">
        <v>18963.169999999998</v>
      </c>
      <c r="K922" s="6">
        <f t="shared" si="29"/>
        <v>9481.5849999999991</v>
      </c>
    </row>
    <row r="923" spans="1:11" ht="14.5">
      <c r="A923" s="3">
        <v>1</v>
      </c>
      <c r="C923">
        <f t="shared" si="28"/>
        <v>2</v>
      </c>
      <c r="I923" s="3">
        <v>4718.2</v>
      </c>
      <c r="K923" s="6">
        <f t="shared" si="29"/>
        <v>2359.1</v>
      </c>
    </row>
    <row r="924" spans="1:11" ht="14.5">
      <c r="A924" s="3">
        <v>3</v>
      </c>
      <c r="C924">
        <f t="shared" si="28"/>
        <v>4</v>
      </c>
      <c r="I924" s="3">
        <v>18765.88</v>
      </c>
      <c r="K924" s="6">
        <f t="shared" si="29"/>
        <v>4691.47</v>
      </c>
    </row>
    <row r="925" spans="1:11" ht="14.5">
      <c r="A925" s="3">
        <v>1</v>
      </c>
      <c r="C925">
        <f t="shared" si="28"/>
        <v>2</v>
      </c>
      <c r="I925" s="3">
        <v>3947.41</v>
      </c>
      <c r="K925" s="6">
        <f t="shared" si="29"/>
        <v>1973.7049999999999</v>
      </c>
    </row>
    <row r="926" spans="1:11" ht="14.5">
      <c r="A926" s="3">
        <v>0</v>
      </c>
      <c r="C926">
        <f t="shared" si="28"/>
        <v>1</v>
      </c>
      <c r="I926" s="3">
        <v>2867.12</v>
      </c>
      <c r="K926" s="6">
        <f t="shared" si="29"/>
        <v>2867.12</v>
      </c>
    </row>
    <row r="927" spans="1:11" ht="14.5">
      <c r="A927" s="3">
        <v>1</v>
      </c>
      <c r="C927">
        <f t="shared" si="28"/>
        <v>2</v>
      </c>
      <c r="I927" s="3">
        <v>19107.78</v>
      </c>
      <c r="K927" s="6">
        <f t="shared" si="29"/>
        <v>9553.89</v>
      </c>
    </row>
    <row r="928" spans="1:11" ht="14.5">
      <c r="A928" s="3">
        <v>2</v>
      </c>
      <c r="C928">
        <f t="shared" si="28"/>
        <v>3</v>
      </c>
      <c r="I928" s="3">
        <v>18157.88</v>
      </c>
      <c r="K928" s="6">
        <f t="shared" si="29"/>
        <v>6052.626666666667</v>
      </c>
    </row>
    <row r="929" spans="1:11" ht="14.5">
      <c r="A929" s="3">
        <v>3</v>
      </c>
      <c r="C929">
        <f t="shared" si="28"/>
        <v>4</v>
      </c>
      <c r="I929" s="3">
        <v>5138.26</v>
      </c>
      <c r="K929" s="6">
        <f t="shared" si="29"/>
        <v>1284.5650000000001</v>
      </c>
    </row>
    <row r="930" spans="1:11" ht="14.5">
      <c r="A930" s="3">
        <v>2</v>
      </c>
      <c r="C930">
        <f t="shared" si="28"/>
        <v>3</v>
      </c>
      <c r="I930" s="3">
        <v>4922.92</v>
      </c>
      <c r="K930" s="6">
        <f t="shared" si="29"/>
        <v>1640.9733333333334</v>
      </c>
    </row>
    <row r="931" spans="1:11" ht="14.5">
      <c r="A931" s="3">
        <v>1</v>
      </c>
      <c r="C931">
        <f t="shared" si="28"/>
        <v>2</v>
      </c>
      <c r="I931" s="3">
        <v>4040.56</v>
      </c>
      <c r="K931" s="6">
        <f t="shared" si="29"/>
        <v>2020.28</v>
      </c>
    </row>
    <row r="932" spans="1:11" ht="14.5">
      <c r="A932" s="3">
        <v>1</v>
      </c>
      <c r="C932">
        <f t="shared" si="28"/>
        <v>2</v>
      </c>
      <c r="I932" s="3">
        <v>20277.810000000001</v>
      </c>
      <c r="K932" s="6">
        <f t="shared" si="29"/>
        <v>10138.905000000001</v>
      </c>
    </row>
    <row r="933" spans="1:11" ht="14.5">
      <c r="A933" s="3">
        <v>2</v>
      </c>
      <c r="C933">
        <f t="shared" si="28"/>
        <v>3</v>
      </c>
      <c r="I933" s="3">
        <v>19442.349999999999</v>
      </c>
      <c r="K933" s="6">
        <f t="shared" si="29"/>
        <v>6480.7833333333328</v>
      </c>
    </row>
    <row r="934" spans="1:11" ht="14.5">
      <c r="A934" s="3">
        <v>0</v>
      </c>
      <c r="C934">
        <f t="shared" si="28"/>
        <v>1</v>
      </c>
      <c r="I934" s="3">
        <v>2866.09</v>
      </c>
      <c r="K934" s="6">
        <f t="shared" si="29"/>
        <v>2866.09</v>
      </c>
    </row>
    <row r="935" spans="1:11" ht="14.5">
      <c r="A935" s="3">
        <v>2</v>
      </c>
      <c r="C935">
        <f t="shared" si="28"/>
        <v>3</v>
      </c>
      <c r="I935" s="3">
        <v>4906.41</v>
      </c>
      <c r="K935" s="6">
        <f t="shared" si="29"/>
        <v>1635.47</v>
      </c>
    </row>
    <row r="936" spans="1:11" ht="14.5">
      <c r="A936" s="3">
        <v>0</v>
      </c>
      <c r="C936">
        <f t="shared" si="28"/>
        <v>1</v>
      </c>
      <c r="I936" s="3">
        <v>36197.699999999997</v>
      </c>
      <c r="K936" s="6">
        <f t="shared" si="29"/>
        <v>36197.699999999997</v>
      </c>
    </row>
    <row r="937" spans="1:11" ht="14.5">
      <c r="A937" s="3">
        <v>0</v>
      </c>
      <c r="C937">
        <f t="shared" si="28"/>
        <v>1</v>
      </c>
      <c r="I937" s="3">
        <v>3736.46</v>
      </c>
      <c r="K937" s="6">
        <f t="shared" si="29"/>
        <v>3736.46</v>
      </c>
    </row>
    <row r="938" spans="1:11" ht="14.5">
      <c r="A938" s="3">
        <v>0</v>
      </c>
      <c r="C938">
        <f t="shared" si="28"/>
        <v>1</v>
      </c>
      <c r="I938" s="3">
        <v>3366.67</v>
      </c>
      <c r="K938" s="6">
        <f t="shared" si="29"/>
        <v>3366.67</v>
      </c>
    </row>
    <row r="939" spans="1:11" ht="14.5">
      <c r="A939" s="3">
        <v>0</v>
      </c>
      <c r="C939">
        <f t="shared" si="28"/>
        <v>1</v>
      </c>
      <c r="I939" s="3">
        <v>3943.6</v>
      </c>
      <c r="K939" s="6">
        <f t="shared" si="29"/>
        <v>3943.6</v>
      </c>
    </row>
    <row r="940" spans="1:11" ht="14.5">
      <c r="A940" s="3">
        <v>1</v>
      </c>
      <c r="C940">
        <f t="shared" si="28"/>
        <v>2</v>
      </c>
      <c r="I940" s="3">
        <v>16657.72</v>
      </c>
      <c r="K940" s="6">
        <f t="shared" si="29"/>
        <v>8328.86</v>
      </c>
    </row>
    <row r="941" spans="1:11" ht="14.5">
      <c r="A941" s="3">
        <v>2</v>
      </c>
      <c r="C941">
        <f t="shared" si="28"/>
        <v>3</v>
      </c>
      <c r="I941" s="3">
        <v>44585.46</v>
      </c>
      <c r="K941" s="6">
        <f t="shared" si="29"/>
        <v>14861.82</v>
      </c>
    </row>
    <row r="942" spans="1:11" ht="14.5">
      <c r="A942" s="3">
        <v>3</v>
      </c>
      <c r="C942">
        <f t="shared" si="28"/>
        <v>4</v>
      </c>
      <c r="I942" s="3">
        <v>5209.58</v>
      </c>
      <c r="K942" s="6">
        <f t="shared" si="29"/>
        <v>1302.395</v>
      </c>
    </row>
    <row r="943" spans="1:11" ht="14.5">
      <c r="A943" s="3">
        <v>0</v>
      </c>
      <c r="C943">
        <f t="shared" si="28"/>
        <v>1</v>
      </c>
      <c r="I943" s="3">
        <v>3353.28</v>
      </c>
      <c r="K943" s="6">
        <f t="shared" si="29"/>
        <v>3353.28</v>
      </c>
    </row>
    <row r="944" spans="1:11" ht="14.5">
      <c r="A944" s="3">
        <v>0</v>
      </c>
      <c r="C944">
        <f t="shared" si="28"/>
        <v>1</v>
      </c>
      <c r="I944" s="3">
        <v>16138.76</v>
      </c>
      <c r="K944" s="6">
        <f t="shared" si="29"/>
        <v>16138.76</v>
      </c>
    </row>
    <row r="945" spans="1:11" ht="14.5">
      <c r="A945" s="3">
        <v>2</v>
      </c>
      <c r="C945">
        <f t="shared" si="28"/>
        <v>3</v>
      </c>
      <c r="I945" s="3">
        <v>4433.3900000000003</v>
      </c>
      <c r="K945" s="6">
        <f t="shared" si="29"/>
        <v>1477.7966666666669</v>
      </c>
    </row>
    <row r="946" spans="1:11" ht="14.5">
      <c r="A946" s="3">
        <v>4</v>
      </c>
      <c r="C946">
        <f t="shared" si="28"/>
        <v>5</v>
      </c>
      <c r="I946" s="3">
        <v>5708.87</v>
      </c>
      <c r="K946" s="6">
        <f t="shared" si="29"/>
        <v>1141.7739999999999</v>
      </c>
    </row>
    <row r="947" spans="1:11" ht="14.5">
      <c r="A947" s="3">
        <v>1</v>
      </c>
      <c r="C947">
        <f t="shared" si="28"/>
        <v>2</v>
      </c>
      <c r="I947" s="3">
        <v>3471.41</v>
      </c>
      <c r="K947" s="6">
        <f t="shared" si="29"/>
        <v>1735.7049999999999</v>
      </c>
    </row>
    <row r="948" spans="1:11" ht="14.5">
      <c r="A948" s="3">
        <v>2</v>
      </c>
      <c r="C948">
        <f t="shared" si="28"/>
        <v>3</v>
      </c>
      <c r="I948" s="3">
        <v>4529.4799999999996</v>
      </c>
      <c r="K948" s="6">
        <f t="shared" si="29"/>
        <v>1509.8266666666666</v>
      </c>
    </row>
    <row r="949" spans="1:11" ht="14.5">
      <c r="A949" s="3">
        <v>2</v>
      </c>
      <c r="C949">
        <f t="shared" si="28"/>
        <v>3</v>
      </c>
      <c r="I949" s="3">
        <v>4433.92</v>
      </c>
      <c r="K949" s="6">
        <f t="shared" si="29"/>
        <v>1477.9733333333334</v>
      </c>
    </row>
    <row r="950" spans="1:11" ht="14.5">
      <c r="A950" s="3">
        <v>2</v>
      </c>
      <c r="C950">
        <f t="shared" si="28"/>
        <v>3</v>
      </c>
      <c r="I950" s="3">
        <v>4058.12</v>
      </c>
      <c r="K950" s="6">
        <f t="shared" si="29"/>
        <v>1352.7066666666667</v>
      </c>
    </row>
    <row r="951" spans="1:11" ht="14.5">
      <c r="A951" s="3">
        <v>0</v>
      </c>
      <c r="C951">
        <f t="shared" si="28"/>
        <v>1</v>
      </c>
      <c r="I951" s="3">
        <v>16115.3</v>
      </c>
      <c r="K951" s="6">
        <f t="shared" si="29"/>
        <v>16115.3</v>
      </c>
    </row>
    <row r="952" spans="1:11" ht="14.5">
      <c r="A952" s="3">
        <v>3</v>
      </c>
      <c r="C952">
        <f t="shared" si="28"/>
        <v>4</v>
      </c>
      <c r="I952" s="3">
        <v>4449.46</v>
      </c>
      <c r="K952" s="6">
        <f t="shared" si="29"/>
        <v>1112.365</v>
      </c>
    </row>
    <row r="953" spans="1:11" ht="14.5">
      <c r="A953" s="3">
        <v>1</v>
      </c>
      <c r="C953">
        <f t="shared" si="28"/>
        <v>2</v>
      </c>
      <c r="I953" s="3">
        <v>51194.559999999998</v>
      </c>
      <c r="K953" s="6">
        <f t="shared" si="29"/>
        <v>25597.279999999999</v>
      </c>
    </row>
    <row r="954" spans="1:11" ht="14.5">
      <c r="A954" s="3">
        <v>0</v>
      </c>
      <c r="C954">
        <f t="shared" si="28"/>
        <v>1</v>
      </c>
      <c r="I954" s="3">
        <v>3556.92</v>
      </c>
      <c r="K954" s="6">
        <f t="shared" si="29"/>
        <v>3556.92</v>
      </c>
    </row>
    <row r="955" spans="1:11" ht="14.5">
      <c r="A955" s="3">
        <v>1</v>
      </c>
      <c r="C955">
        <f t="shared" si="28"/>
        <v>2</v>
      </c>
      <c r="I955" s="3">
        <v>4133.6400000000003</v>
      </c>
      <c r="K955" s="6">
        <f t="shared" si="29"/>
        <v>2066.8200000000002</v>
      </c>
    </row>
    <row r="956" spans="1:11" ht="14.5">
      <c r="A956" s="3">
        <v>3</v>
      </c>
      <c r="C956">
        <f t="shared" si="28"/>
        <v>4</v>
      </c>
      <c r="I956" s="3">
        <v>17663.14</v>
      </c>
      <c r="K956" s="6">
        <f t="shared" si="29"/>
        <v>4415.7849999999999</v>
      </c>
    </row>
    <row r="957" spans="1:11" ht="14.5">
      <c r="A957" s="3">
        <v>1</v>
      </c>
      <c r="C957">
        <f t="shared" si="28"/>
        <v>2</v>
      </c>
      <c r="I957" s="3">
        <v>3766.88</v>
      </c>
      <c r="K957" s="6">
        <f t="shared" si="29"/>
        <v>1883.44</v>
      </c>
    </row>
    <row r="958" spans="1:11" ht="14.5">
      <c r="A958" s="3">
        <v>1</v>
      </c>
      <c r="C958">
        <f t="shared" si="28"/>
        <v>2</v>
      </c>
      <c r="I958" s="3">
        <v>4337.74</v>
      </c>
      <c r="K958" s="6">
        <f t="shared" si="29"/>
        <v>2168.87</v>
      </c>
    </row>
    <row r="959" spans="1:11" ht="14.5">
      <c r="A959" s="3">
        <v>0</v>
      </c>
      <c r="C959">
        <f t="shared" si="28"/>
        <v>1</v>
      </c>
      <c r="I959" s="3">
        <v>2689.5</v>
      </c>
      <c r="K959" s="6">
        <f t="shared" si="29"/>
        <v>2689.5</v>
      </c>
    </row>
    <row r="960" spans="1:11" ht="14.5">
      <c r="A960" s="3">
        <v>0</v>
      </c>
      <c r="C960">
        <f t="shared" si="28"/>
        <v>1</v>
      </c>
      <c r="I960" s="3">
        <v>3172.02</v>
      </c>
      <c r="K960" s="6">
        <f t="shared" si="29"/>
        <v>3172.02</v>
      </c>
    </row>
    <row r="961" spans="1:11" ht="14.5">
      <c r="A961" s="3">
        <v>2</v>
      </c>
      <c r="C961">
        <f t="shared" si="28"/>
        <v>3</v>
      </c>
      <c r="I961" s="3">
        <v>4349.46</v>
      </c>
      <c r="K961" s="6">
        <f t="shared" si="29"/>
        <v>1449.82</v>
      </c>
    </row>
    <row r="962" spans="1:11" ht="14.5">
      <c r="A962" s="3">
        <v>2</v>
      </c>
      <c r="C962">
        <f t="shared" si="28"/>
        <v>3</v>
      </c>
      <c r="I962" s="3">
        <v>20177.669999999998</v>
      </c>
      <c r="K962" s="6">
        <f t="shared" si="29"/>
        <v>6725.8899999999994</v>
      </c>
    </row>
    <row r="963" spans="1:11" ht="14.5">
      <c r="A963" s="3">
        <v>1</v>
      </c>
      <c r="C963">
        <f t="shared" si="28"/>
        <v>2</v>
      </c>
      <c r="I963" s="3">
        <v>23288.93</v>
      </c>
      <c r="K963" s="6">
        <f t="shared" si="29"/>
        <v>11644.465</v>
      </c>
    </row>
    <row r="964" spans="1:11" ht="14.5">
      <c r="A964" s="3">
        <v>0</v>
      </c>
      <c r="C964">
        <f t="shared" si="28"/>
        <v>1</v>
      </c>
      <c r="I964" s="3">
        <v>3268.85</v>
      </c>
      <c r="K964" s="6">
        <f t="shared" si="29"/>
        <v>3268.85</v>
      </c>
    </row>
    <row r="965" spans="1:11" ht="14.5">
      <c r="A965" s="3">
        <v>2</v>
      </c>
      <c r="C965">
        <f t="shared" ref="C965:C1028" si="30">1+A965</f>
        <v>3</v>
      </c>
      <c r="I965" s="3">
        <v>3847.67</v>
      </c>
      <c r="K965" s="6">
        <f t="shared" ref="K965:K1028" si="31">I965/C965</f>
        <v>1282.5566666666666</v>
      </c>
    </row>
    <row r="966" spans="1:11" ht="14.5">
      <c r="A966" s="3">
        <v>2</v>
      </c>
      <c r="C966">
        <f t="shared" si="30"/>
        <v>3</v>
      </c>
      <c r="I966" s="3">
        <v>4435.09</v>
      </c>
      <c r="K966" s="6">
        <f t="shared" si="31"/>
        <v>1478.3633333333335</v>
      </c>
    </row>
    <row r="967" spans="1:11" ht="14.5">
      <c r="A967" s="3">
        <v>0</v>
      </c>
      <c r="C967">
        <f t="shared" si="30"/>
        <v>1</v>
      </c>
      <c r="I967" s="3">
        <v>3062.51</v>
      </c>
      <c r="K967" s="6">
        <f t="shared" si="31"/>
        <v>3062.51</v>
      </c>
    </row>
    <row r="968" spans="1:11" ht="14.5">
      <c r="A968" s="3">
        <v>2</v>
      </c>
      <c r="C968">
        <f t="shared" si="30"/>
        <v>3</v>
      </c>
      <c r="I968" s="3">
        <v>4428.8900000000003</v>
      </c>
      <c r="K968" s="6">
        <f t="shared" si="31"/>
        <v>1476.2966666666669</v>
      </c>
    </row>
    <row r="969" spans="1:11" ht="14.5">
      <c r="A969" s="3">
        <v>2</v>
      </c>
      <c r="C969">
        <f t="shared" si="30"/>
        <v>3</v>
      </c>
      <c r="I969" s="3">
        <v>4719.74</v>
      </c>
      <c r="K969" s="6">
        <f t="shared" si="31"/>
        <v>1573.2466666666667</v>
      </c>
    </row>
    <row r="970" spans="1:11" ht="14.5">
      <c r="A970" s="3">
        <v>2</v>
      </c>
      <c r="C970">
        <f t="shared" si="30"/>
        <v>3</v>
      </c>
      <c r="I970" s="3">
        <v>4438.26</v>
      </c>
      <c r="K970" s="6">
        <f t="shared" si="31"/>
        <v>1479.42</v>
      </c>
    </row>
    <row r="971" spans="1:11" ht="14.5">
      <c r="A971" s="3">
        <v>0</v>
      </c>
      <c r="C971">
        <f t="shared" si="30"/>
        <v>1</v>
      </c>
      <c r="I971" s="3">
        <v>3161.45</v>
      </c>
      <c r="K971" s="6">
        <f t="shared" si="31"/>
        <v>3161.45</v>
      </c>
    </row>
    <row r="972" spans="1:11" ht="14.5">
      <c r="A972" s="3">
        <v>0</v>
      </c>
      <c r="C972">
        <f t="shared" si="30"/>
        <v>1</v>
      </c>
      <c r="I972" s="3">
        <v>34672.15</v>
      </c>
      <c r="K972" s="6">
        <f t="shared" si="31"/>
        <v>34672.15</v>
      </c>
    </row>
    <row r="973" spans="1:11" ht="14.5">
      <c r="A973" s="3">
        <v>3</v>
      </c>
      <c r="C973">
        <f t="shared" si="30"/>
        <v>4</v>
      </c>
      <c r="I973" s="3">
        <v>5312.17</v>
      </c>
      <c r="K973" s="6">
        <f t="shared" si="31"/>
        <v>1328.0425</v>
      </c>
    </row>
    <row r="974" spans="1:11" ht="14.5">
      <c r="A974" s="3">
        <v>0</v>
      </c>
      <c r="C974">
        <f t="shared" si="30"/>
        <v>1</v>
      </c>
      <c r="I974" s="3">
        <v>19673.34</v>
      </c>
      <c r="K974" s="6">
        <f t="shared" si="31"/>
        <v>19673.34</v>
      </c>
    </row>
    <row r="975" spans="1:11" ht="14.5">
      <c r="A975" s="3">
        <v>0</v>
      </c>
      <c r="C975">
        <f t="shared" si="30"/>
        <v>1</v>
      </c>
      <c r="I975" s="3">
        <v>3171.61</v>
      </c>
      <c r="K975" s="6">
        <f t="shared" si="31"/>
        <v>3171.61</v>
      </c>
    </row>
    <row r="976" spans="1:11" ht="14.5">
      <c r="A976" s="3">
        <v>5</v>
      </c>
      <c r="C976">
        <f t="shared" si="30"/>
        <v>6</v>
      </c>
      <c r="I976" s="3">
        <v>5615.37</v>
      </c>
      <c r="K976" s="6">
        <f t="shared" si="31"/>
        <v>935.89499999999998</v>
      </c>
    </row>
    <row r="977" spans="1:11" ht="14.5">
      <c r="A977" s="3">
        <v>1</v>
      </c>
      <c r="C977">
        <f t="shared" si="30"/>
        <v>2</v>
      </c>
      <c r="I977" s="3">
        <v>3277.16</v>
      </c>
      <c r="K977" s="6">
        <f t="shared" si="31"/>
        <v>1638.58</v>
      </c>
    </row>
    <row r="978" spans="1:11" ht="14.5">
      <c r="A978" s="3">
        <v>0</v>
      </c>
      <c r="C978">
        <f t="shared" si="30"/>
        <v>1</v>
      </c>
      <c r="I978" s="3">
        <v>3732.63</v>
      </c>
      <c r="K978" s="6">
        <f t="shared" si="31"/>
        <v>3732.63</v>
      </c>
    </row>
    <row r="979" spans="1:11" ht="14.5">
      <c r="A979" s="3">
        <v>2</v>
      </c>
      <c r="C979">
        <f t="shared" si="30"/>
        <v>3</v>
      </c>
      <c r="I979" s="3">
        <v>4340.4399999999996</v>
      </c>
      <c r="K979" s="6">
        <f t="shared" si="31"/>
        <v>1446.8133333333333</v>
      </c>
    </row>
    <row r="980" spans="1:11" ht="14.5">
      <c r="A980" s="3">
        <v>0</v>
      </c>
      <c r="C980">
        <f t="shared" si="30"/>
        <v>1</v>
      </c>
      <c r="I980" s="3">
        <v>39611.760000000002</v>
      </c>
      <c r="K980" s="6">
        <f t="shared" si="31"/>
        <v>39611.760000000002</v>
      </c>
    </row>
    <row r="981" spans="1:11" ht="14.5">
      <c r="A981" s="3">
        <v>0</v>
      </c>
      <c r="C981">
        <f t="shared" si="30"/>
        <v>1</v>
      </c>
      <c r="I981" s="3">
        <v>16577.78</v>
      </c>
      <c r="K981" s="6">
        <f t="shared" si="31"/>
        <v>16577.78</v>
      </c>
    </row>
    <row r="982" spans="1:11" ht="14.5">
      <c r="A982" s="3">
        <v>3</v>
      </c>
      <c r="C982">
        <f t="shared" si="30"/>
        <v>4</v>
      </c>
      <c r="I982" s="3">
        <v>4827.8999999999996</v>
      </c>
      <c r="K982" s="6">
        <f t="shared" si="31"/>
        <v>1206.9749999999999</v>
      </c>
    </row>
    <row r="983" spans="1:11" ht="14.5">
      <c r="A983" s="3">
        <v>0</v>
      </c>
      <c r="C983">
        <f t="shared" si="30"/>
        <v>1</v>
      </c>
      <c r="I983" s="3">
        <v>37133.9</v>
      </c>
      <c r="K983" s="6">
        <f t="shared" si="31"/>
        <v>37133.9</v>
      </c>
    </row>
    <row r="984" spans="1:11" ht="14.5">
      <c r="A984" s="3">
        <v>0</v>
      </c>
      <c r="C984">
        <f t="shared" si="30"/>
        <v>1</v>
      </c>
      <c r="I984" s="3">
        <v>2483.7399999999998</v>
      </c>
      <c r="K984" s="6">
        <f t="shared" si="31"/>
        <v>2483.7399999999998</v>
      </c>
    </row>
    <row r="985" spans="1:11" ht="14.5">
      <c r="A985" s="3">
        <v>3</v>
      </c>
      <c r="C985">
        <f t="shared" si="30"/>
        <v>4</v>
      </c>
      <c r="I985" s="3">
        <v>4260.74</v>
      </c>
      <c r="K985" s="6">
        <f t="shared" si="31"/>
        <v>1065.1849999999999</v>
      </c>
    </row>
    <row r="986" spans="1:11" ht="14.5">
      <c r="A986" s="3">
        <v>0</v>
      </c>
      <c r="C986">
        <f t="shared" si="30"/>
        <v>1</v>
      </c>
      <c r="I986" s="3">
        <v>34838.870000000003</v>
      </c>
      <c r="K986" s="6">
        <f t="shared" si="31"/>
        <v>34838.870000000003</v>
      </c>
    </row>
    <row r="987" spans="1:11" ht="14.5">
      <c r="A987" s="3">
        <v>1</v>
      </c>
      <c r="C987">
        <f t="shared" si="30"/>
        <v>2</v>
      </c>
      <c r="I987" s="3">
        <v>3561.89</v>
      </c>
      <c r="K987" s="6">
        <f t="shared" si="31"/>
        <v>1780.9449999999999</v>
      </c>
    </row>
    <row r="988" spans="1:11" ht="14.5">
      <c r="A988" s="3">
        <v>2</v>
      </c>
      <c r="C988">
        <f t="shared" si="30"/>
        <v>3</v>
      </c>
      <c r="I988" s="3">
        <v>15006.58</v>
      </c>
      <c r="K988" s="6">
        <f t="shared" si="31"/>
        <v>5002.1933333333336</v>
      </c>
    </row>
    <row r="989" spans="1:11" ht="14.5">
      <c r="A989" s="3">
        <v>3</v>
      </c>
      <c r="C989">
        <f t="shared" si="30"/>
        <v>4</v>
      </c>
      <c r="I989" s="3">
        <v>18804.75</v>
      </c>
      <c r="K989" s="6">
        <f t="shared" si="31"/>
        <v>4701.1875</v>
      </c>
    </row>
    <row r="990" spans="1:11" ht="14.5">
      <c r="A990" s="3">
        <v>0</v>
      </c>
      <c r="C990">
        <f t="shared" si="30"/>
        <v>1</v>
      </c>
      <c r="I990" s="3">
        <v>2497.04</v>
      </c>
      <c r="K990" s="6">
        <f t="shared" si="31"/>
        <v>2497.04</v>
      </c>
    </row>
    <row r="991" spans="1:11" ht="14.5">
      <c r="A991" s="3">
        <v>0</v>
      </c>
      <c r="C991">
        <f t="shared" si="30"/>
        <v>1</v>
      </c>
      <c r="I991" s="3">
        <v>2498.41</v>
      </c>
      <c r="K991" s="6">
        <f t="shared" si="31"/>
        <v>2498.41</v>
      </c>
    </row>
    <row r="992" spans="1:11" ht="14.5">
      <c r="A992" s="3">
        <v>0</v>
      </c>
      <c r="C992">
        <f t="shared" si="30"/>
        <v>1</v>
      </c>
      <c r="I992" s="3">
        <v>2494.02</v>
      </c>
      <c r="K992" s="6">
        <f t="shared" si="31"/>
        <v>2494.02</v>
      </c>
    </row>
    <row r="993" spans="1:11" ht="14.5">
      <c r="A993" s="3">
        <v>0</v>
      </c>
      <c r="C993">
        <f t="shared" si="30"/>
        <v>1</v>
      </c>
      <c r="I993" s="3">
        <v>3558.62</v>
      </c>
      <c r="K993" s="6">
        <f t="shared" si="31"/>
        <v>3558.62</v>
      </c>
    </row>
    <row r="994" spans="1:11" ht="14.5">
      <c r="A994" s="3">
        <v>2</v>
      </c>
      <c r="C994">
        <f t="shared" si="30"/>
        <v>3</v>
      </c>
      <c r="I994" s="3">
        <v>4058.71</v>
      </c>
      <c r="K994" s="6">
        <f t="shared" si="31"/>
        <v>1352.9033333333334</v>
      </c>
    </row>
    <row r="995" spans="1:11" ht="14.5">
      <c r="A995" s="3">
        <v>1</v>
      </c>
      <c r="C995">
        <f t="shared" si="30"/>
        <v>2</v>
      </c>
      <c r="I995" s="3">
        <v>34806.47</v>
      </c>
      <c r="K995" s="6">
        <f t="shared" si="31"/>
        <v>17403.235000000001</v>
      </c>
    </row>
    <row r="996" spans="1:11" ht="14.5">
      <c r="A996" s="3">
        <v>1</v>
      </c>
      <c r="C996">
        <f t="shared" si="30"/>
        <v>2</v>
      </c>
      <c r="I996" s="3">
        <v>3578</v>
      </c>
      <c r="K996" s="6">
        <f t="shared" si="31"/>
        <v>1789</v>
      </c>
    </row>
    <row r="997" spans="1:11" ht="14.5">
      <c r="A997" s="3">
        <v>0</v>
      </c>
      <c r="C997">
        <f t="shared" si="30"/>
        <v>1</v>
      </c>
      <c r="I997" s="3">
        <v>18246.5</v>
      </c>
      <c r="K997" s="6">
        <f t="shared" si="31"/>
        <v>18246.5</v>
      </c>
    </row>
    <row r="998" spans="1:11" ht="14.5">
      <c r="A998" s="3">
        <v>0</v>
      </c>
      <c r="C998">
        <f t="shared" si="30"/>
        <v>1</v>
      </c>
      <c r="I998" s="3">
        <v>3070.81</v>
      </c>
      <c r="K998" s="6">
        <f t="shared" si="31"/>
        <v>3070.81</v>
      </c>
    </row>
    <row r="999" spans="1:11" ht="14.5">
      <c r="A999" s="3">
        <v>0</v>
      </c>
      <c r="C999">
        <f t="shared" si="30"/>
        <v>1</v>
      </c>
      <c r="I999" s="3">
        <v>18310.740000000002</v>
      </c>
      <c r="K999" s="6">
        <f t="shared" si="31"/>
        <v>18310.740000000002</v>
      </c>
    </row>
    <row r="1000" spans="1:11" ht="14.5">
      <c r="A1000" s="3">
        <v>0</v>
      </c>
      <c r="C1000">
        <f t="shared" si="30"/>
        <v>1</v>
      </c>
      <c r="I1000" s="3">
        <v>2974.13</v>
      </c>
      <c r="K1000" s="6">
        <f t="shared" si="31"/>
        <v>2974.13</v>
      </c>
    </row>
    <row r="1001" spans="1:11" ht="14.5">
      <c r="A1001" s="3">
        <v>3</v>
      </c>
      <c r="C1001">
        <f t="shared" si="30"/>
        <v>4</v>
      </c>
      <c r="I1001" s="3">
        <v>4846.92</v>
      </c>
      <c r="K1001" s="6">
        <f t="shared" si="31"/>
        <v>1211.73</v>
      </c>
    </row>
    <row r="1002" spans="1:11" ht="14.5">
      <c r="A1002" s="3">
        <v>1</v>
      </c>
      <c r="C1002">
        <f t="shared" si="30"/>
        <v>2</v>
      </c>
      <c r="I1002" s="3">
        <v>16796.41</v>
      </c>
      <c r="K1002" s="6">
        <f t="shared" si="31"/>
        <v>8398.2049999999999</v>
      </c>
    </row>
    <row r="1003" spans="1:11" ht="14.5">
      <c r="A1003" s="3">
        <v>3</v>
      </c>
      <c r="C1003">
        <f t="shared" si="30"/>
        <v>4</v>
      </c>
      <c r="I1003" s="3">
        <v>16420.490000000002</v>
      </c>
      <c r="K1003" s="6">
        <f t="shared" si="31"/>
        <v>4105.1225000000004</v>
      </c>
    </row>
    <row r="1004" spans="1:11" ht="14.5">
      <c r="A1004" s="3">
        <v>0</v>
      </c>
      <c r="C1004">
        <f t="shared" si="30"/>
        <v>1</v>
      </c>
      <c r="I1004" s="3">
        <v>3353.47</v>
      </c>
      <c r="K1004" s="6">
        <f t="shared" si="31"/>
        <v>3353.47</v>
      </c>
    </row>
    <row r="1005" spans="1:11" ht="14.5">
      <c r="A1005" s="3">
        <v>1</v>
      </c>
      <c r="C1005">
        <f t="shared" si="30"/>
        <v>2</v>
      </c>
      <c r="I1005" s="3">
        <v>18903.490000000002</v>
      </c>
      <c r="K1005" s="6">
        <f t="shared" si="31"/>
        <v>9451.7450000000008</v>
      </c>
    </row>
    <row r="1006" spans="1:11" ht="14.5">
      <c r="A1006" s="3">
        <v>2</v>
      </c>
      <c r="C1006">
        <f t="shared" si="30"/>
        <v>3</v>
      </c>
      <c r="I1006" s="3">
        <v>3693.43</v>
      </c>
      <c r="K1006" s="6">
        <f t="shared" si="31"/>
        <v>1231.1433333333332</v>
      </c>
    </row>
    <row r="1007" spans="1:11" ht="14.5">
      <c r="A1007" s="3">
        <v>1</v>
      </c>
      <c r="C1007">
        <f t="shared" si="30"/>
        <v>2</v>
      </c>
      <c r="I1007" s="3">
        <v>3956.07</v>
      </c>
      <c r="K1007" s="6">
        <f t="shared" si="31"/>
        <v>1978.0350000000001</v>
      </c>
    </row>
    <row r="1008" spans="1:11" ht="14.5">
      <c r="A1008" s="3">
        <v>0</v>
      </c>
      <c r="C1008">
        <f t="shared" si="30"/>
        <v>1</v>
      </c>
      <c r="I1008" s="3">
        <v>2302.3000000000002</v>
      </c>
      <c r="K1008" s="6">
        <f t="shared" si="31"/>
        <v>2302.3000000000002</v>
      </c>
    </row>
    <row r="1009" spans="1:11" ht="14.5">
      <c r="A1009" s="3">
        <v>2</v>
      </c>
      <c r="C1009">
        <f t="shared" si="30"/>
        <v>3</v>
      </c>
      <c r="I1009" s="3">
        <v>3877.3</v>
      </c>
      <c r="K1009" s="6">
        <f t="shared" si="31"/>
        <v>1292.4333333333334</v>
      </c>
    </row>
    <row r="1010" spans="1:11" ht="14.5">
      <c r="A1010" s="3">
        <v>0</v>
      </c>
      <c r="C1010">
        <f t="shared" si="30"/>
        <v>1</v>
      </c>
      <c r="I1010" s="3">
        <v>3385.4</v>
      </c>
      <c r="K1010" s="6">
        <f t="shared" si="31"/>
        <v>3385.4</v>
      </c>
    </row>
    <row r="1011" spans="1:11" ht="14.5">
      <c r="A1011" s="3">
        <v>1</v>
      </c>
      <c r="C1011">
        <f t="shared" si="30"/>
        <v>2</v>
      </c>
      <c r="I1011" s="3">
        <v>3490.55</v>
      </c>
      <c r="K1011" s="6">
        <f t="shared" si="31"/>
        <v>1745.2750000000001</v>
      </c>
    </row>
    <row r="1012" spans="1:11" ht="14.5">
      <c r="A1012" s="3">
        <v>2</v>
      </c>
      <c r="C1012">
        <f t="shared" si="30"/>
        <v>3</v>
      </c>
      <c r="I1012" s="3">
        <v>3981.98</v>
      </c>
      <c r="K1012" s="6">
        <f t="shared" si="31"/>
        <v>1327.3266666666666</v>
      </c>
    </row>
    <row r="1013" spans="1:11" ht="14.5">
      <c r="A1013" s="3">
        <v>1</v>
      </c>
      <c r="C1013">
        <f t="shared" si="30"/>
        <v>2</v>
      </c>
      <c r="I1013" s="3">
        <v>3392.98</v>
      </c>
      <c r="K1013" s="6">
        <f t="shared" si="31"/>
        <v>1696.49</v>
      </c>
    </row>
    <row r="1014" spans="1:11" ht="14.5">
      <c r="A1014" s="3">
        <v>4</v>
      </c>
      <c r="C1014">
        <f t="shared" si="30"/>
        <v>5</v>
      </c>
      <c r="I1014" s="3">
        <v>24671.66</v>
      </c>
      <c r="K1014" s="6">
        <f t="shared" si="31"/>
        <v>4934.3320000000003</v>
      </c>
    </row>
    <row r="1015" spans="1:11" ht="14.5">
      <c r="A1015" s="3">
        <v>2</v>
      </c>
      <c r="C1015">
        <f t="shared" si="30"/>
        <v>3</v>
      </c>
      <c r="I1015" s="3">
        <v>36085.22</v>
      </c>
      <c r="K1015" s="6">
        <f t="shared" si="31"/>
        <v>12028.406666666668</v>
      </c>
    </row>
    <row r="1016" spans="1:11" ht="14.5">
      <c r="A1016" s="3">
        <v>0</v>
      </c>
      <c r="C1016">
        <f t="shared" si="30"/>
        <v>1</v>
      </c>
      <c r="I1016" s="3">
        <v>3176.82</v>
      </c>
      <c r="K1016" s="6">
        <f t="shared" si="31"/>
        <v>3176.82</v>
      </c>
    </row>
    <row r="1017" spans="1:11" ht="14.5">
      <c r="A1017" s="3">
        <v>2</v>
      </c>
      <c r="C1017">
        <f t="shared" si="30"/>
        <v>3</v>
      </c>
      <c r="I1017" s="3">
        <v>14455.64</v>
      </c>
      <c r="K1017" s="6">
        <f t="shared" si="31"/>
        <v>4818.5466666666662</v>
      </c>
    </row>
    <row r="1018" spans="1:11" ht="14.5">
      <c r="A1018" s="3">
        <v>0</v>
      </c>
      <c r="C1018">
        <f t="shared" si="30"/>
        <v>1</v>
      </c>
      <c r="I1018" s="3">
        <v>2897.32</v>
      </c>
      <c r="K1018" s="6">
        <f t="shared" si="31"/>
        <v>2897.32</v>
      </c>
    </row>
    <row r="1019" spans="1:11" ht="14.5">
      <c r="A1019" s="3">
        <v>1</v>
      </c>
      <c r="C1019">
        <f t="shared" si="30"/>
        <v>2</v>
      </c>
      <c r="I1019" s="3">
        <v>3410.32</v>
      </c>
      <c r="K1019" s="6">
        <f t="shared" si="31"/>
        <v>1705.16</v>
      </c>
    </row>
    <row r="1020" spans="1:11" ht="14.5">
      <c r="A1020" s="3">
        <v>0</v>
      </c>
      <c r="C1020">
        <f t="shared" si="30"/>
        <v>1</v>
      </c>
      <c r="I1020" s="3">
        <v>3201.25</v>
      </c>
      <c r="K1020" s="6">
        <f t="shared" si="31"/>
        <v>3201.25</v>
      </c>
    </row>
    <row r="1021" spans="1:11" ht="14.5">
      <c r="A1021" s="3">
        <v>2</v>
      </c>
      <c r="C1021">
        <f t="shared" si="30"/>
        <v>3</v>
      </c>
      <c r="I1021" s="3">
        <v>3484.33</v>
      </c>
      <c r="K1021" s="6">
        <f t="shared" si="31"/>
        <v>1161.4433333333334</v>
      </c>
    </row>
    <row r="1022" spans="1:11" ht="14.5">
      <c r="A1022" s="3">
        <v>0</v>
      </c>
      <c r="C1022">
        <f t="shared" si="30"/>
        <v>1</v>
      </c>
      <c r="I1022" s="3">
        <v>2680.95</v>
      </c>
      <c r="K1022" s="6">
        <f t="shared" si="31"/>
        <v>2680.95</v>
      </c>
    </row>
    <row r="1023" spans="1:11" ht="14.5">
      <c r="A1023" s="3">
        <v>1</v>
      </c>
      <c r="C1023">
        <f t="shared" si="30"/>
        <v>2</v>
      </c>
      <c r="I1023" s="3">
        <v>3392.37</v>
      </c>
      <c r="K1023" s="6">
        <f t="shared" si="31"/>
        <v>1696.1849999999999</v>
      </c>
    </row>
    <row r="1024" spans="1:11" ht="14.5">
      <c r="A1024" s="3">
        <v>3</v>
      </c>
      <c r="C1024">
        <f t="shared" si="30"/>
        <v>4</v>
      </c>
      <c r="I1024" s="3">
        <v>4661.29</v>
      </c>
      <c r="K1024" s="6">
        <f t="shared" si="31"/>
        <v>1165.3225</v>
      </c>
    </row>
    <row r="1025" spans="1:11" ht="14.5">
      <c r="A1025" s="3">
        <v>2</v>
      </c>
      <c r="C1025">
        <f t="shared" si="30"/>
        <v>3</v>
      </c>
      <c r="I1025" s="3">
        <v>4564.1899999999996</v>
      </c>
      <c r="K1025" s="6">
        <f t="shared" si="31"/>
        <v>1521.3966666666665</v>
      </c>
    </row>
    <row r="1026" spans="1:11" ht="14.5">
      <c r="A1026" s="3">
        <v>1</v>
      </c>
      <c r="C1026">
        <f t="shared" si="30"/>
        <v>2</v>
      </c>
      <c r="I1026" s="3">
        <v>2927.06</v>
      </c>
      <c r="K1026" s="6">
        <f t="shared" si="31"/>
        <v>1463.53</v>
      </c>
    </row>
    <row r="1027" spans="1:11" ht="14.5">
      <c r="A1027" s="3">
        <v>0</v>
      </c>
      <c r="C1027">
        <f t="shared" si="30"/>
        <v>1</v>
      </c>
      <c r="I1027" s="3">
        <v>2322.62</v>
      </c>
      <c r="K1027" s="6">
        <f t="shared" si="31"/>
        <v>2322.62</v>
      </c>
    </row>
    <row r="1028" spans="1:11" ht="14.5">
      <c r="A1028" s="3">
        <v>1</v>
      </c>
      <c r="C1028">
        <f t="shared" si="30"/>
        <v>2</v>
      </c>
      <c r="I1028" s="3">
        <v>2902.91</v>
      </c>
      <c r="K1028" s="6">
        <f t="shared" si="31"/>
        <v>1451.4549999999999</v>
      </c>
    </row>
    <row r="1029" spans="1:11" ht="14.5">
      <c r="A1029" s="3">
        <v>1</v>
      </c>
      <c r="C1029">
        <f t="shared" ref="C1029:C1092" si="32">1+A1029</f>
        <v>2</v>
      </c>
      <c r="I1029" s="3">
        <v>3378.91</v>
      </c>
      <c r="K1029" s="6">
        <f t="shared" ref="K1029:K1092" si="33">I1029/C1029</f>
        <v>1689.4549999999999</v>
      </c>
    </row>
    <row r="1030" spans="1:11" ht="14.5">
      <c r="A1030" s="3">
        <v>2</v>
      </c>
      <c r="C1030">
        <f t="shared" si="32"/>
        <v>3</v>
      </c>
      <c r="I1030" s="3">
        <v>3987.93</v>
      </c>
      <c r="K1030" s="6">
        <f t="shared" si="33"/>
        <v>1329.31</v>
      </c>
    </row>
    <row r="1031" spans="1:11" ht="14.5">
      <c r="A1031" s="3">
        <v>1</v>
      </c>
      <c r="C1031">
        <f t="shared" si="32"/>
        <v>2</v>
      </c>
      <c r="I1031" s="3">
        <v>2904.09</v>
      </c>
      <c r="K1031" s="6">
        <f t="shared" si="33"/>
        <v>1452.0450000000001</v>
      </c>
    </row>
    <row r="1032" spans="1:11" ht="14.5">
      <c r="A1032" s="3">
        <v>0</v>
      </c>
      <c r="C1032">
        <f t="shared" si="32"/>
        <v>1</v>
      </c>
      <c r="I1032" s="3">
        <v>3176.29</v>
      </c>
      <c r="K1032" s="6">
        <f t="shared" si="33"/>
        <v>3176.29</v>
      </c>
    </row>
    <row r="1033" spans="1:11" ht="14.5">
      <c r="A1033" s="3">
        <v>0</v>
      </c>
      <c r="C1033">
        <f t="shared" si="32"/>
        <v>1</v>
      </c>
      <c r="I1033" s="3">
        <v>2699.57</v>
      </c>
      <c r="K1033" s="6">
        <f t="shared" si="33"/>
        <v>2699.57</v>
      </c>
    </row>
    <row r="1034" spans="1:11" ht="14.5">
      <c r="A1034" s="3">
        <v>1</v>
      </c>
      <c r="C1034">
        <f t="shared" si="32"/>
        <v>2</v>
      </c>
      <c r="I1034" s="3">
        <v>3292.53</v>
      </c>
      <c r="K1034" s="6">
        <f t="shared" si="33"/>
        <v>1646.2650000000001</v>
      </c>
    </row>
    <row r="1035" spans="1:11" ht="14.5">
      <c r="A1035" s="3">
        <v>0</v>
      </c>
      <c r="C1035">
        <f t="shared" si="32"/>
        <v>1</v>
      </c>
      <c r="I1035" s="3">
        <v>17043.34</v>
      </c>
      <c r="K1035" s="6">
        <f t="shared" si="33"/>
        <v>17043.34</v>
      </c>
    </row>
    <row r="1036" spans="1:11" ht="14.5">
      <c r="A1036" s="3">
        <v>0</v>
      </c>
      <c r="C1036">
        <f t="shared" si="32"/>
        <v>1</v>
      </c>
      <c r="I1036" s="3">
        <v>2721.32</v>
      </c>
      <c r="K1036" s="6">
        <f t="shared" si="33"/>
        <v>2721.32</v>
      </c>
    </row>
    <row r="1037" spans="1:11" ht="14.5">
      <c r="A1037" s="3">
        <v>4</v>
      </c>
      <c r="C1037">
        <f t="shared" si="32"/>
        <v>5</v>
      </c>
      <c r="I1037" s="3">
        <v>4504.66</v>
      </c>
      <c r="K1037" s="6">
        <f t="shared" si="33"/>
        <v>900.93200000000002</v>
      </c>
    </row>
    <row r="1038" spans="1:11" ht="14.5">
      <c r="A1038" s="3">
        <v>0</v>
      </c>
      <c r="C1038">
        <f t="shared" si="32"/>
        <v>1</v>
      </c>
      <c r="I1038" s="3">
        <v>2137.65</v>
      </c>
      <c r="K1038" s="6">
        <f t="shared" si="33"/>
        <v>2137.65</v>
      </c>
    </row>
    <row r="1039" spans="1:11" ht="14.5">
      <c r="A1039" s="3">
        <v>0</v>
      </c>
      <c r="C1039">
        <f t="shared" si="32"/>
        <v>1</v>
      </c>
      <c r="I1039" s="3">
        <v>2523.17</v>
      </c>
      <c r="K1039" s="6">
        <f t="shared" si="33"/>
        <v>2523.17</v>
      </c>
    </row>
    <row r="1040" spans="1:11" ht="14.5">
      <c r="A1040" s="3">
        <v>2</v>
      </c>
      <c r="C1040">
        <f t="shared" si="32"/>
        <v>3</v>
      </c>
      <c r="I1040" s="3">
        <v>42112.24</v>
      </c>
      <c r="K1040" s="6">
        <f t="shared" si="33"/>
        <v>14037.413333333332</v>
      </c>
    </row>
    <row r="1041" spans="1:11" ht="14.5">
      <c r="A1041" s="3">
        <v>3</v>
      </c>
      <c r="C1041">
        <f t="shared" si="32"/>
        <v>4</v>
      </c>
      <c r="I1041" s="3">
        <v>3906.13</v>
      </c>
      <c r="K1041" s="6">
        <f t="shared" si="33"/>
        <v>976.53250000000003</v>
      </c>
    </row>
    <row r="1042" spans="1:11" ht="14.5">
      <c r="A1042" s="3">
        <v>5</v>
      </c>
      <c r="C1042">
        <f t="shared" si="32"/>
        <v>6</v>
      </c>
      <c r="I1042" s="3">
        <v>5080.1000000000004</v>
      </c>
      <c r="K1042" s="6">
        <f t="shared" si="33"/>
        <v>846.68333333333339</v>
      </c>
    </row>
    <row r="1043" spans="1:11" ht="14.5">
      <c r="A1043" s="3">
        <v>0</v>
      </c>
      <c r="C1043">
        <f t="shared" si="32"/>
        <v>1</v>
      </c>
      <c r="I1043" s="3">
        <v>2727.4</v>
      </c>
      <c r="K1043" s="6">
        <f t="shared" si="33"/>
        <v>2727.4</v>
      </c>
    </row>
    <row r="1044" spans="1:11" ht="14.5">
      <c r="A1044" s="3">
        <v>0</v>
      </c>
      <c r="C1044">
        <f t="shared" si="32"/>
        <v>1</v>
      </c>
      <c r="I1044" s="3">
        <v>2534.39</v>
      </c>
      <c r="K1044" s="6">
        <f t="shared" si="33"/>
        <v>2534.39</v>
      </c>
    </row>
    <row r="1045" spans="1:11" ht="14.5">
      <c r="A1045" s="3">
        <v>0</v>
      </c>
      <c r="C1045">
        <f t="shared" si="32"/>
        <v>1</v>
      </c>
      <c r="I1045" s="3">
        <v>3213.62</v>
      </c>
      <c r="K1045" s="6">
        <f t="shared" si="33"/>
        <v>3213.62</v>
      </c>
    </row>
    <row r="1046" spans="1:11" ht="14.5">
      <c r="A1046" s="3">
        <v>0</v>
      </c>
      <c r="C1046">
        <f t="shared" si="32"/>
        <v>1</v>
      </c>
      <c r="I1046" s="3">
        <v>17878.900000000001</v>
      </c>
      <c r="K1046" s="6">
        <f t="shared" si="33"/>
        <v>17878.900000000001</v>
      </c>
    </row>
    <row r="1047" spans="1:11" ht="14.5">
      <c r="A1047" s="3">
        <v>0</v>
      </c>
      <c r="C1047">
        <f t="shared" si="32"/>
        <v>1</v>
      </c>
      <c r="I1047" s="3">
        <v>3206.49</v>
      </c>
      <c r="K1047" s="6">
        <f t="shared" si="33"/>
        <v>3206.49</v>
      </c>
    </row>
    <row r="1048" spans="1:11" ht="14.5">
      <c r="A1048" s="3">
        <v>1</v>
      </c>
      <c r="C1048">
        <f t="shared" si="32"/>
        <v>2</v>
      </c>
      <c r="I1048" s="3">
        <v>3309.79</v>
      </c>
      <c r="K1048" s="6">
        <f t="shared" si="33"/>
        <v>1654.895</v>
      </c>
    </row>
    <row r="1049" spans="1:11" ht="14.5">
      <c r="A1049" s="3">
        <v>0</v>
      </c>
      <c r="C1049">
        <f t="shared" si="32"/>
        <v>1</v>
      </c>
      <c r="I1049" s="3">
        <v>15817.99</v>
      </c>
      <c r="K1049" s="6">
        <f t="shared" si="33"/>
        <v>15817.99</v>
      </c>
    </row>
    <row r="1050" spans="1:11" ht="14.5">
      <c r="A1050" s="3">
        <v>1</v>
      </c>
      <c r="C1050">
        <f t="shared" si="32"/>
        <v>2</v>
      </c>
      <c r="I1050" s="3">
        <v>18218.16</v>
      </c>
      <c r="K1050" s="6">
        <f t="shared" si="33"/>
        <v>9109.08</v>
      </c>
    </row>
    <row r="1051" spans="1:11" ht="14.5">
      <c r="A1051" s="3">
        <v>3</v>
      </c>
      <c r="C1051">
        <f t="shared" si="32"/>
        <v>4</v>
      </c>
      <c r="I1051" s="3">
        <v>4391.6499999999996</v>
      </c>
      <c r="K1051" s="6">
        <f t="shared" si="33"/>
        <v>1097.9124999999999</v>
      </c>
    </row>
    <row r="1052" spans="1:11" ht="14.5">
      <c r="A1052" s="3">
        <v>4</v>
      </c>
      <c r="C1052">
        <f t="shared" si="32"/>
        <v>5</v>
      </c>
      <c r="I1052" s="3">
        <v>4877.9799999999996</v>
      </c>
      <c r="K1052" s="6">
        <f t="shared" si="33"/>
        <v>975.59599999999989</v>
      </c>
    </row>
    <row r="1053" spans="1:11" ht="14.5">
      <c r="A1053" s="3">
        <v>3</v>
      </c>
      <c r="C1053">
        <f t="shared" si="32"/>
        <v>4</v>
      </c>
      <c r="I1053" s="3">
        <v>19933.46</v>
      </c>
      <c r="K1053" s="6">
        <f t="shared" si="33"/>
        <v>4983.3649999999998</v>
      </c>
    </row>
    <row r="1054" spans="1:11" ht="14.5">
      <c r="A1054" s="3">
        <v>2</v>
      </c>
      <c r="C1054">
        <f t="shared" si="32"/>
        <v>3</v>
      </c>
      <c r="I1054" s="3">
        <v>23241.47</v>
      </c>
      <c r="K1054" s="6">
        <f t="shared" si="33"/>
        <v>7747.1566666666668</v>
      </c>
    </row>
    <row r="1055" spans="1:11" ht="14.5">
      <c r="A1055" s="3">
        <v>1</v>
      </c>
      <c r="C1055">
        <f t="shared" si="32"/>
        <v>2</v>
      </c>
      <c r="I1055" s="3">
        <v>3594.17</v>
      </c>
      <c r="K1055" s="6">
        <f t="shared" si="33"/>
        <v>1797.085</v>
      </c>
    </row>
    <row r="1056" spans="1:11" ht="14.5">
      <c r="A1056" s="3">
        <v>1</v>
      </c>
      <c r="C1056">
        <f t="shared" si="32"/>
        <v>2</v>
      </c>
      <c r="I1056" s="3">
        <v>3227.12</v>
      </c>
      <c r="K1056" s="6">
        <f t="shared" si="33"/>
        <v>1613.56</v>
      </c>
    </row>
    <row r="1057" spans="1:11" ht="14.5">
      <c r="A1057" s="3">
        <v>2</v>
      </c>
      <c r="C1057">
        <f t="shared" si="32"/>
        <v>3</v>
      </c>
      <c r="I1057" s="3">
        <v>36124.57</v>
      </c>
      <c r="K1057" s="6">
        <f t="shared" si="33"/>
        <v>12041.523333333333</v>
      </c>
    </row>
    <row r="1058" spans="1:11" ht="14.5">
      <c r="A1058" s="3">
        <v>0</v>
      </c>
      <c r="C1058">
        <f t="shared" si="32"/>
        <v>1</v>
      </c>
      <c r="I1058" s="3">
        <v>2632.99</v>
      </c>
      <c r="K1058" s="6">
        <f t="shared" si="33"/>
        <v>2632.99</v>
      </c>
    </row>
    <row r="1059" spans="1:11" ht="14.5">
      <c r="A1059" s="3">
        <v>1</v>
      </c>
      <c r="C1059">
        <f t="shared" si="32"/>
        <v>2</v>
      </c>
      <c r="I1059" s="3">
        <v>3238.44</v>
      </c>
      <c r="K1059" s="6">
        <f t="shared" si="33"/>
        <v>1619.22</v>
      </c>
    </row>
    <row r="1060" spans="1:11" ht="14.5">
      <c r="A1060" s="3">
        <v>0</v>
      </c>
      <c r="C1060">
        <f t="shared" si="32"/>
        <v>1</v>
      </c>
      <c r="I1060" s="3">
        <v>3021.81</v>
      </c>
      <c r="K1060" s="6">
        <f t="shared" si="33"/>
        <v>3021.81</v>
      </c>
    </row>
    <row r="1061" spans="1:11" ht="14.5">
      <c r="A1061" s="3">
        <v>2</v>
      </c>
      <c r="C1061">
        <f t="shared" si="32"/>
        <v>3</v>
      </c>
      <c r="I1061" s="3">
        <v>4189.1099999999997</v>
      </c>
      <c r="K1061" s="6">
        <f t="shared" si="33"/>
        <v>1396.37</v>
      </c>
    </row>
    <row r="1062" spans="1:11" ht="14.5">
      <c r="A1062" s="3">
        <v>1</v>
      </c>
      <c r="C1062">
        <f t="shared" si="32"/>
        <v>2</v>
      </c>
      <c r="I1062" s="3">
        <v>3208.79</v>
      </c>
      <c r="K1062" s="6">
        <f t="shared" si="33"/>
        <v>1604.395</v>
      </c>
    </row>
    <row r="1063" spans="1:11" ht="14.5">
      <c r="A1063" s="3">
        <v>0</v>
      </c>
      <c r="C1063">
        <f t="shared" si="32"/>
        <v>1</v>
      </c>
      <c r="I1063" s="3">
        <v>33900.65</v>
      </c>
      <c r="K1063" s="6">
        <f t="shared" si="33"/>
        <v>33900.65</v>
      </c>
    </row>
    <row r="1064" spans="1:11" ht="14.5">
      <c r="A1064" s="3">
        <v>0</v>
      </c>
      <c r="C1064">
        <f t="shared" si="32"/>
        <v>1</v>
      </c>
      <c r="I1064" s="3">
        <v>3046.06</v>
      </c>
      <c r="K1064" s="6">
        <f t="shared" si="33"/>
        <v>3046.06</v>
      </c>
    </row>
    <row r="1065" spans="1:11" ht="14.5">
      <c r="A1065" s="3">
        <v>0</v>
      </c>
      <c r="C1065">
        <f t="shared" si="32"/>
        <v>1</v>
      </c>
      <c r="I1065" s="3">
        <v>2855.44</v>
      </c>
      <c r="K1065" s="6">
        <f t="shared" si="33"/>
        <v>2855.44</v>
      </c>
    </row>
    <row r="1066" spans="1:11" ht="14.5">
      <c r="A1066" s="3">
        <v>2</v>
      </c>
      <c r="C1066">
        <f t="shared" si="32"/>
        <v>3</v>
      </c>
      <c r="I1066" s="3">
        <v>3537.7</v>
      </c>
      <c r="K1066" s="6">
        <f t="shared" si="33"/>
        <v>1179.2333333333333</v>
      </c>
    </row>
    <row r="1067" spans="1:11" ht="14.5">
      <c r="A1067" s="3">
        <v>0</v>
      </c>
      <c r="C1067">
        <f t="shared" si="32"/>
        <v>1</v>
      </c>
      <c r="I1067" s="3">
        <v>25081.77</v>
      </c>
      <c r="K1067" s="6">
        <f t="shared" si="33"/>
        <v>25081.77</v>
      </c>
    </row>
    <row r="1068" spans="1:11" ht="14.5">
      <c r="A1068" s="3">
        <v>0</v>
      </c>
      <c r="C1068">
        <f t="shared" si="32"/>
        <v>1</v>
      </c>
      <c r="I1068" s="3">
        <v>1986.93</v>
      </c>
      <c r="K1068" s="6">
        <f t="shared" si="33"/>
        <v>1986.93</v>
      </c>
    </row>
    <row r="1069" spans="1:11" ht="14.5">
      <c r="A1069" s="3">
        <v>0</v>
      </c>
      <c r="C1069">
        <f t="shared" si="32"/>
        <v>1</v>
      </c>
      <c r="I1069" s="3">
        <v>18955.22</v>
      </c>
      <c r="K1069" s="6">
        <f t="shared" si="33"/>
        <v>18955.22</v>
      </c>
    </row>
    <row r="1070" spans="1:11" ht="14.5">
      <c r="A1070" s="3">
        <v>0</v>
      </c>
      <c r="C1070">
        <f t="shared" si="32"/>
        <v>1</v>
      </c>
      <c r="I1070" s="3">
        <v>38126.25</v>
      </c>
      <c r="K1070" s="6">
        <f t="shared" si="33"/>
        <v>38126.25</v>
      </c>
    </row>
    <row r="1071" spans="1:11" ht="14.5">
      <c r="A1071" s="3">
        <v>3</v>
      </c>
      <c r="C1071">
        <f t="shared" si="32"/>
        <v>4</v>
      </c>
      <c r="I1071" s="3">
        <v>4618.08</v>
      </c>
      <c r="K1071" s="6">
        <f t="shared" si="33"/>
        <v>1154.52</v>
      </c>
    </row>
    <row r="1072" spans="1:11" ht="14.5">
      <c r="A1072" s="3">
        <v>0</v>
      </c>
      <c r="C1072">
        <f t="shared" si="32"/>
        <v>1</v>
      </c>
      <c r="I1072" s="3">
        <v>1969.61</v>
      </c>
      <c r="K1072" s="6">
        <f t="shared" si="33"/>
        <v>1969.61</v>
      </c>
    </row>
    <row r="1073" spans="1:11" ht="14.5">
      <c r="A1073" s="3">
        <v>0</v>
      </c>
      <c r="C1073">
        <f t="shared" si="32"/>
        <v>1</v>
      </c>
      <c r="I1073" s="3">
        <v>35147.53</v>
      </c>
      <c r="K1073" s="6">
        <f t="shared" si="33"/>
        <v>35147.53</v>
      </c>
    </row>
    <row r="1074" spans="1:11" ht="14.5">
      <c r="A1074" s="3">
        <v>0</v>
      </c>
      <c r="C1074">
        <f t="shared" si="32"/>
        <v>1</v>
      </c>
      <c r="I1074" s="3">
        <v>3044.21</v>
      </c>
      <c r="K1074" s="6">
        <f t="shared" si="33"/>
        <v>3044.21</v>
      </c>
    </row>
    <row r="1075" spans="1:11" ht="14.5">
      <c r="A1075" s="3">
        <v>0</v>
      </c>
      <c r="C1075">
        <f t="shared" si="32"/>
        <v>1</v>
      </c>
      <c r="I1075" s="3">
        <v>1977.82</v>
      </c>
      <c r="K1075" s="6">
        <f t="shared" si="33"/>
        <v>1977.82</v>
      </c>
    </row>
    <row r="1076" spans="1:11" ht="14.5">
      <c r="A1076" s="3">
        <v>0</v>
      </c>
      <c r="C1076">
        <f t="shared" si="32"/>
        <v>1</v>
      </c>
      <c r="I1076" s="3">
        <v>2352.9699999999998</v>
      </c>
      <c r="K1076" s="6">
        <f t="shared" si="33"/>
        <v>2352.9699999999998</v>
      </c>
    </row>
    <row r="1077" spans="1:11" ht="14.5">
      <c r="A1077" s="3">
        <v>0</v>
      </c>
      <c r="C1077">
        <f t="shared" si="32"/>
        <v>1</v>
      </c>
      <c r="I1077" s="3">
        <v>2457.5</v>
      </c>
      <c r="K1077" s="6">
        <f t="shared" si="33"/>
        <v>2457.5</v>
      </c>
    </row>
    <row r="1078" spans="1:11" ht="14.5">
      <c r="A1078" s="3">
        <v>3</v>
      </c>
      <c r="C1078">
        <f t="shared" si="32"/>
        <v>4</v>
      </c>
      <c r="I1078" s="3">
        <v>4234.93</v>
      </c>
      <c r="K1078" s="6">
        <f t="shared" si="33"/>
        <v>1058.7325000000001</v>
      </c>
    </row>
    <row r="1079" spans="1:11" ht="14.5">
      <c r="A1079" s="3">
        <v>4</v>
      </c>
      <c r="C1079">
        <f t="shared" si="32"/>
        <v>5</v>
      </c>
      <c r="I1079" s="3">
        <v>17128.43</v>
      </c>
      <c r="K1079" s="6">
        <f t="shared" si="33"/>
        <v>3425.6860000000001</v>
      </c>
    </row>
    <row r="1080" spans="1:11" ht="14.5">
      <c r="A1080" s="3">
        <v>0</v>
      </c>
      <c r="C1080">
        <f t="shared" si="32"/>
        <v>1</v>
      </c>
      <c r="I1080" s="3">
        <v>2842.76</v>
      </c>
      <c r="K1080" s="6">
        <f t="shared" si="33"/>
        <v>2842.76</v>
      </c>
    </row>
    <row r="1081" spans="1:11" ht="14.5">
      <c r="A1081" s="3">
        <v>0</v>
      </c>
      <c r="C1081">
        <f t="shared" si="32"/>
        <v>1</v>
      </c>
      <c r="I1081" s="3">
        <v>2473.33</v>
      </c>
      <c r="K1081" s="6">
        <f t="shared" si="33"/>
        <v>2473.33</v>
      </c>
    </row>
    <row r="1082" spans="1:11" ht="14.5">
      <c r="A1082" s="3">
        <v>1</v>
      </c>
      <c r="C1082">
        <f t="shared" si="32"/>
        <v>2</v>
      </c>
      <c r="I1082" s="3">
        <v>12609.89</v>
      </c>
      <c r="K1082" s="6">
        <f t="shared" si="33"/>
        <v>6304.9449999999997</v>
      </c>
    </row>
    <row r="1083" spans="1:11" ht="14.5">
      <c r="A1083" s="3">
        <v>0</v>
      </c>
      <c r="C1083">
        <f t="shared" si="32"/>
        <v>1</v>
      </c>
      <c r="I1083" s="3">
        <v>14571.89</v>
      </c>
      <c r="K1083" s="6">
        <f t="shared" si="33"/>
        <v>14571.89</v>
      </c>
    </row>
    <row r="1084" spans="1:11" ht="14.5">
      <c r="A1084" s="3">
        <v>0</v>
      </c>
      <c r="C1084">
        <f t="shared" si="32"/>
        <v>1</v>
      </c>
      <c r="I1084" s="3">
        <v>34472.839999999997</v>
      </c>
      <c r="K1084" s="6">
        <f t="shared" si="33"/>
        <v>34472.839999999997</v>
      </c>
    </row>
    <row r="1085" spans="1:11" ht="14.5">
      <c r="A1085" s="3">
        <v>0</v>
      </c>
      <c r="C1085">
        <f t="shared" si="32"/>
        <v>1</v>
      </c>
      <c r="I1085" s="3">
        <v>1972.95</v>
      </c>
      <c r="K1085" s="6">
        <f t="shared" si="33"/>
        <v>1972.95</v>
      </c>
    </row>
    <row r="1086" spans="1:11" ht="14.5">
      <c r="A1086" s="3">
        <v>0</v>
      </c>
      <c r="C1086">
        <f t="shared" si="32"/>
        <v>1</v>
      </c>
      <c r="I1086" s="3">
        <v>2480.98</v>
      </c>
      <c r="K1086" s="6">
        <f t="shared" si="33"/>
        <v>2480.98</v>
      </c>
    </row>
    <row r="1087" spans="1:11" ht="14.5">
      <c r="A1087" s="3">
        <v>0</v>
      </c>
      <c r="C1087">
        <f t="shared" si="32"/>
        <v>1</v>
      </c>
      <c r="I1087" s="3">
        <v>1981.58</v>
      </c>
      <c r="K1087" s="6">
        <f t="shared" si="33"/>
        <v>1981.58</v>
      </c>
    </row>
    <row r="1088" spans="1:11" ht="14.5">
      <c r="A1088" s="3">
        <v>0</v>
      </c>
      <c r="C1088">
        <f t="shared" si="32"/>
        <v>1</v>
      </c>
      <c r="I1088" s="3">
        <v>2850.68</v>
      </c>
      <c r="K1088" s="6">
        <f t="shared" si="33"/>
        <v>2850.68</v>
      </c>
    </row>
    <row r="1089" spans="1:11" ht="14.5">
      <c r="A1089" s="3">
        <v>0</v>
      </c>
      <c r="C1089">
        <f t="shared" si="32"/>
        <v>1</v>
      </c>
      <c r="I1089" s="3">
        <v>18648.419999999998</v>
      </c>
      <c r="K1089" s="6">
        <f t="shared" si="33"/>
        <v>18648.419999999998</v>
      </c>
    </row>
    <row r="1090" spans="1:11" ht="14.5">
      <c r="A1090" s="3">
        <v>0</v>
      </c>
      <c r="C1090">
        <f t="shared" si="32"/>
        <v>1</v>
      </c>
      <c r="I1090" s="3">
        <v>34254.050000000003</v>
      </c>
      <c r="K1090" s="6">
        <f t="shared" si="33"/>
        <v>34254.050000000003</v>
      </c>
    </row>
    <row r="1091" spans="1:11" ht="14.5">
      <c r="A1091" s="3">
        <v>0</v>
      </c>
      <c r="C1091">
        <f t="shared" si="32"/>
        <v>1</v>
      </c>
      <c r="I1091" s="3">
        <v>2464.62</v>
      </c>
      <c r="K1091" s="6">
        <f t="shared" si="33"/>
        <v>2464.62</v>
      </c>
    </row>
    <row r="1092" spans="1:11" ht="14.5">
      <c r="A1092" s="3">
        <v>0</v>
      </c>
      <c r="C1092">
        <f t="shared" si="32"/>
        <v>1</v>
      </c>
      <c r="I1092" s="3">
        <v>1826.84</v>
      </c>
      <c r="K1092" s="6">
        <f t="shared" si="33"/>
        <v>1826.84</v>
      </c>
    </row>
    <row r="1093" spans="1:11" ht="14.5">
      <c r="A1093" s="3">
        <v>0</v>
      </c>
      <c r="C1093">
        <f t="shared" ref="C1093:C1156" si="34">1+A1093</f>
        <v>1</v>
      </c>
      <c r="I1093" s="3">
        <v>2395.17</v>
      </c>
      <c r="K1093" s="6">
        <f t="shared" ref="K1093:K1156" si="35">I1093/C1093</f>
        <v>2395.17</v>
      </c>
    </row>
    <row r="1094" spans="1:11" ht="14.5">
      <c r="A1094" s="3">
        <v>1</v>
      </c>
      <c r="C1094">
        <f t="shared" si="34"/>
        <v>2</v>
      </c>
      <c r="I1094" s="3">
        <v>2775.19</v>
      </c>
      <c r="K1094" s="6">
        <f t="shared" si="35"/>
        <v>1387.595</v>
      </c>
    </row>
    <row r="1095" spans="1:11" ht="14.5">
      <c r="A1095" s="3">
        <v>2</v>
      </c>
      <c r="C1095">
        <f t="shared" si="34"/>
        <v>3</v>
      </c>
      <c r="I1095" s="3">
        <v>38511.629999999997</v>
      </c>
      <c r="K1095" s="6">
        <f t="shared" si="35"/>
        <v>12837.21</v>
      </c>
    </row>
    <row r="1096" spans="1:11" ht="14.5">
      <c r="A1096" s="3">
        <v>0</v>
      </c>
      <c r="C1096">
        <f t="shared" si="34"/>
        <v>1</v>
      </c>
      <c r="I1096" s="3">
        <v>1837.28</v>
      </c>
      <c r="K1096" s="6">
        <f t="shared" si="35"/>
        <v>1837.28</v>
      </c>
    </row>
    <row r="1097" spans="1:11" ht="14.5">
      <c r="A1097" s="3">
        <v>0</v>
      </c>
      <c r="C1097">
        <f t="shared" si="34"/>
        <v>1</v>
      </c>
      <c r="I1097" s="3">
        <v>18033.97</v>
      </c>
      <c r="K1097" s="6">
        <f t="shared" si="35"/>
        <v>18033.97</v>
      </c>
    </row>
    <row r="1098" spans="1:11" ht="14.5">
      <c r="A1098" s="3">
        <v>0</v>
      </c>
      <c r="C1098">
        <f t="shared" si="34"/>
        <v>1</v>
      </c>
      <c r="I1098" s="3">
        <v>1824.29</v>
      </c>
      <c r="K1098" s="6">
        <f t="shared" si="35"/>
        <v>1824.29</v>
      </c>
    </row>
    <row r="1099" spans="1:11" ht="14.5">
      <c r="A1099" s="3">
        <v>3</v>
      </c>
      <c r="C1099">
        <f t="shared" si="34"/>
        <v>4</v>
      </c>
      <c r="I1099" s="3">
        <v>4466.62</v>
      </c>
      <c r="K1099" s="6">
        <f t="shared" si="35"/>
        <v>1116.655</v>
      </c>
    </row>
    <row r="1100" spans="1:11" ht="14.5">
      <c r="A1100" s="3">
        <v>2</v>
      </c>
      <c r="C1100">
        <f t="shared" si="34"/>
        <v>3</v>
      </c>
      <c r="I1100" s="3">
        <v>3500.61</v>
      </c>
      <c r="K1100" s="6">
        <f t="shared" si="35"/>
        <v>1166.8700000000001</v>
      </c>
    </row>
    <row r="1101" spans="1:11" ht="14.5">
      <c r="A1101" s="3">
        <v>3</v>
      </c>
      <c r="C1101">
        <f t="shared" si="34"/>
        <v>4</v>
      </c>
      <c r="I1101" s="3">
        <v>36189.1</v>
      </c>
      <c r="K1101" s="6">
        <f t="shared" si="35"/>
        <v>9047.2749999999996</v>
      </c>
    </row>
    <row r="1102" spans="1:11" ht="14.5">
      <c r="A1102" s="3">
        <v>1</v>
      </c>
      <c r="C1102">
        <f t="shared" si="34"/>
        <v>2</v>
      </c>
      <c r="I1102" s="3">
        <v>2416.96</v>
      </c>
      <c r="K1102" s="6">
        <f t="shared" si="35"/>
        <v>1208.48</v>
      </c>
    </row>
    <row r="1103" spans="1:11" ht="14.5">
      <c r="A1103" s="3">
        <v>0</v>
      </c>
      <c r="C1103">
        <f t="shared" si="34"/>
        <v>1</v>
      </c>
      <c r="I1103" s="3">
        <v>1815.88</v>
      </c>
      <c r="K1103" s="6">
        <f t="shared" si="35"/>
        <v>1815.88</v>
      </c>
    </row>
    <row r="1104" spans="1:11" ht="14.5">
      <c r="A1104" s="3">
        <v>3</v>
      </c>
      <c r="C1104">
        <f t="shared" si="34"/>
        <v>4</v>
      </c>
      <c r="I1104" s="3">
        <v>3597.6</v>
      </c>
      <c r="K1104" s="6">
        <f t="shared" si="35"/>
        <v>899.4</v>
      </c>
    </row>
    <row r="1105" spans="1:11" ht="14.5">
      <c r="A1105" s="3">
        <v>2</v>
      </c>
      <c r="C1105">
        <f t="shared" si="34"/>
        <v>3</v>
      </c>
      <c r="I1105" s="3">
        <v>36021.01</v>
      </c>
      <c r="K1105" s="6">
        <f t="shared" si="35"/>
        <v>12007.003333333334</v>
      </c>
    </row>
    <row r="1106" spans="1:11" ht="14.5">
      <c r="A1106" s="3">
        <v>1</v>
      </c>
      <c r="C1106">
        <f t="shared" si="34"/>
        <v>2</v>
      </c>
      <c r="I1106" s="3">
        <v>2438.06</v>
      </c>
      <c r="K1106" s="6">
        <f t="shared" si="35"/>
        <v>1219.03</v>
      </c>
    </row>
    <row r="1107" spans="1:11" ht="14.5">
      <c r="A1107" s="3">
        <v>0</v>
      </c>
      <c r="C1107">
        <f t="shared" si="34"/>
        <v>1</v>
      </c>
      <c r="I1107" s="3">
        <v>2690.11</v>
      </c>
      <c r="K1107" s="6">
        <f t="shared" si="35"/>
        <v>2690.11</v>
      </c>
    </row>
    <row r="1108" spans="1:11" ht="14.5">
      <c r="A1108" s="3">
        <v>1</v>
      </c>
      <c r="C1108">
        <f t="shared" si="34"/>
        <v>2</v>
      </c>
      <c r="I1108" s="3">
        <v>2789.06</v>
      </c>
      <c r="K1108" s="6">
        <f t="shared" si="35"/>
        <v>1394.53</v>
      </c>
    </row>
    <row r="1109" spans="1:11" ht="14.5">
      <c r="A1109" s="3">
        <v>0</v>
      </c>
      <c r="C1109">
        <f t="shared" si="34"/>
        <v>1</v>
      </c>
      <c r="I1109" s="3">
        <v>21595.38</v>
      </c>
      <c r="K1109" s="6">
        <f t="shared" si="35"/>
        <v>21595.38</v>
      </c>
    </row>
    <row r="1110" spans="1:11" ht="14.5">
      <c r="A1110" s="3">
        <v>3</v>
      </c>
      <c r="C1110">
        <f t="shared" si="34"/>
        <v>4</v>
      </c>
      <c r="I1110" s="3">
        <v>3591.48</v>
      </c>
      <c r="K1110" s="6">
        <f t="shared" si="35"/>
        <v>897.87</v>
      </c>
    </row>
    <row r="1111" spans="1:11" ht="14.5">
      <c r="A1111" s="3">
        <v>0</v>
      </c>
      <c r="C1111">
        <f t="shared" si="34"/>
        <v>1</v>
      </c>
      <c r="I1111" s="3">
        <v>2396.1</v>
      </c>
      <c r="K1111" s="6">
        <f t="shared" si="35"/>
        <v>2396.1</v>
      </c>
    </row>
    <row r="1112" spans="1:11" ht="14.5">
      <c r="A1112" s="3">
        <v>0</v>
      </c>
      <c r="C1112">
        <f t="shared" si="34"/>
        <v>1</v>
      </c>
      <c r="I1112" s="3">
        <v>34166.269999999997</v>
      </c>
      <c r="K1112" s="6">
        <f t="shared" si="35"/>
        <v>34166.269999999997</v>
      </c>
    </row>
    <row r="1113" spans="1:11" ht="14.5">
      <c r="A1113" s="3">
        <v>1</v>
      </c>
      <c r="C1113">
        <f t="shared" si="34"/>
        <v>2</v>
      </c>
      <c r="I1113" s="3">
        <v>40904.199999999997</v>
      </c>
      <c r="K1113" s="6">
        <f t="shared" si="35"/>
        <v>20452.099999999999</v>
      </c>
    </row>
    <row r="1114" spans="1:11" ht="14.5">
      <c r="A1114" s="3">
        <v>2</v>
      </c>
      <c r="C1114">
        <f t="shared" si="34"/>
        <v>3</v>
      </c>
      <c r="I1114" s="3">
        <v>14426.07</v>
      </c>
      <c r="K1114" s="6">
        <f t="shared" si="35"/>
        <v>4808.6899999999996</v>
      </c>
    </row>
    <row r="1115" spans="1:11" ht="14.5">
      <c r="A1115" s="3">
        <v>0</v>
      </c>
      <c r="C1115">
        <f t="shared" si="34"/>
        <v>1</v>
      </c>
      <c r="I1115" s="3">
        <v>2899.49</v>
      </c>
      <c r="K1115" s="6">
        <f t="shared" si="35"/>
        <v>2899.49</v>
      </c>
    </row>
    <row r="1116" spans="1:11" ht="14.5">
      <c r="A1116" s="3">
        <v>1</v>
      </c>
      <c r="C1116">
        <f t="shared" si="34"/>
        <v>2</v>
      </c>
      <c r="I1116" s="3">
        <v>18328.240000000002</v>
      </c>
      <c r="K1116" s="6">
        <f t="shared" si="35"/>
        <v>9164.1200000000008</v>
      </c>
    </row>
    <row r="1117" spans="1:11" ht="14.5">
      <c r="A1117" s="3">
        <v>0</v>
      </c>
      <c r="C1117">
        <f t="shared" si="34"/>
        <v>1</v>
      </c>
      <c r="I1117" s="3">
        <v>13126.68</v>
      </c>
      <c r="K1117" s="6">
        <f t="shared" si="35"/>
        <v>13126.68</v>
      </c>
    </row>
    <row r="1118" spans="1:11" ht="14.5">
      <c r="A1118" s="3">
        <v>2</v>
      </c>
      <c r="C1118">
        <f t="shared" si="34"/>
        <v>3</v>
      </c>
      <c r="I1118" s="3">
        <v>22395.74</v>
      </c>
      <c r="K1118" s="6">
        <f t="shared" si="35"/>
        <v>7465.2466666666669</v>
      </c>
    </row>
    <row r="1119" spans="1:11" ht="14.5">
      <c r="A1119" s="3">
        <v>0</v>
      </c>
      <c r="C1119">
        <f t="shared" si="34"/>
        <v>1</v>
      </c>
      <c r="I1119" s="3">
        <v>10795.94</v>
      </c>
      <c r="K1119" s="6">
        <f t="shared" si="35"/>
        <v>10795.94</v>
      </c>
    </row>
    <row r="1120" spans="1:11" ht="14.5">
      <c r="A1120" s="3">
        <v>0</v>
      </c>
      <c r="C1120">
        <f t="shared" si="34"/>
        <v>1</v>
      </c>
      <c r="I1120" s="3">
        <v>35585.58</v>
      </c>
      <c r="K1120" s="6">
        <f t="shared" si="35"/>
        <v>35585.58</v>
      </c>
    </row>
    <row r="1121" spans="1:11" ht="14.5">
      <c r="A1121" s="3">
        <v>0</v>
      </c>
      <c r="C1121">
        <f t="shared" si="34"/>
        <v>1</v>
      </c>
      <c r="I1121" s="3">
        <v>2755.02</v>
      </c>
      <c r="K1121" s="6">
        <f t="shared" si="35"/>
        <v>2755.02</v>
      </c>
    </row>
    <row r="1122" spans="1:11" ht="14.5">
      <c r="A1122" s="3">
        <v>1</v>
      </c>
      <c r="C1122">
        <f t="shared" si="34"/>
        <v>2</v>
      </c>
      <c r="I1122" s="3">
        <v>37165.160000000003</v>
      </c>
      <c r="K1122" s="6">
        <f t="shared" si="35"/>
        <v>18582.580000000002</v>
      </c>
    </row>
    <row r="1123" spans="1:11" ht="14.5">
      <c r="A1123" s="3">
        <v>0</v>
      </c>
      <c r="C1123">
        <f t="shared" si="34"/>
        <v>1</v>
      </c>
      <c r="I1123" s="3">
        <v>2155.6799999999998</v>
      </c>
      <c r="K1123" s="6">
        <f t="shared" si="35"/>
        <v>2155.6799999999998</v>
      </c>
    </row>
    <row r="1124" spans="1:11" ht="14.5">
      <c r="A1124" s="3">
        <v>0</v>
      </c>
      <c r="C1124">
        <f t="shared" si="34"/>
        <v>1</v>
      </c>
      <c r="I1124" s="3">
        <v>2045.69</v>
      </c>
      <c r="K1124" s="6">
        <f t="shared" si="35"/>
        <v>2045.69</v>
      </c>
    </row>
    <row r="1125" spans="1:11" ht="14.5">
      <c r="A1125" s="3">
        <v>0</v>
      </c>
      <c r="C1125">
        <f t="shared" si="34"/>
        <v>1</v>
      </c>
      <c r="I1125" s="3">
        <v>2166.73</v>
      </c>
      <c r="K1125" s="6">
        <f t="shared" si="35"/>
        <v>2166.73</v>
      </c>
    </row>
    <row r="1126" spans="1:11" ht="14.5">
      <c r="A1126" s="3">
        <v>3</v>
      </c>
      <c r="C1126">
        <f t="shared" si="34"/>
        <v>4</v>
      </c>
      <c r="I1126" s="3">
        <v>4005.42</v>
      </c>
      <c r="K1126" s="6">
        <f t="shared" si="35"/>
        <v>1001.355</v>
      </c>
    </row>
    <row r="1127" spans="1:11" ht="14.5">
      <c r="A1127" s="3">
        <v>0</v>
      </c>
      <c r="C1127">
        <f t="shared" si="34"/>
        <v>1</v>
      </c>
      <c r="I1127" s="3">
        <v>2150.4699999999998</v>
      </c>
      <c r="K1127" s="6">
        <f t="shared" si="35"/>
        <v>2150.4699999999998</v>
      </c>
    </row>
    <row r="1128" spans="1:11" ht="14.5">
      <c r="A1128" s="3">
        <v>0</v>
      </c>
      <c r="C1128">
        <f t="shared" si="34"/>
        <v>1</v>
      </c>
      <c r="I1128" s="3">
        <v>2156.75</v>
      </c>
      <c r="K1128" s="6">
        <f t="shared" si="35"/>
        <v>2156.75</v>
      </c>
    </row>
    <row r="1129" spans="1:11" ht="14.5">
      <c r="A1129" s="3">
        <v>0</v>
      </c>
      <c r="C1129">
        <f t="shared" si="34"/>
        <v>1</v>
      </c>
      <c r="I1129" s="3">
        <v>2254.8000000000002</v>
      </c>
      <c r="K1129" s="6">
        <f t="shared" si="35"/>
        <v>2254.8000000000002</v>
      </c>
    </row>
    <row r="1130" spans="1:11" ht="14.5">
      <c r="A1130" s="3">
        <v>1</v>
      </c>
      <c r="C1130">
        <f t="shared" si="34"/>
        <v>2</v>
      </c>
      <c r="I1130" s="3">
        <v>2643.27</v>
      </c>
      <c r="K1130" s="6">
        <f t="shared" si="35"/>
        <v>1321.635</v>
      </c>
    </row>
    <row r="1131" spans="1:11" ht="14.5">
      <c r="A1131" s="3">
        <v>0</v>
      </c>
      <c r="C1131">
        <f t="shared" si="34"/>
        <v>1</v>
      </c>
      <c r="I1131" s="3">
        <v>1665</v>
      </c>
      <c r="K1131" s="6">
        <f t="shared" si="35"/>
        <v>1665</v>
      </c>
    </row>
    <row r="1132" spans="1:11" ht="14.5">
      <c r="A1132" s="3">
        <v>2</v>
      </c>
      <c r="C1132">
        <f t="shared" si="34"/>
        <v>3</v>
      </c>
      <c r="I1132" s="3">
        <v>3925.76</v>
      </c>
      <c r="K1132" s="6">
        <f t="shared" si="35"/>
        <v>1308.5866666666668</v>
      </c>
    </row>
    <row r="1133" spans="1:11" ht="14.5">
      <c r="A1133" s="3">
        <v>0</v>
      </c>
      <c r="C1133">
        <f t="shared" si="34"/>
        <v>1</v>
      </c>
      <c r="I1133" s="3">
        <v>2731.91</v>
      </c>
      <c r="K1133" s="6">
        <f t="shared" si="35"/>
        <v>2731.91</v>
      </c>
    </row>
    <row r="1134" spans="1:11" ht="14.5">
      <c r="A1134" s="3">
        <v>3</v>
      </c>
      <c r="C1134">
        <f t="shared" si="34"/>
        <v>4</v>
      </c>
      <c r="I1134" s="3">
        <v>3443.06</v>
      </c>
      <c r="K1134" s="6">
        <f t="shared" si="35"/>
        <v>860.76499999999999</v>
      </c>
    </row>
    <row r="1135" spans="1:11" ht="14.5">
      <c r="A1135" s="3">
        <v>0</v>
      </c>
      <c r="C1135">
        <f t="shared" si="34"/>
        <v>1</v>
      </c>
      <c r="I1135" s="3">
        <v>1682.6</v>
      </c>
      <c r="K1135" s="6">
        <f t="shared" si="35"/>
        <v>1682.6</v>
      </c>
    </row>
    <row r="1136" spans="1:11" ht="14.5">
      <c r="A1136" s="3">
        <v>1</v>
      </c>
      <c r="C1136">
        <f t="shared" si="34"/>
        <v>2</v>
      </c>
      <c r="I1136" s="3">
        <v>2639.04</v>
      </c>
      <c r="K1136" s="6">
        <f t="shared" si="35"/>
        <v>1319.52</v>
      </c>
    </row>
    <row r="1137" spans="1:11" ht="14.5">
      <c r="A1137" s="3">
        <v>0</v>
      </c>
      <c r="C1137">
        <f t="shared" si="34"/>
        <v>1</v>
      </c>
      <c r="I1137" s="3">
        <v>2527.8200000000002</v>
      </c>
      <c r="K1137" s="6">
        <f t="shared" si="35"/>
        <v>2527.8200000000002</v>
      </c>
    </row>
    <row r="1138" spans="1:11" ht="14.5">
      <c r="A1138" s="3">
        <v>3</v>
      </c>
      <c r="C1138">
        <f t="shared" si="34"/>
        <v>4</v>
      </c>
      <c r="I1138" s="3">
        <v>35595.589999999997</v>
      </c>
      <c r="K1138" s="6">
        <f t="shared" si="35"/>
        <v>8898.8974999999991</v>
      </c>
    </row>
    <row r="1139" spans="1:11" ht="14.5">
      <c r="A1139" s="3">
        <v>2</v>
      </c>
      <c r="C1139">
        <f t="shared" si="34"/>
        <v>3</v>
      </c>
      <c r="I1139" s="3">
        <v>37484.449999999997</v>
      </c>
      <c r="K1139" s="6">
        <f t="shared" si="35"/>
        <v>12494.816666666666</v>
      </c>
    </row>
    <row r="1140" spans="1:11" ht="14.5">
      <c r="A1140" s="3">
        <v>0</v>
      </c>
      <c r="C1140">
        <f t="shared" si="34"/>
        <v>1</v>
      </c>
      <c r="I1140" s="3">
        <v>2250.84</v>
      </c>
      <c r="K1140" s="6">
        <f t="shared" si="35"/>
        <v>2250.84</v>
      </c>
    </row>
    <row r="1141" spans="1:11" ht="14.5">
      <c r="A1141" s="3">
        <v>1</v>
      </c>
      <c r="C1141">
        <f t="shared" si="34"/>
        <v>2</v>
      </c>
      <c r="I1141" s="3">
        <v>44501.4</v>
      </c>
      <c r="K1141" s="6">
        <f t="shared" si="35"/>
        <v>22250.7</v>
      </c>
    </row>
    <row r="1142" spans="1:11" ht="14.5">
      <c r="A1142" s="3">
        <v>0</v>
      </c>
      <c r="C1142">
        <f t="shared" si="34"/>
        <v>1</v>
      </c>
      <c r="I1142" s="3">
        <v>33907.550000000003</v>
      </c>
      <c r="K1142" s="6">
        <f t="shared" si="35"/>
        <v>33907.550000000003</v>
      </c>
    </row>
    <row r="1143" spans="1:11" ht="14.5">
      <c r="A1143" s="3">
        <v>0</v>
      </c>
      <c r="C1143">
        <f t="shared" si="34"/>
        <v>1</v>
      </c>
      <c r="I1143" s="3">
        <v>1674.63</v>
      </c>
      <c r="K1143" s="6">
        <f t="shared" si="35"/>
        <v>1674.63</v>
      </c>
    </row>
    <row r="1144" spans="1:11" ht="14.5">
      <c r="A1144" s="3">
        <v>0</v>
      </c>
      <c r="C1144">
        <f t="shared" si="34"/>
        <v>1</v>
      </c>
      <c r="I1144" s="3">
        <v>2154.36</v>
      </c>
      <c r="K1144" s="6">
        <f t="shared" si="35"/>
        <v>2154.36</v>
      </c>
    </row>
    <row r="1145" spans="1:11" ht="14.5">
      <c r="A1145" s="3">
        <v>0</v>
      </c>
      <c r="C1145">
        <f t="shared" si="34"/>
        <v>1</v>
      </c>
      <c r="I1145" s="3">
        <v>2055.3200000000002</v>
      </c>
      <c r="K1145" s="6">
        <f t="shared" si="35"/>
        <v>2055.3200000000002</v>
      </c>
    </row>
    <row r="1146" spans="1:11" ht="14.5">
      <c r="A1146" s="3">
        <v>3</v>
      </c>
      <c r="C1146">
        <f t="shared" si="34"/>
        <v>4</v>
      </c>
      <c r="I1146" s="3">
        <v>4296.2700000000004</v>
      </c>
      <c r="K1146" s="6">
        <f t="shared" si="35"/>
        <v>1074.0675000000001</v>
      </c>
    </row>
    <row r="1147" spans="1:11" ht="14.5">
      <c r="A1147" s="3">
        <v>0</v>
      </c>
      <c r="C1147">
        <f t="shared" si="34"/>
        <v>1</v>
      </c>
      <c r="I1147" s="3">
        <v>2741.95</v>
      </c>
      <c r="K1147" s="6">
        <f t="shared" si="35"/>
        <v>2741.95</v>
      </c>
    </row>
    <row r="1148" spans="1:11" ht="14.5">
      <c r="A1148" s="3">
        <v>2</v>
      </c>
      <c r="C1148">
        <f t="shared" si="34"/>
        <v>3</v>
      </c>
      <c r="I1148" s="3">
        <v>3579.83</v>
      </c>
      <c r="K1148" s="6">
        <f t="shared" si="35"/>
        <v>1193.2766666666666</v>
      </c>
    </row>
    <row r="1149" spans="1:11" ht="14.5">
      <c r="A1149" s="3">
        <v>0</v>
      </c>
      <c r="C1149">
        <f t="shared" si="34"/>
        <v>1</v>
      </c>
      <c r="I1149" s="3">
        <v>1532.47</v>
      </c>
      <c r="K1149" s="6">
        <f t="shared" si="35"/>
        <v>1532.47</v>
      </c>
    </row>
    <row r="1150" spans="1:11" ht="14.5">
      <c r="A1150" s="3">
        <v>0</v>
      </c>
      <c r="C1150">
        <f t="shared" si="34"/>
        <v>1</v>
      </c>
      <c r="I1150" s="3">
        <v>2026.97</v>
      </c>
      <c r="K1150" s="6">
        <f t="shared" si="35"/>
        <v>2026.97</v>
      </c>
    </row>
    <row r="1151" spans="1:11" ht="14.5">
      <c r="A1151" s="3">
        <v>0</v>
      </c>
      <c r="C1151">
        <f t="shared" si="34"/>
        <v>1</v>
      </c>
      <c r="I1151" s="3">
        <v>2404.73</v>
      </c>
      <c r="K1151" s="6">
        <f t="shared" si="35"/>
        <v>2404.73</v>
      </c>
    </row>
    <row r="1152" spans="1:11" ht="14.5">
      <c r="A1152" s="3">
        <v>1</v>
      </c>
      <c r="C1152">
        <f t="shared" si="34"/>
        <v>2</v>
      </c>
      <c r="I1152" s="3">
        <v>2597.7800000000002</v>
      </c>
      <c r="K1152" s="6">
        <f t="shared" si="35"/>
        <v>1298.8900000000001</v>
      </c>
    </row>
    <row r="1153" spans="1:11" ht="14.5">
      <c r="A1153" s="3">
        <v>2</v>
      </c>
      <c r="C1153">
        <f t="shared" si="34"/>
        <v>3</v>
      </c>
      <c r="I1153" s="3">
        <v>3180.51</v>
      </c>
      <c r="K1153" s="6">
        <f t="shared" si="35"/>
        <v>1060.17</v>
      </c>
    </row>
    <row r="1154" spans="1:11" ht="14.5">
      <c r="A1154" s="3">
        <v>0</v>
      </c>
      <c r="C1154">
        <f t="shared" si="34"/>
        <v>1</v>
      </c>
      <c r="I1154" s="3">
        <v>16586.5</v>
      </c>
      <c r="K1154" s="6">
        <f t="shared" si="35"/>
        <v>16586.5</v>
      </c>
    </row>
    <row r="1155" spans="1:11" ht="14.5">
      <c r="A1155" s="3">
        <v>1</v>
      </c>
      <c r="C1155">
        <f t="shared" si="34"/>
        <v>2</v>
      </c>
      <c r="I1155" s="3">
        <v>3167.46</v>
      </c>
      <c r="K1155" s="6">
        <f t="shared" si="35"/>
        <v>1583.73</v>
      </c>
    </row>
    <row r="1156" spans="1:11" ht="14.5">
      <c r="A1156" s="3">
        <v>0</v>
      </c>
      <c r="C1156">
        <f t="shared" si="34"/>
        <v>1</v>
      </c>
      <c r="I1156" s="3">
        <v>1534.3</v>
      </c>
      <c r="K1156" s="6">
        <f t="shared" si="35"/>
        <v>1534.3</v>
      </c>
    </row>
    <row r="1157" spans="1:11" ht="14.5">
      <c r="A1157" s="3">
        <v>4</v>
      </c>
      <c r="C1157">
        <f t="shared" ref="C1157:C1220" si="36">1+A1157</f>
        <v>5</v>
      </c>
      <c r="I1157" s="3">
        <v>17942.11</v>
      </c>
      <c r="K1157" s="6">
        <f t="shared" ref="K1157:K1220" si="37">I1157/C1157</f>
        <v>3588.422</v>
      </c>
    </row>
    <row r="1158" spans="1:11" ht="14.5">
      <c r="A1158" s="3">
        <v>2</v>
      </c>
      <c r="C1158">
        <f t="shared" si="36"/>
        <v>3</v>
      </c>
      <c r="I1158" s="3">
        <v>3077.1</v>
      </c>
      <c r="K1158" s="6">
        <f t="shared" si="37"/>
        <v>1025.7</v>
      </c>
    </row>
    <row r="1159" spans="1:11" ht="14.5">
      <c r="A1159" s="3">
        <v>3</v>
      </c>
      <c r="C1159">
        <f t="shared" si="36"/>
        <v>4</v>
      </c>
      <c r="I1159" s="3">
        <v>3861.21</v>
      </c>
      <c r="K1159" s="6">
        <f t="shared" si="37"/>
        <v>965.30250000000001</v>
      </c>
    </row>
    <row r="1160" spans="1:11" ht="14.5">
      <c r="A1160" s="3">
        <v>1</v>
      </c>
      <c r="C1160">
        <f t="shared" si="36"/>
        <v>2</v>
      </c>
      <c r="I1160" s="3">
        <v>15359.1</v>
      </c>
      <c r="K1160" s="6">
        <f t="shared" si="37"/>
        <v>7679.55</v>
      </c>
    </row>
    <row r="1161" spans="1:11" ht="14.5">
      <c r="A1161" s="3">
        <v>1</v>
      </c>
      <c r="C1161">
        <f t="shared" si="36"/>
        <v>2</v>
      </c>
      <c r="I1161" s="3">
        <v>2585.27</v>
      </c>
      <c r="K1161" s="6">
        <f t="shared" si="37"/>
        <v>1292.635</v>
      </c>
    </row>
    <row r="1162" spans="1:11" ht="14.5">
      <c r="A1162" s="3">
        <v>0</v>
      </c>
      <c r="C1162">
        <f t="shared" si="36"/>
        <v>1</v>
      </c>
      <c r="I1162" s="3">
        <v>2104.11</v>
      </c>
      <c r="K1162" s="6">
        <f t="shared" si="37"/>
        <v>2104.11</v>
      </c>
    </row>
    <row r="1163" spans="1:11" ht="14.5">
      <c r="A1163" s="3">
        <v>0</v>
      </c>
      <c r="C1163">
        <f t="shared" si="36"/>
        <v>1</v>
      </c>
      <c r="I1163" s="3">
        <v>2020.55</v>
      </c>
      <c r="K1163" s="6">
        <f t="shared" si="37"/>
        <v>2020.55</v>
      </c>
    </row>
    <row r="1164" spans="1:11" ht="14.5">
      <c r="A1164" s="3">
        <v>0</v>
      </c>
      <c r="C1164">
        <f t="shared" si="36"/>
        <v>1</v>
      </c>
      <c r="I1164" s="3">
        <v>1906.36</v>
      </c>
      <c r="K1164" s="6">
        <f t="shared" si="37"/>
        <v>1906.36</v>
      </c>
    </row>
    <row r="1165" spans="1:11" ht="14.5">
      <c r="A1165" s="3">
        <v>0</v>
      </c>
      <c r="C1165">
        <f t="shared" si="36"/>
        <v>1</v>
      </c>
      <c r="I1165" s="3">
        <v>1917.32</v>
      </c>
      <c r="K1165" s="6">
        <f t="shared" si="37"/>
        <v>1917.32</v>
      </c>
    </row>
    <row r="1166" spans="1:11" ht="14.5">
      <c r="A1166" s="3">
        <v>1</v>
      </c>
      <c r="C1166">
        <f t="shared" si="36"/>
        <v>2</v>
      </c>
      <c r="I1166" s="3">
        <v>2103.08</v>
      </c>
      <c r="K1166" s="6">
        <f t="shared" si="37"/>
        <v>1051.54</v>
      </c>
    </row>
    <row r="1167" spans="1:11" ht="14.5">
      <c r="A1167" s="3">
        <v>0</v>
      </c>
      <c r="C1167">
        <f t="shared" si="36"/>
        <v>1</v>
      </c>
      <c r="I1167" s="3">
        <v>1526.31</v>
      </c>
      <c r="K1167" s="6">
        <f t="shared" si="37"/>
        <v>1526.31</v>
      </c>
    </row>
    <row r="1168" spans="1:11" ht="14.5">
      <c r="A1168" s="3">
        <v>0</v>
      </c>
      <c r="C1168">
        <f t="shared" si="36"/>
        <v>1</v>
      </c>
      <c r="I1168" s="3">
        <v>2585.85</v>
      </c>
      <c r="K1168" s="6">
        <f t="shared" si="37"/>
        <v>2585.85</v>
      </c>
    </row>
    <row r="1169" spans="1:11" ht="14.5">
      <c r="A1169" s="3">
        <v>2</v>
      </c>
      <c r="C1169">
        <f t="shared" si="36"/>
        <v>3</v>
      </c>
      <c r="I1169" s="3">
        <v>3279.87</v>
      </c>
      <c r="K1169" s="6">
        <f t="shared" si="37"/>
        <v>1093.29</v>
      </c>
    </row>
    <row r="1170" spans="1:11" ht="14.5">
      <c r="A1170" s="3">
        <v>2</v>
      </c>
      <c r="C1170">
        <f t="shared" si="36"/>
        <v>3</v>
      </c>
      <c r="I1170" s="3">
        <v>26018.95</v>
      </c>
      <c r="K1170" s="6">
        <f t="shared" si="37"/>
        <v>8672.9833333333336</v>
      </c>
    </row>
    <row r="1171" spans="1:11" ht="14.5">
      <c r="A1171" s="3">
        <v>0</v>
      </c>
      <c r="C1171">
        <f t="shared" si="36"/>
        <v>1</v>
      </c>
      <c r="I1171" s="3">
        <v>2020.18</v>
      </c>
      <c r="K1171" s="6">
        <f t="shared" si="37"/>
        <v>2020.18</v>
      </c>
    </row>
    <row r="1172" spans="1:11" ht="14.5">
      <c r="A1172" s="3">
        <v>0</v>
      </c>
      <c r="C1172">
        <f t="shared" si="36"/>
        <v>1</v>
      </c>
      <c r="I1172" s="3">
        <v>1909.53</v>
      </c>
      <c r="K1172" s="6">
        <f t="shared" si="37"/>
        <v>1909.53</v>
      </c>
    </row>
    <row r="1173" spans="1:11" ht="14.5">
      <c r="A1173" s="3">
        <v>0</v>
      </c>
      <c r="C1173">
        <f t="shared" si="36"/>
        <v>1</v>
      </c>
      <c r="I1173" s="3">
        <v>2102.2600000000002</v>
      </c>
      <c r="K1173" s="6">
        <f t="shared" si="37"/>
        <v>2102.2600000000002</v>
      </c>
    </row>
    <row r="1174" spans="1:11" ht="14.5">
      <c r="A1174" s="3">
        <v>0</v>
      </c>
      <c r="C1174">
        <f t="shared" si="36"/>
        <v>1</v>
      </c>
      <c r="I1174" s="3">
        <v>1515.34</v>
      </c>
      <c r="K1174" s="6">
        <f t="shared" si="37"/>
        <v>1515.34</v>
      </c>
    </row>
    <row r="1175" spans="1:11" ht="14.5">
      <c r="A1175" s="3">
        <v>0</v>
      </c>
      <c r="C1175">
        <f t="shared" si="36"/>
        <v>1</v>
      </c>
      <c r="I1175" s="3">
        <v>2007.95</v>
      </c>
      <c r="K1175" s="6">
        <f t="shared" si="37"/>
        <v>2007.95</v>
      </c>
    </row>
    <row r="1176" spans="1:11" ht="14.5">
      <c r="A1176" s="3">
        <v>0</v>
      </c>
      <c r="C1176">
        <f t="shared" si="36"/>
        <v>1</v>
      </c>
      <c r="I1176" s="3">
        <v>14711.74</v>
      </c>
      <c r="K1176" s="6">
        <f t="shared" si="37"/>
        <v>14711.74</v>
      </c>
    </row>
    <row r="1177" spans="1:11" ht="14.5">
      <c r="A1177" s="3">
        <v>1</v>
      </c>
      <c r="C1177">
        <f t="shared" si="36"/>
        <v>2</v>
      </c>
      <c r="I1177" s="3">
        <v>17560.38</v>
      </c>
      <c r="K1177" s="6">
        <f t="shared" si="37"/>
        <v>8780.19</v>
      </c>
    </row>
    <row r="1178" spans="1:11" ht="14.5">
      <c r="A1178" s="3">
        <v>0</v>
      </c>
      <c r="C1178">
        <f t="shared" si="36"/>
        <v>1</v>
      </c>
      <c r="I1178" s="3">
        <v>2257.48</v>
      </c>
      <c r="K1178" s="6">
        <f t="shared" si="37"/>
        <v>2257.48</v>
      </c>
    </row>
    <row r="1179" spans="1:11" ht="14.5">
      <c r="A1179" s="3">
        <v>0</v>
      </c>
      <c r="C1179">
        <f t="shared" si="36"/>
        <v>1</v>
      </c>
      <c r="I1179" s="3">
        <v>2457.21</v>
      </c>
      <c r="K1179" s="6">
        <f t="shared" si="37"/>
        <v>2457.21</v>
      </c>
    </row>
    <row r="1180" spans="1:11" ht="14.5">
      <c r="A1180" s="3">
        <v>5</v>
      </c>
      <c r="C1180">
        <f t="shared" si="36"/>
        <v>6</v>
      </c>
      <c r="I1180" s="3">
        <v>4830.63</v>
      </c>
      <c r="K1180" s="6">
        <f t="shared" si="37"/>
        <v>805.10500000000002</v>
      </c>
    </row>
    <row r="1181" spans="1:11" ht="14.5">
      <c r="A1181" s="3">
        <v>1</v>
      </c>
      <c r="C1181">
        <f t="shared" si="36"/>
        <v>2</v>
      </c>
      <c r="I1181" s="3">
        <v>1980.07</v>
      </c>
      <c r="K1181" s="6">
        <f t="shared" si="37"/>
        <v>990.03499999999997</v>
      </c>
    </row>
    <row r="1182" spans="1:11" ht="14.5">
      <c r="A1182" s="3">
        <v>1</v>
      </c>
      <c r="C1182">
        <f t="shared" si="36"/>
        <v>2</v>
      </c>
      <c r="I1182" s="3">
        <v>17085.27</v>
      </c>
      <c r="K1182" s="6">
        <f t="shared" si="37"/>
        <v>8542.6350000000002</v>
      </c>
    </row>
    <row r="1183" spans="1:11" ht="14.5">
      <c r="A1183" s="3">
        <v>0</v>
      </c>
      <c r="C1183">
        <f t="shared" si="36"/>
        <v>1</v>
      </c>
      <c r="I1183" s="3">
        <v>1391.53</v>
      </c>
      <c r="K1183" s="6">
        <f t="shared" si="37"/>
        <v>1391.53</v>
      </c>
    </row>
    <row r="1184" spans="1:11" ht="14.5">
      <c r="A1184" s="3">
        <v>0</v>
      </c>
      <c r="C1184">
        <f t="shared" si="36"/>
        <v>1</v>
      </c>
      <c r="I1184" s="3">
        <v>1769.53</v>
      </c>
      <c r="K1184" s="6">
        <f t="shared" si="37"/>
        <v>1769.53</v>
      </c>
    </row>
    <row r="1185" spans="1:11" ht="14.5">
      <c r="A1185" s="3">
        <v>0</v>
      </c>
      <c r="C1185">
        <f t="shared" si="36"/>
        <v>1</v>
      </c>
      <c r="I1185" s="3">
        <v>1967.02</v>
      </c>
      <c r="K1185" s="6">
        <f t="shared" si="37"/>
        <v>1967.02</v>
      </c>
    </row>
    <row r="1186" spans="1:11" ht="14.5">
      <c r="A1186" s="3">
        <v>1</v>
      </c>
      <c r="C1186">
        <f t="shared" si="36"/>
        <v>2</v>
      </c>
      <c r="I1186" s="3">
        <v>27724.29</v>
      </c>
      <c r="K1186" s="6">
        <f t="shared" si="37"/>
        <v>13862.145</v>
      </c>
    </row>
    <row r="1187" spans="1:11" ht="14.5">
      <c r="A1187" s="3">
        <v>2</v>
      </c>
      <c r="C1187">
        <f t="shared" si="36"/>
        <v>3</v>
      </c>
      <c r="I1187" s="3">
        <v>3056.39</v>
      </c>
      <c r="K1187" s="6">
        <f t="shared" si="37"/>
        <v>1018.7966666666666</v>
      </c>
    </row>
    <row r="1188" spans="1:11" ht="14.5">
      <c r="A1188" s="3">
        <v>2</v>
      </c>
      <c r="C1188">
        <f t="shared" si="36"/>
        <v>3</v>
      </c>
      <c r="I1188" s="3">
        <v>2566.4699999999998</v>
      </c>
      <c r="K1188" s="6">
        <f t="shared" si="37"/>
        <v>855.4899999999999</v>
      </c>
    </row>
    <row r="1189" spans="1:11" ht="14.5">
      <c r="A1189" s="3">
        <v>0</v>
      </c>
      <c r="C1189">
        <f t="shared" si="36"/>
        <v>1</v>
      </c>
      <c r="I1189" s="3">
        <v>1880.07</v>
      </c>
      <c r="K1189" s="6">
        <f t="shared" si="37"/>
        <v>1880.07</v>
      </c>
    </row>
    <row r="1190" spans="1:11" ht="14.5">
      <c r="A1190" s="3">
        <v>1</v>
      </c>
      <c r="C1190">
        <f t="shared" si="36"/>
        <v>2</v>
      </c>
      <c r="I1190" s="3">
        <v>2362.23</v>
      </c>
      <c r="K1190" s="6">
        <f t="shared" si="37"/>
        <v>1181.115</v>
      </c>
    </row>
    <row r="1191" spans="1:11" ht="14.5">
      <c r="A1191" s="3">
        <v>0</v>
      </c>
      <c r="C1191">
        <f t="shared" si="36"/>
        <v>1</v>
      </c>
      <c r="I1191" s="3">
        <v>1984.45</v>
      </c>
      <c r="K1191" s="6">
        <f t="shared" si="37"/>
        <v>1984.45</v>
      </c>
    </row>
    <row r="1192" spans="1:11" ht="14.5">
      <c r="A1192" s="3">
        <v>0</v>
      </c>
      <c r="C1192">
        <f t="shared" si="36"/>
        <v>1</v>
      </c>
      <c r="I1192" s="3">
        <v>1877.93</v>
      </c>
      <c r="K1192" s="6">
        <f t="shared" si="37"/>
        <v>1877.93</v>
      </c>
    </row>
    <row r="1193" spans="1:11" ht="14.5">
      <c r="A1193" s="3">
        <v>0</v>
      </c>
      <c r="C1193">
        <f t="shared" si="36"/>
        <v>1</v>
      </c>
      <c r="I1193" s="3">
        <v>1875.34</v>
      </c>
      <c r="K1193" s="6">
        <f t="shared" si="37"/>
        <v>1875.34</v>
      </c>
    </row>
    <row r="1194" spans="1:11" ht="14.5">
      <c r="A1194" s="3">
        <v>5</v>
      </c>
      <c r="C1194">
        <f t="shared" si="36"/>
        <v>6</v>
      </c>
      <c r="I1194" s="3">
        <v>4915.0600000000004</v>
      </c>
      <c r="K1194" s="6">
        <f t="shared" si="37"/>
        <v>819.17666666666673</v>
      </c>
    </row>
    <row r="1195" spans="1:11" ht="14.5">
      <c r="A1195" s="3">
        <v>0</v>
      </c>
      <c r="C1195">
        <f t="shared" si="36"/>
        <v>1</v>
      </c>
      <c r="I1195" s="3">
        <v>33475.82</v>
      </c>
      <c r="K1195" s="6">
        <f t="shared" si="37"/>
        <v>33475.82</v>
      </c>
    </row>
    <row r="1196" spans="1:11" ht="14.5">
      <c r="A1196" s="3">
        <v>0</v>
      </c>
      <c r="C1196">
        <f t="shared" si="36"/>
        <v>1</v>
      </c>
      <c r="I1196" s="3">
        <v>2261.5700000000002</v>
      </c>
      <c r="K1196" s="6">
        <f t="shared" si="37"/>
        <v>2261.5700000000002</v>
      </c>
    </row>
    <row r="1197" spans="1:11" ht="14.5">
      <c r="A1197" s="3">
        <v>0</v>
      </c>
      <c r="C1197">
        <f t="shared" si="36"/>
        <v>1</v>
      </c>
      <c r="I1197" s="3">
        <v>2459.7199999999998</v>
      </c>
      <c r="K1197" s="6">
        <f t="shared" si="37"/>
        <v>2459.7199999999998</v>
      </c>
    </row>
    <row r="1198" spans="1:11" ht="14.5">
      <c r="A1198" s="3">
        <v>3</v>
      </c>
      <c r="C1198">
        <f t="shared" si="36"/>
        <v>4</v>
      </c>
      <c r="I1198" s="3">
        <v>37465.339999999997</v>
      </c>
      <c r="K1198" s="6">
        <f t="shared" si="37"/>
        <v>9366.3349999999991</v>
      </c>
    </row>
    <row r="1199" spans="1:11" ht="14.5">
      <c r="A1199" s="3">
        <v>0</v>
      </c>
      <c r="C1199">
        <f t="shared" si="36"/>
        <v>1</v>
      </c>
      <c r="I1199" s="3">
        <v>26125.67</v>
      </c>
      <c r="K1199" s="6">
        <f t="shared" si="37"/>
        <v>26125.67</v>
      </c>
    </row>
    <row r="1200" spans="1:11" ht="14.5">
      <c r="A1200" s="3">
        <v>0</v>
      </c>
      <c r="C1200">
        <f t="shared" si="36"/>
        <v>1</v>
      </c>
      <c r="I1200" s="3">
        <v>20167.34</v>
      </c>
      <c r="K1200" s="6">
        <f t="shared" si="37"/>
        <v>20167.34</v>
      </c>
    </row>
    <row r="1201" spans="1:11" ht="14.5">
      <c r="A1201" s="3">
        <v>0</v>
      </c>
      <c r="C1201">
        <f t="shared" si="36"/>
        <v>1</v>
      </c>
      <c r="I1201" s="3">
        <v>16232.85</v>
      </c>
      <c r="K1201" s="6">
        <f t="shared" si="37"/>
        <v>16232.85</v>
      </c>
    </row>
    <row r="1202" spans="1:11" ht="14.5">
      <c r="A1202" s="3">
        <v>0</v>
      </c>
      <c r="C1202">
        <f t="shared" si="36"/>
        <v>1</v>
      </c>
      <c r="I1202" s="3">
        <v>1880.49</v>
      </c>
      <c r="K1202" s="6">
        <f t="shared" si="37"/>
        <v>1880.49</v>
      </c>
    </row>
    <row r="1203" spans="1:11" ht="14.5">
      <c r="A1203" s="3">
        <v>2</v>
      </c>
      <c r="C1203">
        <f t="shared" si="36"/>
        <v>3</v>
      </c>
      <c r="I1203" s="3">
        <v>38344.57</v>
      </c>
      <c r="K1203" s="6">
        <f t="shared" si="37"/>
        <v>12781.523333333333</v>
      </c>
    </row>
    <row r="1204" spans="1:11" ht="14.5">
      <c r="A1204" s="3">
        <v>1</v>
      </c>
      <c r="C1204">
        <f t="shared" si="36"/>
        <v>2</v>
      </c>
      <c r="I1204" s="3">
        <v>1964.78</v>
      </c>
      <c r="K1204" s="6">
        <f t="shared" si="37"/>
        <v>982.39</v>
      </c>
    </row>
    <row r="1205" spans="1:11" ht="14.5">
      <c r="A1205" s="3">
        <v>0</v>
      </c>
      <c r="C1205">
        <f t="shared" si="36"/>
        <v>1</v>
      </c>
      <c r="I1205" s="3">
        <v>16884.919999999998</v>
      </c>
      <c r="K1205" s="6">
        <f t="shared" si="37"/>
        <v>16884.919999999998</v>
      </c>
    </row>
    <row r="1206" spans="1:11" ht="14.5">
      <c r="A1206" s="3">
        <v>1</v>
      </c>
      <c r="C1206">
        <f t="shared" si="36"/>
        <v>2</v>
      </c>
      <c r="I1206" s="3">
        <v>1837.24</v>
      </c>
      <c r="K1206" s="6">
        <f t="shared" si="37"/>
        <v>918.62</v>
      </c>
    </row>
    <row r="1207" spans="1:11" ht="14.5">
      <c r="A1207" s="3">
        <v>5</v>
      </c>
      <c r="C1207">
        <f t="shared" si="36"/>
        <v>6</v>
      </c>
      <c r="I1207" s="3">
        <v>4687.8</v>
      </c>
      <c r="K1207" s="6">
        <f t="shared" si="37"/>
        <v>781.30000000000007</v>
      </c>
    </row>
    <row r="1208" spans="1:11" ht="14.5">
      <c r="A1208" s="3">
        <v>0</v>
      </c>
      <c r="C1208">
        <f t="shared" si="36"/>
        <v>1</v>
      </c>
      <c r="I1208" s="3">
        <v>1625.43</v>
      </c>
      <c r="K1208" s="6">
        <f t="shared" si="37"/>
        <v>1625.43</v>
      </c>
    </row>
    <row r="1209" spans="1:11" ht="14.5">
      <c r="A1209" s="3">
        <v>0</v>
      </c>
      <c r="C1209">
        <f t="shared" si="36"/>
        <v>1</v>
      </c>
      <c r="I1209" s="3">
        <v>1743.21</v>
      </c>
      <c r="K1209" s="6">
        <f t="shared" si="37"/>
        <v>1743.21</v>
      </c>
    </row>
    <row r="1210" spans="1:11" ht="14.5">
      <c r="A1210" s="3">
        <v>1</v>
      </c>
      <c r="C1210">
        <f t="shared" si="36"/>
        <v>2</v>
      </c>
      <c r="I1210" s="3">
        <v>2331.52</v>
      </c>
      <c r="K1210" s="6">
        <f t="shared" si="37"/>
        <v>1165.76</v>
      </c>
    </row>
    <row r="1211" spans="1:11" ht="14.5">
      <c r="A1211" s="3">
        <v>0</v>
      </c>
      <c r="C1211">
        <f t="shared" si="36"/>
        <v>1</v>
      </c>
      <c r="I1211" s="3">
        <v>17081.080000000002</v>
      </c>
      <c r="K1211" s="6">
        <f t="shared" si="37"/>
        <v>17081.080000000002</v>
      </c>
    </row>
    <row r="1212" spans="1:11" ht="14.5">
      <c r="A1212" s="3">
        <v>0</v>
      </c>
      <c r="C1212">
        <f t="shared" si="36"/>
        <v>1</v>
      </c>
      <c r="I1212" s="3">
        <v>1632.56</v>
      </c>
      <c r="K1212" s="6">
        <f t="shared" si="37"/>
        <v>1632.56</v>
      </c>
    </row>
    <row r="1213" spans="1:11" ht="14.5">
      <c r="A1213" s="3">
        <v>0</v>
      </c>
      <c r="C1213">
        <f t="shared" si="36"/>
        <v>1</v>
      </c>
      <c r="I1213" s="3">
        <v>1261.44</v>
      </c>
      <c r="K1213" s="6">
        <f t="shared" si="37"/>
        <v>1261.44</v>
      </c>
    </row>
    <row r="1214" spans="1:11" ht="14.5">
      <c r="A1214" s="3">
        <v>1</v>
      </c>
      <c r="C1214">
        <f t="shared" si="36"/>
        <v>2</v>
      </c>
      <c r="I1214" s="3">
        <v>1842.52</v>
      </c>
      <c r="K1214" s="6">
        <f t="shared" si="37"/>
        <v>921.26</v>
      </c>
    </row>
    <row r="1215" spans="1:11" ht="14.5">
      <c r="A1215" s="3">
        <v>1</v>
      </c>
      <c r="C1215">
        <f t="shared" si="36"/>
        <v>2</v>
      </c>
      <c r="I1215" s="3">
        <v>2719.28</v>
      </c>
      <c r="K1215" s="6">
        <f t="shared" si="37"/>
        <v>1359.64</v>
      </c>
    </row>
    <row r="1216" spans="1:11" ht="14.5">
      <c r="A1216" s="3">
        <v>0</v>
      </c>
      <c r="C1216">
        <f t="shared" si="36"/>
        <v>1</v>
      </c>
      <c r="I1216" s="3">
        <v>1639.56</v>
      </c>
      <c r="K1216" s="6">
        <f t="shared" si="37"/>
        <v>1639.56</v>
      </c>
    </row>
    <row r="1217" spans="1:11" ht="14.5">
      <c r="A1217" s="3">
        <v>0</v>
      </c>
      <c r="C1217">
        <f t="shared" si="36"/>
        <v>1</v>
      </c>
      <c r="I1217" s="3">
        <v>2130.6799999999998</v>
      </c>
      <c r="K1217" s="6">
        <f t="shared" si="37"/>
        <v>2130.6799999999998</v>
      </c>
    </row>
    <row r="1218" spans="1:11" ht="14.5">
      <c r="A1218" s="3">
        <v>0</v>
      </c>
      <c r="C1218">
        <f t="shared" si="36"/>
        <v>1</v>
      </c>
      <c r="I1218" s="3">
        <v>34779.620000000003</v>
      </c>
      <c r="K1218" s="6">
        <f t="shared" si="37"/>
        <v>34779.620000000003</v>
      </c>
    </row>
    <row r="1219" spans="1:11" ht="14.5">
      <c r="A1219" s="3">
        <v>0</v>
      </c>
      <c r="C1219">
        <f t="shared" si="36"/>
        <v>1</v>
      </c>
      <c r="I1219" s="3">
        <v>1727.79</v>
      </c>
      <c r="K1219" s="6">
        <f t="shared" si="37"/>
        <v>1727.79</v>
      </c>
    </row>
    <row r="1220" spans="1:11" ht="14.5">
      <c r="A1220" s="3">
        <v>0</v>
      </c>
      <c r="C1220">
        <f t="shared" si="36"/>
        <v>1</v>
      </c>
      <c r="I1220" s="3">
        <v>17352.68</v>
      </c>
      <c r="K1220" s="6">
        <f t="shared" si="37"/>
        <v>17352.68</v>
      </c>
    </row>
    <row r="1221" spans="1:11" ht="14.5">
      <c r="A1221" s="3">
        <v>1</v>
      </c>
      <c r="C1221">
        <f t="shared" ref="C1221:C1284" si="38">1+A1221</f>
        <v>2</v>
      </c>
      <c r="I1221" s="3">
        <v>1832.09</v>
      </c>
      <c r="K1221" s="6">
        <f t="shared" ref="K1221:K1284" si="39">I1221/C1221</f>
        <v>916.04499999999996</v>
      </c>
    </row>
    <row r="1222" spans="1:11" ht="14.5">
      <c r="A1222" s="3">
        <v>0</v>
      </c>
      <c r="C1222">
        <f t="shared" si="38"/>
        <v>1</v>
      </c>
      <c r="I1222" s="3">
        <v>33750.29</v>
      </c>
      <c r="K1222" s="6">
        <f t="shared" si="39"/>
        <v>33750.29</v>
      </c>
    </row>
    <row r="1223" spans="1:11" ht="14.5">
      <c r="A1223" s="3">
        <v>0</v>
      </c>
      <c r="C1223">
        <f t="shared" si="38"/>
        <v>1</v>
      </c>
      <c r="I1223" s="3">
        <v>36219.410000000003</v>
      </c>
      <c r="K1223" s="6">
        <f t="shared" si="39"/>
        <v>36219.410000000003</v>
      </c>
    </row>
    <row r="1224" spans="1:11" ht="14.5">
      <c r="A1224" s="3">
        <v>2</v>
      </c>
      <c r="C1224">
        <f t="shared" si="38"/>
        <v>3</v>
      </c>
      <c r="I1224" s="3">
        <v>2803.7</v>
      </c>
      <c r="K1224" s="6">
        <f t="shared" si="39"/>
        <v>934.56666666666661</v>
      </c>
    </row>
    <row r="1225" spans="1:11" ht="14.5">
      <c r="A1225" s="3">
        <v>0</v>
      </c>
      <c r="C1225">
        <f t="shared" si="38"/>
        <v>1</v>
      </c>
      <c r="I1225" s="3">
        <v>16297.85</v>
      </c>
      <c r="K1225" s="6">
        <f t="shared" si="39"/>
        <v>16297.85</v>
      </c>
    </row>
    <row r="1226" spans="1:11" ht="14.5">
      <c r="A1226" s="3">
        <v>0</v>
      </c>
      <c r="C1226">
        <f t="shared" si="38"/>
        <v>1</v>
      </c>
      <c r="I1226" s="3">
        <v>1737.38</v>
      </c>
      <c r="K1226" s="6">
        <f t="shared" si="39"/>
        <v>1737.38</v>
      </c>
    </row>
    <row r="1227" spans="1:11" ht="14.5">
      <c r="A1227" s="3">
        <v>0</v>
      </c>
      <c r="C1227">
        <f t="shared" si="38"/>
        <v>1</v>
      </c>
      <c r="I1227" s="3">
        <v>1635.73</v>
      </c>
      <c r="K1227" s="6">
        <f t="shared" si="39"/>
        <v>1635.73</v>
      </c>
    </row>
    <row r="1228" spans="1:11" ht="14.5">
      <c r="A1228" s="3">
        <v>0</v>
      </c>
      <c r="C1228">
        <f t="shared" si="38"/>
        <v>1</v>
      </c>
      <c r="I1228" s="3">
        <v>13844.51</v>
      </c>
      <c r="K1228" s="6">
        <f t="shared" si="39"/>
        <v>13844.51</v>
      </c>
    </row>
    <row r="1229" spans="1:11" ht="14.5">
      <c r="A1229" s="3">
        <v>0</v>
      </c>
      <c r="C1229">
        <f t="shared" si="38"/>
        <v>1</v>
      </c>
      <c r="I1229" s="3">
        <v>1261.8599999999999</v>
      </c>
      <c r="K1229" s="6">
        <f t="shared" si="39"/>
        <v>1261.8599999999999</v>
      </c>
    </row>
    <row r="1230" spans="1:11" ht="14.5">
      <c r="A1230" s="3">
        <v>0</v>
      </c>
      <c r="C1230">
        <f t="shared" si="38"/>
        <v>1</v>
      </c>
      <c r="I1230" s="3">
        <v>2138.0700000000002</v>
      </c>
      <c r="K1230" s="6">
        <f t="shared" si="39"/>
        <v>2138.0700000000002</v>
      </c>
    </row>
    <row r="1231" spans="1:11" ht="14.5">
      <c r="A1231" s="3">
        <v>0</v>
      </c>
      <c r="C1231">
        <f t="shared" si="38"/>
        <v>1</v>
      </c>
      <c r="I1231" s="3">
        <v>1621.34</v>
      </c>
      <c r="K1231" s="6">
        <f t="shared" si="39"/>
        <v>1621.34</v>
      </c>
    </row>
    <row r="1232" spans="1:11" ht="14.5">
      <c r="A1232" s="3">
        <v>0</v>
      </c>
      <c r="C1232">
        <f t="shared" si="38"/>
        <v>1</v>
      </c>
      <c r="I1232" s="3">
        <v>2134.9</v>
      </c>
      <c r="K1232" s="6">
        <f t="shared" si="39"/>
        <v>2134.9</v>
      </c>
    </row>
    <row r="1233" spans="1:11" ht="14.5">
      <c r="A1233" s="3">
        <v>0</v>
      </c>
      <c r="C1233">
        <f t="shared" si="38"/>
        <v>1</v>
      </c>
      <c r="I1233" s="3">
        <v>23082.959999999999</v>
      </c>
      <c r="K1233" s="6">
        <f t="shared" si="39"/>
        <v>23082.959999999999</v>
      </c>
    </row>
    <row r="1234" spans="1:11" ht="14.5">
      <c r="A1234" s="3">
        <v>0</v>
      </c>
      <c r="C1234">
        <f t="shared" si="38"/>
        <v>1</v>
      </c>
      <c r="I1234" s="3">
        <v>1632.04</v>
      </c>
      <c r="K1234" s="6">
        <f t="shared" si="39"/>
        <v>1632.04</v>
      </c>
    </row>
    <row r="1235" spans="1:11" ht="14.5">
      <c r="A1235" s="3">
        <v>0</v>
      </c>
      <c r="C1235">
        <f t="shared" si="38"/>
        <v>1</v>
      </c>
      <c r="I1235" s="3">
        <v>1744.47</v>
      </c>
      <c r="K1235" s="6">
        <f t="shared" si="39"/>
        <v>1744.47</v>
      </c>
    </row>
    <row r="1236" spans="1:11" ht="14.5">
      <c r="A1236" s="3">
        <v>0</v>
      </c>
      <c r="C1236">
        <f t="shared" si="38"/>
        <v>1</v>
      </c>
      <c r="I1236" s="3">
        <v>1253.94</v>
      </c>
      <c r="K1236" s="6">
        <f t="shared" si="39"/>
        <v>1253.94</v>
      </c>
    </row>
    <row r="1237" spans="1:11" ht="14.5">
      <c r="A1237" s="3">
        <v>0</v>
      </c>
      <c r="C1237">
        <f t="shared" si="38"/>
        <v>1</v>
      </c>
      <c r="I1237" s="3">
        <v>1748.77</v>
      </c>
      <c r="K1237" s="6">
        <f t="shared" si="39"/>
        <v>1748.77</v>
      </c>
    </row>
    <row r="1238" spans="1:11" ht="14.5">
      <c r="A1238" s="3">
        <v>0</v>
      </c>
      <c r="C1238">
        <f t="shared" si="38"/>
        <v>1</v>
      </c>
      <c r="I1238" s="3">
        <v>32548.34</v>
      </c>
      <c r="K1238" s="6">
        <f t="shared" si="39"/>
        <v>32548.34</v>
      </c>
    </row>
    <row r="1239" spans="1:11" ht="14.5">
      <c r="A1239" s="3">
        <v>0</v>
      </c>
      <c r="C1239">
        <f t="shared" si="38"/>
        <v>1</v>
      </c>
      <c r="I1239" s="3">
        <v>1256.3</v>
      </c>
      <c r="K1239" s="6">
        <f t="shared" si="39"/>
        <v>1256.3</v>
      </c>
    </row>
    <row r="1240" spans="1:11" ht="14.5">
      <c r="A1240" s="3">
        <v>2</v>
      </c>
      <c r="C1240">
        <f t="shared" si="38"/>
        <v>3</v>
      </c>
      <c r="I1240" s="3">
        <v>24059.68</v>
      </c>
      <c r="K1240" s="6">
        <f t="shared" si="39"/>
        <v>8019.8933333333334</v>
      </c>
    </row>
    <row r="1241" spans="1:11" ht="14.5">
      <c r="A1241" s="3">
        <v>0</v>
      </c>
      <c r="C1241">
        <f t="shared" si="38"/>
        <v>1</v>
      </c>
      <c r="I1241" s="3">
        <v>1646.43</v>
      </c>
      <c r="K1241" s="6">
        <f t="shared" si="39"/>
        <v>1646.43</v>
      </c>
    </row>
    <row r="1242" spans="1:11" ht="14.5">
      <c r="A1242" s="3">
        <v>0</v>
      </c>
      <c r="C1242">
        <f t="shared" si="38"/>
        <v>1</v>
      </c>
      <c r="I1242" s="3">
        <v>2128.4299999999998</v>
      </c>
      <c r="K1242" s="6">
        <f t="shared" si="39"/>
        <v>2128.4299999999998</v>
      </c>
    </row>
    <row r="1243" spans="1:11" ht="14.5">
      <c r="A1243" s="3">
        <v>0</v>
      </c>
      <c r="C1243">
        <f t="shared" si="38"/>
        <v>1</v>
      </c>
      <c r="I1243" s="3">
        <v>1639.56</v>
      </c>
      <c r="K1243" s="6">
        <f t="shared" si="39"/>
        <v>1639.56</v>
      </c>
    </row>
    <row r="1244" spans="1:11" ht="14.5">
      <c r="A1244" s="3">
        <v>0</v>
      </c>
      <c r="C1244">
        <f t="shared" si="38"/>
        <v>1</v>
      </c>
      <c r="I1244" s="3">
        <v>1242.82</v>
      </c>
      <c r="K1244" s="6">
        <f t="shared" si="39"/>
        <v>1242.82</v>
      </c>
    </row>
    <row r="1245" spans="1:11" ht="14.5">
      <c r="A1245" s="3">
        <v>0</v>
      </c>
      <c r="C1245">
        <f t="shared" si="38"/>
        <v>1</v>
      </c>
      <c r="I1245" s="3">
        <v>17468.98</v>
      </c>
      <c r="K1245" s="6">
        <f t="shared" si="39"/>
        <v>17468.98</v>
      </c>
    </row>
    <row r="1246" spans="1:11" ht="14.5">
      <c r="A1246" s="3">
        <v>0</v>
      </c>
      <c r="C1246">
        <f t="shared" si="38"/>
        <v>1</v>
      </c>
      <c r="I1246" s="3">
        <v>34439.86</v>
      </c>
      <c r="K1246" s="6">
        <f t="shared" si="39"/>
        <v>34439.86</v>
      </c>
    </row>
    <row r="1247" spans="1:11" ht="14.5">
      <c r="A1247" s="3">
        <v>1</v>
      </c>
      <c r="C1247">
        <f t="shared" si="38"/>
        <v>2</v>
      </c>
      <c r="I1247" s="3">
        <v>2709.11</v>
      </c>
      <c r="K1247" s="6">
        <f t="shared" si="39"/>
        <v>1354.5550000000001</v>
      </c>
    </row>
    <row r="1248" spans="1:11" ht="14.5">
      <c r="A1248" s="3">
        <v>0</v>
      </c>
      <c r="C1248">
        <f t="shared" si="38"/>
        <v>1</v>
      </c>
      <c r="I1248" s="3">
        <v>1242.26</v>
      </c>
      <c r="K1248" s="6">
        <f t="shared" si="39"/>
        <v>1242.26</v>
      </c>
    </row>
    <row r="1249" spans="1:11" ht="14.5">
      <c r="A1249" s="3">
        <v>0</v>
      </c>
      <c r="C1249">
        <f t="shared" si="38"/>
        <v>1</v>
      </c>
      <c r="I1249" s="3">
        <v>1263.25</v>
      </c>
      <c r="K1249" s="6">
        <f t="shared" si="39"/>
        <v>1263.25</v>
      </c>
    </row>
    <row r="1250" spans="1:11" ht="14.5">
      <c r="A1250" s="3">
        <v>0</v>
      </c>
      <c r="C1250">
        <f t="shared" si="38"/>
        <v>1</v>
      </c>
      <c r="I1250" s="3">
        <v>1627.28</v>
      </c>
      <c r="K1250" s="6">
        <f t="shared" si="39"/>
        <v>1627.28</v>
      </c>
    </row>
    <row r="1251" spans="1:11" ht="14.5">
      <c r="A1251" s="3">
        <v>0</v>
      </c>
      <c r="C1251">
        <f t="shared" si="38"/>
        <v>1</v>
      </c>
      <c r="I1251" s="3">
        <v>17748.509999999998</v>
      </c>
      <c r="K1251" s="6">
        <f t="shared" si="39"/>
        <v>17748.509999999998</v>
      </c>
    </row>
    <row r="1252" spans="1:11" ht="14.5">
      <c r="A1252" s="3">
        <v>0</v>
      </c>
      <c r="C1252">
        <f t="shared" si="38"/>
        <v>1</v>
      </c>
      <c r="I1252" s="3">
        <v>1252.4100000000001</v>
      </c>
      <c r="K1252" s="6">
        <f t="shared" si="39"/>
        <v>1252.4100000000001</v>
      </c>
    </row>
    <row r="1253" spans="1:11" ht="14.5">
      <c r="A1253" s="3">
        <v>0</v>
      </c>
      <c r="C1253">
        <f t="shared" si="38"/>
        <v>1</v>
      </c>
      <c r="I1253" s="3">
        <v>2136.88</v>
      </c>
      <c r="K1253" s="6">
        <f t="shared" si="39"/>
        <v>2136.88</v>
      </c>
    </row>
    <row r="1254" spans="1:11" ht="14.5">
      <c r="A1254" s="3">
        <v>1</v>
      </c>
      <c r="C1254">
        <f t="shared" si="38"/>
        <v>2</v>
      </c>
      <c r="I1254" s="3">
        <v>2221.56</v>
      </c>
      <c r="K1254" s="6">
        <f t="shared" si="39"/>
        <v>1110.78</v>
      </c>
    </row>
    <row r="1255" spans="1:11" ht="14.5">
      <c r="A1255" s="3">
        <v>0</v>
      </c>
      <c r="C1255">
        <f t="shared" si="38"/>
        <v>1</v>
      </c>
      <c r="I1255" s="3">
        <v>2117.34</v>
      </c>
      <c r="K1255" s="6">
        <f t="shared" si="39"/>
        <v>2117.34</v>
      </c>
    </row>
    <row r="1256" spans="1:11" ht="14.5">
      <c r="A1256" s="3">
        <v>2</v>
      </c>
      <c r="C1256">
        <f t="shared" si="38"/>
        <v>3</v>
      </c>
      <c r="I1256" s="3">
        <v>2913.57</v>
      </c>
      <c r="K1256" s="6">
        <f t="shared" si="39"/>
        <v>971.19</v>
      </c>
    </row>
    <row r="1257" spans="1:11" ht="14.5">
      <c r="A1257" s="3">
        <v>0</v>
      </c>
      <c r="C1257">
        <f t="shared" si="38"/>
        <v>1</v>
      </c>
      <c r="I1257" s="3">
        <v>1628.47</v>
      </c>
      <c r="K1257" s="6">
        <f t="shared" si="39"/>
        <v>1628.47</v>
      </c>
    </row>
    <row r="1258" spans="1:11" ht="14.5">
      <c r="A1258" s="3">
        <v>1</v>
      </c>
      <c r="C1258">
        <f t="shared" si="38"/>
        <v>2</v>
      </c>
      <c r="I1258" s="3">
        <v>2730.11</v>
      </c>
      <c r="K1258" s="6">
        <f t="shared" si="39"/>
        <v>1365.0550000000001</v>
      </c>
    </row>
    <row r="1259" spans="1:11" ht="14.5">
      <c r="A1259" s="3">
        <v>0</v>
      </c>
      <c r="C1259">
        <f t="shared" si="38"/>
        <v>1</v>
      </c>
      <c r="I1259" s="3">
        <v>1759.34</v>
      </c>
      <c r="K1259" s="6">
        <f t="shared" si="39"/>
        <v>1759.34</v>
      </c>
    </row>
    <row r="1260" spans="1:11" ht="14.5">
      <c r="A1260" s="3">
        <v>1</v>
      </c>
      <c r="C1260">
        <f t="shared" si="38"/>
        <v>2</v>
      </c>
      <c r="I1260" s="3">
        <v>2709.24</v>
      </c>
      <c r="K1260" s="6">
        <f t="shared" si="39"/>
        <v>1354.62</v>
      </c>
    </row>
    <row r="1261" spans="1:11" ht="14.5">
      <c r="A1261" s="3">
        <v>1</v>
      </c>
      <c r="C1261">
        <f t="shared" si="38"/>
        <v>2</v>
      </c>
      <c r="I1261" s="3">
        <v>16450.89</v>
      </c>
      <c r="K1261" s="6">
        <f t="shared" si="39"/>
        <v>8225.4449999999997</v>
      </c>
    </row>
    <row r="1262" spans="1:11" ht="14.5">
      <c r="A1262" s="3">
        <v>2</v>
      </c>
      <c r="C1262">
        <f t="shared" si="38"/>
        <v>3</v>
      </c>
      <c r="I1262" s="3">
        <v>22493.66</v>
      </c>
      <c r="K1262" s="6">
        <f t="shared" si="39"/>
        <v>7497.8866666666663</v>
      </c>
    </row>
    <row r="1263" spans="1:11" ht="14.5">
      <c r="A1263" s="3">
        <v>0</v>
      </c>
      <c r="C1263">
        <f t="shared" si="38"/>
        <v>1</v>
      </c>
      <c r="I1263" s="3">
        <v>1728.9</v>
      </c>
      <c r="K1263" s="6">
        <f t="shared" si="39"/>
        <v>1728.9</v>
      </c>
    </row>
    <row r="1264" spans="1:11" ht="14.5">
      <c r="A1264" s="3">
        <v>0</v>
      </c>
      <c r="C1264">
        <f t="shared" si="38"/>
        <v>1</v>
      </c>
      <c r="I1264" s="3">
        <v>36898.730000000003</v>
      </c>
      <c r="K1264" s="6">
        <f t="shared" si="39"/>
        <v>36898.730000000003</v>
      </c>
    </row>
    <row r="1265" spans="1:11" ht="14.5">
      <c r="A1265" s="3">
        <v>0</v>
      </c>
      <c r="C1265">
        <f t="shared" si="38"/>
        <v>1</v>
      </c>
      <c r="I1265" s="3">
        <v>39722.75</v>
      </c>
      <c r="K1265" s="6">
        <f t="shared" si="39"/>
        <v>39722.75</v>
      </c>
    </row>
    <row r="1266" spans="1:11" ht="14.5">
      <c r="A1266" s="3">
        <v>3</v>
      </c>
      <c r="C1266">
        <f t="shared" si="38"/>
        <v>4</v>
      </c>
      <c r="I1266" s="3">
        <v>18838.7</v>
      </c>
      <c r="K1266" s="6">
        <f t="shared" si="39"/>
        <v>4709.6750000000002</v>
      </c>
    </row>
    <row r="1267" spans="1:11" ht="14.5">
      <c r="A1267" s="3">
        <v>0</v>
      </c>
      <c r="C1267">
        <f t="shared" si="38"/>
        <v>1</v>
      </c>
      <c r="I1267" s="3">
        <v>33307.550000000003</v>
      </c>
      <c r="K1267" s="6">
        <f t="shared" si="39"/>
        <v>33307.550000000003</v>
      </c>
    </row>
    <row r="1268" spans="1:11" ht="14.5">
      <c r="A1268" s="3">
        <v>0</v>
      </c>
      <c r="C1268">
        <f t="shared" si="38"/>
        <v>1</v>
      </c>
      <c r="I1268" s="3">
        <v>1241.57</v>
      </c>
      <c r="K1268" s="6">
        <f t="shared" si="39"/>
        <v>1241.57</v>
      </c>
    </row>
    <row r="1269" spans="1:11" ht="14.5">
      <c r="A1269" s="3">
        <v>0</v>
      </c>
      <c r="C1269">
        <f t="shared" si="38"/>
        <v>1</v>
      </c>
      <c r="I1269" s="3">
        <v>34828.65</v>
      </c>
      <c r="K1269" s="6">
        <f t="shared" si="39"/>
        <v>34828.65</v>
      </c>
    </row>
    <row r="1270" spans="1:11" ht="14.5">
      <c r="A1270" s="3">
        <v>1</v>
      </c>
      <c r="C1270">
        <f t="shared" si="38"/>
        <v>2</v>
      </c>
      <c r="I1270" s="3">
        <v>2710.83</v>
      </c>
      <c r="K1270" s="6">
        <f t="shared" si="39"/>
        <v>1355.415</v>
      </c>
    </row>
    <row r="1271" spans="1:11" ht="14.5">
      <c r="A1271" s="3">
        <v>2</v>
      </c>
      <c r="C1271">
        <f t="shared" si="38"/>
        <v>3</v>
      </c>
      <c r="I1271" s="3">
        <v>36397.58</v>
      </c>
      <c r="K1271" s="6">
        <f t="shared" si="39"/>
        <v>12132.526666666667</v>
      </c>
    </row>
    <row r="1272" spans="1:11" ht="14.5">
      <c r="A1272" s="3">
        <v>0</v>
      </c>
      <c r="C1272">
        <f t="shared" si="38"/>
        <v>1</v>
      </c>
      <c r="I1272" s="3">
        <v>1731.68</v>
      </c>
      <c r="K1272" s="6">
        <f t="shared" si="39"/>
        <v>1731.68</v>
      </c>
    </row>
    <row r="1273" spans="1:11" ht="14.5">
      <c r="A1273" s="3">
        <v>1</v>
      </c>
      <c r="C1273">
        <f t="shared" si="38"/>
        <v>2</v>
      </c>
      <c r="I1273" s="3">
        <v>1725.55</v>
      </c>
      <c r="K1273" s="6">
        <f t="shared" si="39"/>
        <v>862.77499999999998</v>
      </c>
    </row>
    <row r="1274" spans="1:11" ht="14.5">
      <c r="A1274" s="3">
        <v>0</v>
      </c>
      <c r="C1274">
        <f t="shared" si="38"/>
        <v>1</v>
      </c>
      <c r="I1274" s="3">
        <v>1137.01</v>
      </c>
      <c r="K1274" s="6">
        <f t="shared" si="39"/>
        <v>1137.01</v>
      </c>
    </row>
    <row r="1275" spans="1:11" ht="14.5">
      <c r="A1275" s="3">
        <v>0</v>
      </c>
      <c r="C1275">
        <f t="shared" si="38"/>
        <v>1</v>
      </c>
      <c r="I1275" s="3">
        <v>2198.19</v>
      </c>
      <c r="K1275" s="6">
        <f t="shared" si="39"/>
        <v>2198.19</v>
      </c>
    </row>
    <row r="1276" spans="1:11" ht="14.5">
      <c r="A1276" s="3">
        <v>2</v>
      </c>
      <c r="C1276">
        <f t="shared" si="38"/>
        <v>3</v>
      </c>
      <c r="I1276" s="3">
        <v>3393.36</v>
      </c>
      <c r="K1276" s="6">
        <f t="shared" si="39"/>
        <v>1131.1200000000001</v>
      </c>
    </row>
    <row r="1277" spans="1:11" ht="14.5">
      <c r="A1277" s="3">
        <v>0</v>
      </c>
      <c r="C1277">
        <f t="shared" si="38"/>
        <v>1</v>
      </c>
      <c r="I1277" s="3">
        <v>2211.13</v>
      </c>
      <c r="K1277" s="6">
        <f t="shared" si="39"/>
        <v>2211.13</v>
      </c>
    </row>
    <row r="1278" spans="1:11" ht="14.5">
      <c r="A1278" s="3">
        <v>2</v>
      </c>
      <c r="C1278">
        <f t="shared" si="38"/>
        <v>3</v>
      </c>
      <c r="I1278" s="3">
        <v>34303.17</v>
      </c>
      <c r="K1278" s="6">
        <f t="shared" si="39"/>
        <v>11434.39</v>
      </c>
    </row>
    <row r="1279" spans="1:11" ht="14.5">
      <c r="A1279" s="3">
        <v>0</v>
      </c>
      <c r="C1279">
        <f t="shared" si="38"/>
        <v>1</v>
      </c>
      <c r="I1279" s="3">
        <v>21344.85</v>
      </c>
      <c r="K1279" s="6">
        <f t="shared" si="39"/>
        <v>21344.85</v>
      </c>
    </row>
    <row r="1280" spans="1:11" ht="14.5">
      <c r="A1280" s="3">
        <v>0</v>
      </c>
      <c r="C1280">
        <f t="shared" si="38"/>
        <v>1</v>
      </c>
      <c r="I1280" s="3">
        <v>1705.62</v>
      </c>
      <c r="K1280" s="6">
        <f t="shared" si="39"/>
        <v>1705.62</v>
      </c>
    </row>
    <row r="1281" spans="1:11" ht="14.5">
      <c r="A1281" s="3">
        <v>0</v>
      </c>
      <c r="C1281">
        <f t="shared" si="38"/>
        <v>1</v>
      </c>
      <c r="I1281" s="3">
        <v>15518.18</v>
      </c>
      <c r="K1281" s="6">
        <f t="shared" si="39"/>
        <v>15518.18</v>
      </c>
    </row>
    <row r="1282" spans="1:11" ht="14.5">
      <c r="A1282" s="3">
        <v>0</v>
      </c>
      <c r="C1282">
        <f t="shared" si="38"/>
        <v>1</v>
      </c>
      <c r="I1282" s="3">
        <v>36149.480000000003</v>
      </c>
      <c r="K1282" s="6">
        <f t="shared" si="39"/>
        <v>36149.480000000003</v>
      </c>
    </row>
    <row r="1283" spans="1:11" ht="14.5">
      <c r="A1283" s="3">
        <v>0</v>
      </c>
      <c r="C1283">
        <f t="shared" si="38"/>
        <v>1</v>
      </c>
      <c r="I1283" s="3">
        <v>1694.8</v>
      </c>
      <c r="K1283" s="6">
        <f t="shared" si="39"/>
        <v>1694.8</v>
      </c>
    </row>
    <row r="1284" spans="1:11" ht="14.5">
      <c r="A1284" s="3">
        <v>0</v>
      </c>
      <c r="C1284">
        <f t="shared" si="38"/>
        <v>1</v>
      </c>
      <c r="I1284" s="3">
        <v>1631.82</v>
      </c>
      <c r="K1284" s="6">
        <f t="shared" si="39"/>
        <v>1631.82</v>
      </c>
    </row>
    <row r="1285" spans="1:11" ht="14.5">
      <c r="A1285" s="3">
        <v>0</v>
      </c>
      <c r="C1285">
        <f t="shared" ref="C1285:C1341" si="40">1+A1285</f>
        <v>1</v>
      </c>
      <c r="I1285" s="3">
        <v>1137.47</v>
      </c>
      <c r="K1285" s="6">
        <f t="shared" ref="K1285:K1341" si="41">I1285/C1285</f>
        <v>1137.47</v>
      </c>
    </row>
    <row r="1286" spans="1:11" ht="14.5">
      <c r="A1286" s="3">
        <v>0</v>
      </c>
      <c r="C1286">
        <f t="shared" si="40"/>
        <v>1</v>
      </c>
      <c r="I1286" s="3">
        <v>1615.77</v>
      </c>
      <c r="K1286" s="6">
        <f t="shared" si="41"/>
        <v>1615.77</v>
      </c>
    </row>
    <row r="1287" spans="1:11" ht="14.5">
      <c r="A1287" s="3">
        <v>2</v>
      </c>
      <c r="C1287">
        <f t="shared" si="40"/>
        <v>3</v>
      </c>
      <c r="I1287" s="3">
        <v>12829.46</v>
      </c>
      <c r="K1287" s="6">
        <f t="shared" si="41"/>
        <v>4276.4866666666667</v>
      </c>
    </row>
    <row r="1288" spans="1:11" ht="14.5">
      <c r="A1288" s="3">
        <v>1</v>
      </c>
      <c r="C1288">
        <f t="shared" si="40"/>
        <v>2</v>
      </c>
      <c r="I1288" s="3">
        <v>1719.44</v>
      </c>
      <c r="K1288" s="6">
        <f t="shared" si="41"/>
        <v>859.72</v>
      </c>
    </row>
    <row r="1289" spans="1:11" ht="14.5">
      <c r="A1289" s="3">
        <v>0</v>
      </c>
      <c r="C1289">
        <f t="shared" si="40"/>
        <v>1</v>
      </c>
      <c r="I1289" s="3">
        <v>1704.57</v>
      </c>
      <c r="K1289" s="6">
        <f t="shared" si="41"/>
        <v>1704.57</v>
      </c>
    </row>
    <row r="1290" spans="1:11" ht="14.5">
      <c r="A1290" s="3">
        <v>0</v>
      </c>
      <c r="C1290">
        <f t="shared" si="40"/>
        <v>1</v>
      </c>
      <c r="I1290" s="3">
        <v>14133.04</v>
      </c>
      <c r="K1290" s="6">
        <f t="shared" si="41"/>
        <v>14133.04</v>
      </c>
    </row>
    <row r="1291" spans="1:11" ht="14.5">
      <c r="A1291" s="3">
        <v>0</v>
      </c>
      <c r="C1291">
        <f t="shared" si="40"/>
        <v>1</v>
      </c>
      <c r="I1291" s="3">
        <v>1607.51</v>
      </c>
      <c r="K1291" s="6">
        <f t="shared" si="41"/>
        <v>1607.51</v>
      </c>
    </row>
    <row r="1292" spans="1:11" ht="14.5">
      <c r="A1292" s="3">
        <v>3</v>
      </c>
      <c r="C1292">
        <f t="shared" si="40"/>
        <v>4</v>
      </c>
      <c r="I1292" s="3">
        <v>3481.87</v>
      </c>
      <c r="K1292" s="6">
        <f t="shared" si="41"/>
        <v>870.46749999999997</v>
      </c>
    </row>
    <row r="1293" spans="1:11" ht="14.5">
      <c r="A1293" s="3">
        <v>0</v>
      </c>
      <c r="C1293">
        <f t="shared" si="40"/>
        <v>1</v>
      </c>
      <c r="I1293" s="3">
        <v>1631.67</v>
      </c>
      <c r="K1293" s="6">
        <f t="shared" si="41"/>
        <v>1631.67</v>
      </c>
    </row>
    <row r="1294" spans="1:11" ht="14.5">
      <c r="A1294" s="3">
        <v>0</v>
      </c>
      <c r="C1294">
        <f t="shared" si="40"/>
        <v>1</v>
      </c>
      <c r="I1294" s="3">
        <v>7323.73</v>
      </c>
      <c r="K1294" s="6">
        <f t="shared" si="41"/>
        <v>7323.73</v>
      </c>
    </row>
    <row r="1295" spans="1:11" ht="14.5">
      <c r="A1295" s="3">
        <v>0</v>
      </c>
      <c r="C1295">
        <f t="shared" si="40"/>
        <v>1</v>
      </c>
      <c r="I1295" s="3">
        <v>1149.4000000000001</v>
      </c>
      <c r="K1295" s="6">
        <f t="shared" si="41"/>
        <v>1149.4000000000001</v>
      </c>
    </row>
    <row r="1296" spans="1:11" ht="14.5">
      <c r="A1296" s="3">
        <v>1</v>
      </c>
      <c r="C1296">
        <f t="shared" si="40"/>
        <v>2</v>
      </c>
      <c r="I1296" s="3">
        <v>2201.1</v>
      </c>
      <c r="K1296" s="6">
        <f t="shared" si="41"/>
        <v>1100.55</v>
      </c>
    </row>
    <row r="1297" spans="1:11" ht="14.5">
      <c r="A1297" s="3">
        <v>0</v>
      </c>
      <c r="C1297">
        <f t="shared" si="40"/>
        <v>1</v>
      </c>
      <c r="I1297" s="3">
        <v>2203.4699999999998</v>
      </c>
      <c r="K1297" s="6">
        <f t="shared" si="41"/>
        <v>2203.4699999999998</v>
      </c>
    </row>
    <row r="1298" spans="1:11" ht="14.5">
      <c r="A1298" s="3">
        <v>0</v>
      </c>
      <c r="C1298">
        <f t="shared" si="40"/>
        <v>1</v>
      </c>
      <c r="I1298" s="3">
        <v>1622.19</v>
      </c>
      <c r="K1298" s="6">
        <f t="shared" si="41"/>
        <v>1622.19</v>
      </c>
    </row>
    <row r="1299" spans="1:11" ht="14.5">
      <c r="A1299" s="3">
        <v>0</v>
      </c>
      <c r="C1299">
        <f t="shared" si="40"/>
        <v>1</v>
      </c>
      <c r="I1299" s="3">
        <v>2196.4699999999998</v>
      </c>
      <c r="K1299" s="6">
        <f t="shared" si="41"/>
        <v>2196.4699999999998</v>
      </c>
    </row>
    <row r="1300" spans="1:11" ht="14.5">
      <c r="A1300" s="3">
        <v>0</v>
      </c>
      <c r="C1300">
        <f t="shared" si="40"/>
        <v>1</v>
      </c>
      <c r="I1300" s="3">
        <v>11482.63</v>
      </c>
      <c r="K1300" s="6">
        <f t="shared" si="41"/>
        <v>11482.63</v>
      </c>
    </row>
    <row r="1301" spans="1:11" ht="14.5">
      <c r="A1301" s="3">
        <v>0</v>
      </c>
      <c r="C1301">
        <f t="shared" si="40"/>
        <v>1</v>
      </c>
      <c r="I1301" s="3">
        <v>1708</v>
      </c>
      <c r="K1301" s="6">
        <f t="shared" si="41"/>
        <v>1708</v>
      </c>
    </row>
    <row r="1302" spans="1:11" ht="14.5">
      <c r="A1302" s="3">
        <v>2</v>
      </c>
      <c r="C1302">
        <f t="shared" si="40"/>
        <v>3</v>
      </c>
      <c r="I1302" s="3">
        <v>2801.26</v>
      </c>
      <c r="K1302" s="6">
        <f t="shared" si="41"/>
        <v>933.75333333333344</v>
      </c>
    </row>
    <row r="1303" spans="1:11" ht="14.5">
      <c r="A1303" s="3">
        <v>1</v>
      </c>
      <c r="C1303">
        <f t="shared" si="40"/>
        <v>2</v>
      </c>
      <c r="I1303" s="3">
        <v>2219.4499999999998</v>
      </c>
      <c r="K1303" s="6">
        <f t="shared" si="41"/>
        <v>1109.7249999999999</v>
      </c>
    </row>
    <row r="1304" spans="1:11" ht="14.5">
      <c r="A1304" s="3">
        <v>0</v>
      </c>
      <c r="C1304">
        <f t="shared" si="40"/>
        <v>1</v>
      </c>
      <c r="I1304" s="3">
        <v>1633.04</v>
      </c>
      <c r="K1304" s="6">
        <f t="shared" si="41"/>
        <v>1633.04</v>
      </c>
    </row>
    <row r="1305" spans="1:11" ht="14.5">
      <c r="A1305" s="3">
        <v>0</v>
      </c>
      <c r="C1305">
        <f t="shared" si="40"/>
        <v>1</v>
      </c>
      <c r="I1305" s="3">
        <v>2207.6999999999998</v>
      </c>
      <c r="K1305" s="6">
        <f t="shared" si="41"/>
        <v>2207.6999999999998</v>
      </c>
    </row>
    <row r="1306" spans="1:11" ht="14.5">
      <c r="A1306" s="3">
        <v>0</v>
      </c>
      <c r="C1306">
        <f t="shared" si="40"/>
        <v>1</v>
      </c>
      <c r="I1306" s="3">
        <v>34617.839999999997</v>
      </c>
      <c r="K1306" s="6">
        <f t="shared" si="41"/>
        <v>34617.839999999997</v>
      </c>
    </row>
    <row r="1307" spans="1:11" ht="14.5">
      <c r="A1307" s="3">
        <v>0</v>
      </c>
      <c r="C1307">
        <f t="shared" si="40"/>
        <v>1</v>
      </c>
      <c r="I1307" s="3">
        <v>1712.23</v>
      </c>
      <c r="K1307" s="6">
        <f t="shared" si="41"/>
        <v>1712.23</v>
      </c>
    </row>
    <row r="1308" spans="1:11" ht="14.5">
      <c r="A1308" s="3">
        <v>0</v>
      </c>
      <c r="C1308">
        <f t="shared" si="40"/>
        <v>1</v>
      </c>
      <c r="I1308" s="3">
        <v>1136.4000000000001</v>
      </c>
      <c r="K1308" s="6">
        <f t="shared" si="41"/>
        <v>1136.4000000000001</v>
      </c>
    </row>
    <row r="1309" spans="1:11" ht="14.5">
      <c r="A1309" s="3">
        <v>1</v>
      </c>
      <c r="C1309">
        <f t="shared" si="40"/>
        <v>2</v>
      </c>
      <c r="I1309" s="3">
        <v>1727.54</v>
      </c>
      <c r="K1309" s="6">
        <f t="shared" si="41"/>
        <v>863.77</v>
      </c>
    </row>
    <row r="1310" spans="1:11" ht="14.5">
      <c r="A1310" s="3">
        <v>0</v>
      </c>
      <c r="C1310">
        <f t="shared" si="40"/>
        <v>1</v>
      </c>
      <c r="I1310" s="3">
        <v>2217.6</v>
      </c>
      <c r="K1310" s="6">
        <f t="shared" si="41"/>
        <v>2217.6</v>
      </c>
    </row>
    <row r="1311" spans="1:11" ht="14.5">
      <c r="A1311" s="3">
        <v>0</v>
      </c>
      <c r="C1311">
        <f t="shared" si="40"/>
        <v>1</v>
      </c>
      <c r="I1311" s="3">
        <v>36307.800000000003</v>
      </c>
      <c r="K1311" s="6">
        <f t="shared" si="41"/>
        <v>36307.800000000003</v>
      </c>
    </row>
    <row r="1312" spans="1:11" ht="14.5">
      <c r="A1312" s="3">
        <v>0</v>
      </c>
      <c r="C1312">
        <f t="shared" si="40"/>
        <v>1</v>
      </c>
      <c r="I1312" s="3">
        <v>1146.8</v>
      </c>
      <c r="K1312" s="6">
        <f t="shared" si="41"/>
        <v>1146.8</v>
      </c>
    </row>
    <row r="1313" spans="1:11" ht="14.5">
      <c r="A1313" s="3">
        <v>0</v>
      </c>
      <c r="C1313">
        <f t="shared" si="40"/>
        <v>1</v>
      </c>
      <c r="I1313" s="3">
        <v>38792.69</v>
      </c>
      <c r="K1313" s="6">
        <f t="shared" si="41"/>
        <v>38792.69</v>
      </c>
    </row>
    <row r="1314" spans="1:11" ht="14.5">
      <c r="A1314" s="3">
        <v>0</v>
      </c>
      <c r="C1314">
        <f t="shared" si="40"/>
        <v>1</v>
      </c>
      <c r="I1314" s="3">
        <v>1131.51</v>
      </c>
      <c r="K1314" s="6">
        <f t="shared" si="41"/>
        <v>1131.51</v>
      </c>
    </row>
    <row r="1315" spans="1:11" ht="14.5">
      <c r="A1315" s="3">
        <v>0</v>
      </c>
      <c r="C1315">
        <f t="shared" si="40"/>
        <v>1</v>
      </c>
      <c r="I1315" s="3">
        <v>1621.88</v>
      </c>
      <c r="K1315" s="6">
        <f t="shared" si="41"/>
        <v>1621.88</v>
      </c>
    </row>
    <row r="1316" spans="1:11" ht="14.5">
      <c r="A1316" s="3">
        <v>0</v>
      </c>
      <c r="C1316">
        <f t="shared" si="40"/>
        <v>1</v>
      </c>
      <c r="I1316" s="3">
        <v>1141.45</v>
      </c>
      <c r="K1316" s="6">
        <f t="shared" si="41"/>
        <v>1141.45</v>
      </c>
    </row>
    <row r="1317" spans="1:11" ht="14.5">
      <c r="A1317" s="3">
        <v>0</v>
      </c>
      <c r="C1317">
        <f t="shared" si="40"/>
        <v>1</v>
      </c>
      <c r="I1317" s="3">
        <v>1634.57</v>
      </c>
      <c r="K1317" s="6">
        <f t="shared" si="41"/>
        <v>1634.57</v>
      </c>
    </row>
    <row r="1318" spans="1:11" ht="14.5">
      <c r="A1318" s="3">
        <v>0</v>
      </c>
      <c r="C1318">
        <f t="shared" si="40"/>
        <v>1</v>
      </c>
      <c r="I1318" s="3">
        <v>33732.69</v>
      </c>
      <c r="K1318" s="6">
        <f t="shared" si="41"/>
        <v>33732.69</v>
      </c>
    </row>
    <row r="1319" spans="1:11" ht="14.5">
      <c r="A1319" s="3">
        <v>2</v>
      </c>
      <c r="C1319">
        <f t="shared" si="40"/>
        <v>3</v>
      </c>
      <c r="I1319" s="3">
        <v>2304</v>
      </c>
      <c r="K1319" s="6">
        <f t="shared" si="41"/>
        <v>768</v>
      </c>
    </row>
    <row r="1320" spans="1:11" ht="14.5">
      <c r="A1320" s="3">
        <v>0</v>
      </c>
      <c r="C1320">
        <f t="shared" si="40"/>
        <v>1</v>
      </c>
      <c r="I1320" s="3">
        <v>1121.8699999999999</v>
      </c>
      <c r="K1320" s="6">
        <f t="shared" si="41"/>
        <v>1121.8699999999999</v>
      </c>
    </row>
    <row r="1321" spans="1:11" ht="14.5">
      <c r="A1321" s="3">
        <v>0</v>
      </c>
      <c r="C1321">
        <f t="shared" si="40"/>
        <v>1</v>
      </c>
      <c r="I1321" s="3">
        <v>2217.4699999999998</v>
      </c>
      <c r="K1321" s="6">
        <f t="shared" si="41"/>
        <v>2217.4699999999998</v>
      </c>
    </row>
    <row r="1322" spans="1:11" ht="14.5">
      <c r="A1322" s="3">
        <v>1</v>
      </c>
      <c r="C1322">
        <f t="shared" si="40"/>
        <v>2</v>
      </c>
      <c r="I1322" s="3">
        <v>1711.03</v>
      </c>
      <c r="K1322" s="6">
        <f t="shared" si="41"/>
        <v>855.51499999999999</v>
      </c>
    </row>
    <row r="1323" spans="1:11" ht="14.5">
      <c r="A1323" s="3">
        <v>0</v>
      </c>
      <c r="C1323">
        <f t="shared" si="40"/>
        <v>1</v>
      </c>
      <c r="I1323" s="3">
        <v>13747.87</v>
      </c>
      <c r="K1323" s="6">
        <f t="shared" si="41"/>
        <v>13747.87</v>
      </c>
    </row>
    <row r="1324" spans="1:11" ht="14.5">
      <c r="A1324" s="3">
        <v>0</v>
      </c>
      <c r="C1324">
        <f t="shared" si="40"/>
        <v>1</v>
      </c>
      <c r="I1324" s="3">
        <v>1704.7</v>
      </c>
      <c r="K1324" s="6">
        <f t="shared" si="41"/>
        <v>1704.7</v>
      </c>
    </row>
    <row r="1325" spans="1:11" ht="14.5">
      <c r="A1325" s="3">
        <v>2</v>
      </c>
      <c r="C1325">
        <f t="shared" si="40"/>
        <v>3</v>
      </c>
      <c r="I1325" s="3">
        <v>11884.05</v>
      </c>
      <c r="K1325" s="6">
        <f t="shared" si="41"/>
        <v>3961.35</v>
      </c>
    </row>
    <row r="1326" spans="1:11" ht="14.5">
      <c r="A1326" s="3">
        <v>4</v>
      </c>
      <c r="C1326">
        <f t="shared" si="40"/>
        <v>5</v>
      </c>
      <c r="I1326" s="3">
        <v>4561.1899999999996</v>
      </c>
      <c r="K1326" s="6">
        <f t="shared" si="41"/>
        <v>912.23799999999994</v>
      </c>
    </row>
    <row r="1327" spans="1:11" ht="14.5">
      <c r="A1327" s="3">
        <v>0</v>
      </c>
      <c r="C1327">
        <f t="shared" si="40"/>
        <v>1</v>
      </c>
      <c r="I1327" s="3">
        <v>2203.7399999999998</v>
      </c>
      <c r="K1327" s="6">
        <f t="shared" si="41"/>
        <v>2203.7399999999998</v>
      </c>
    </row>
    <row r="1328" spans="1:11" ht="14.5">
      <c r="A1328" s="3">
        <v>0</v>
      </c>
      <c r="C1328">
        <f t="shared" si="40"/>
        <v>1</v>
      </c>
      <c r="I1328" s="3">
        <v>2200.83</v>
      </c>
      <c r="K1328" s="6">
        <f t="shared" si="41"/>
        <v>2200.83</v>
      </c>
    </row>
    <row r="1329" spans="1:11" ht="14.5">
      <c r="A1329" s="3">
        <v>1</v>
      </c>
      <c r="C1329">
        <f t="shared" si="40"/>
        <v>2</v>
      </c>
      <c r="I1329" s="3">
        <v>17178.68</v>
      </c>
      <c r="K1329" s="6">
        <f t="shared" si="41"/>
        <v>8589.34</v>
      </c>
    </row>
    <row r="1330" spans="1:11" ht="14.5">
      <c r="A1330" s="3">
        <v>3</v>
      </c>
      <c r="C1330">
        <f t="shared" si="40"/>
        <v>4</v>
      </c>
      <c r="I1330" s="3">
        <v>18223.45</v>
      </c>
      <c r="K1330" s="6">
        <f t="shared" si="41"/>
        <v>4555.8625000000002</v>
      </c>
    </row>
    <row r="1331" spans="1:11" ht="14.5">
      <c r="A1331" s="3">
        <v>0</v>
      </c>
      <c r="C1331">
        <f t="shared" si="40"/>
        <v>1</v>
      </c>
      <c r="I1331" s="3">
        <v>1702.46</v>
      </c>
      <c r="K1331" s="6">
        <f t="shared" si="41"/>
        <v>1702.46</v>
      </c>
    </row>
    <row r="1332" spans="1:11" ht="14.5">
      <c r="A1332" s="3">
        <v>0</v>
      </c>
      <c r="C1332">
        <f t="shared" si="40"/>
        <v>1</v>
      </c>
      <c r="I1332" s="3">
        <v>12890.06</v>
      </c>
      <c r="K1332" s="6">
        <f t="shared" si="41"/>
        <v>12890.06</v>
      </c>
    </row>
    <row r="1333" spans="1:11" ht="14.5">
      <c r="A1333" s="3">
        <v>0</v>
      </c>
      <c r="C1333">
        <f t="shared" si="40"/>
        <v>1</v>
      </c>
      <c r="I1333" s="3">
        <v>1135.94</v>
      </c>
      <c r="K1333" s="6">
        <f t="shared" si="41"/>
        <v>1135.94</v>
      </c>
    </row>
    <row r="1334" spans="1:11" ht="14.5">
      <c r="A1334" s="3">
        <v>0</v>
      </c>
      <c r="C1334">
        <f t="shared" si="40"/>
        <v>1</v>
      </c>
      <c r="I1334" s="3">
        <v>1633.96</v>
      </c>
      <c r="K1334" s="6">
        <f t="shared" si="41"/>
        <v>1633.96</v>
      </c>
    </row>
    <row r="1335" spans="1:11" ht="14.5">
      <c r="A1335" s="3">
        <v>0</v>
      </c>
      <c r="C1335">
        <f t="shared" si="40"/>
        <v>1</v>
      </c>
      <c r="I1335" s="3">
        <v>14283.46</v>
      </c>
      <c r="K1335" s="6">
        <f t="shared" si="41"/>
        <v>14283.46</v>
      </c>
    </row>
    <row r="1336" spans="1:11" ht="14.5">
      <c r="A1336" s="3">
        <v>1</v>
      </c>
      <c r="C1336">
        <f t="shared" si="40"/>
        <v>2</v>
      </c>
      <c r="I1336" s="3">
        <v>1720.35</v>
      </c>
      <c r="K1336" s="6">
        <f t="shared" si="41"/>
        <v>860.17499999999995</v>
      </c>
    </row>
    <row r="1337" spans="1:11" ht="14.5">
      <c r="A1337" s="3">
        <v>0</v>
      </c>
      <c r="C1337">
        <f t="shared" si="40"/>
        <v>1</v>
      </c>
      <c r="I1337" s="3">
        <v>1708.93</v>
      </c>
      <c r="K1337" s="6">
        <f t="shared" si="41"/>
        <v>1708.93</v>
      </c>
    </row>
    <row r="1338" spans="1:11" ht="14.5">
      <c r="A1338" s="3">
        <v>1</v>
      </c>
      <c r="C1338">
        <f t="shared" si="40"/>
        <v>2</v>
      </c>
      <c r="I1338" s="3">
        <v>11272.33</v>
      </c>
      <c r="K1338" s="6">
        <f t="shared" si="41"/>
        <v>5636.165</v>
      </c>
    </row>
    <row r="1339" spans="1:11" ht="14.5">
      <c r="A1339" s="3">
        <v>0</v>
      </c>
      <c r="C1339">
        <f t="shared" si="40"/>
        <v>1</v>
      </c>
      <c r="I1339" s="3">
        <v>1163.46</v>
      </c>
      <c r="K1339" s="6">
        <f t="shared" si="41"/>
        <v>1163.46</v>
      </c>
    </row>
    <row r="1340" spans="1:11" ht="14.5">
      <c r="A1340" s="3">
        <v>0</v>
      </c>
      <c r="C1340">
        <f t="shared" si="40"/>
        <v>1</v>
      </c>
      <c r="I1340" s="3">
        <v>2205.98</v>
      </c>
      <c r="K1340" s="6">
        <f t="shared" si="41"/>
        <v>2205.98</v>
      </c>
    </row>
    <row r="1341" spans="1:11" ht="14.5">
      <c r="A1341" s="3">
        <v>0</v>
      </c>
      <c r="C1341">
        <f t="shared" si="40"/>
        <v>1</v>
      </c>
      <c r="I1341" s="3">
        <v>1629.83</v>
      </c>
      <c r="K1341" s="6">
        <f t="shared" si="41"/>
        <v>1629.83</v>
      </c>
    </row>
  </sheetData>
  <mergeCells count="2">
    <mergeCell ref="A2:N2"/>
    <mergeCell ref="A1:N1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99DCAC-08D1-4B83-9E22-0E0823E9156B}">
  <dimension ref="A1:H1342"/>
  <sheetViews>
    <sheetView workbookViewId="0">
      <selection activeCell="C5" sqref="C5"/>
    </sheetView>
  </sheetViews>
  <sheetFormatPr defaultRowHeight="12.5"/>
  <cols>
    <col min="1" max="1" width="31.453125" customWidth="1"/>
    <col min="2" max="2" width="6.36328125" customWidth="1"/>
    <col min="3" max="3" width="42.36328125" customWidth="1"/>
    <col min="5" max="5" width="37.54296875" customWidth="1"/>
    <col min="6" max="6" width="11.6328125" customWidth="1"/>
    <col min="8" max="8" width="17.90625" customWidth="1"/>
  </cols>
  <sheetData>
    <row r="1" spans="1:8" ht="25">
      <c r="A1" s="27" t="s">
        <v>44</v>
      </c>
      <c r="B1" s="27"/>
      <c r="C1" s="27"/>
      <c r="D1" s="27"/>
      <c r="E1" s="27"/>
      <c r="F1" s="27"/>
      <c r="G1" s="27"/>
      <c r="H1" s="27"/>
    </row>
    <row r="2" spans="1:8" ht="42" customHeight="1">
      <c r="A2" s="28" t="s">
        <v>25</v>
      </c>
      <c r="B2" s="29"/>
      <c r="C2" s="29"/>
      <c r="D2" s="29"/>
      <c r="E2" s="29"/>
      <c r="F2" s="29"/>
      <c r="G2" s="29"/>
      <c r="H2" s="29"/>
    </row>
    <row r="3" spans="1:8" ht="35.5" customHeight="1">
      <c r="A3" s="8" t="s">
        <v>17</v>
      </c>
      <c r="B3" s="8"/>
      <c r="C3" s="8" t="s">
        <v>20</v>
      </c>
      <c r="E3" s="8" t="s">
        <v>21</v>
      </c>
      <c r="H3" s="11" t="s">
        <v>24</v>
      </c>
    </row>
    <row r="4" spans="1:8" ht="14.5">
      <c r="A4" s="10" t="s">
        <v>18</v>
      </c>
      <c r="B4" s="7"/>
      <c r="C4" s="7" t="s">
        <v>19</v>
      </c>
      <c r="E4" s="9" t="s">
        <v>2</v>
      </c>
      <c r="F4" s="7" t="s">
        <v>22</v>
      </c>
      <c r="H4" s="7" t="s">
        <v>23</v>
      </c>
    </row>
    <row r="5" spans="1:8" ht="14.5">
      <c r="A5" s="3">
        <v>64</v>
      </c>
      <c r="B5" s="3"/>
      <c r="C5" s="4" t="s">
        <v>7</v>
      </c>
      <c r="E5" s="3">
        <v>24.7</v>
      </c>
      <c r="F5" s="3">
        <v>30166.62</v>
      </c>
      <c r="H5" s="4" t="s">
        <v>8</v>
      </c>
    </row>
    <row r="6" spans="1:8" ht="14.5">
      <c r="A6" s="3">
        <v>64</v>
      </c>
      <c r="B6" s="3"/>
      <c r="C6" s="4" t="s">
        <v>10</v>
      </c>
      <c r="E6" s="3">
        <v>31.3</v>
      </c>
      <c r="F6" s="3">
        <v>47291.06</v>
      </c>
      <c r="H6" s="4" t="s">
        <v>11</v>
      </c>
    </row>
    <row r="7" spans="1:8" ht="14.5">
      <c r="A7" s="3">
        <v>64</v>
      </c>
      <c r="B7" s="3"/>
      <c r="C7" s="4" t="s">
        <v>10</v>
      </c>
      <c r="E7" s="3">
        <v>39.299999999999997</v>
      </c>
      <c r="F7" s="3">
        <v>14901.52</v>
      </c>
      <c r="H7" s="4" t="s">
        <v>8</v>
      </c>
    </row>
    <row r="8" spans="1:8" ht="14.5">
      <c r="A8" s="3">
        <v>64</v>
      </c>
      <c r="B8" s="3"/>
      <c r="C8" s="4" t="s">
        <v>10</v>
      </c>
      <c r="E8" s="3">
        <v>33.799999999999997</v>
      </c>
      <c r="F8" s="3">
        <v>47928.03</v>
      </c>
      <c r="H8" s="4" t="s">
        <v>11</v>
      </c>
    </row>
    <row r="9" spans="1:8" ht="14.5">
      <c r="A9" s="3">
        <v>64</v>
      </c>
      <c r="B9" s="3"/>
      <c r="C9" s="4" t="s">
        <v>7</v>
      </c>
      <c r="E9" s="3">
        <v>34.5</v>
      </c>
      <c r="F9" s="3">
        <v>13822.8</v>
      </c>
      <c r="H9" s="4" t="s">
        <v>8</v>
      </c>
    </row>
    <row r="10" spans="1:8" ht="14.5">
      <c r="A10" s="3">
        <v>64</v>
      </c>
      <c r="B10" s="3"/>
      <c r="C10" s="4" t="s">
        <v>10</v>
      </c>
      <c r="E10" s="3">
        <v>30.1</v>
      </c>
      <c r="F10" s="3">
        <v>16455.71</v>
      </c>
      <c r="H10" s="4" t="s">
        <v>8</v>
      </c>
    </row>
    <row r="11" spans="1:8" ht="14.5">
      <c r="A11" s="3">
        <v>64</v>
      </c>
      <c r="B11" s="3"/>
      <c r="C11" s="4" t="s">
        <v>7</v>
      </c>
      <c r="E11" s="3">
        <v>25.6</v>
      </c>
      <c r="F11" s="3">
        <v>14988.43</v>
      </c>
      <c r="H11" s="4" t="s">
        <v>8</v>
      </c>
    </row>
    <row r="12" spans="1:8" ht="14.5">
      <c r="A12" s="3">
        <v>64</v>
      </c>
      <c r="B12" s="3"/>
      <c r="C12" s="4" t="s">
        <v>10</v>
      </c>
      <c r="E12" s="3">
        <v>33</v>
      </c>
      <c r="F12" s="3">
        <v>14692.67</v>
      </c>
      <c r="H12" s="4" t="s">
        <v>8</v>
      </c>
    </row>
    <row r="13" spans="1:8" ht="14.5">
      <c r="A13" s="3">
        <v>64</v>
      </c>
      <c r="B13" s="3"/>
      <c r="C13" s="4" t="s">
        <v>7</v>
      </c>
      <c r="E13" s="3">
        <v>39.200000000000003</v>
      </c>
      <c r="F13" s="3">
        <v>14418.28</v>
      </c>
      <c r="H13" s="4" t="s">
        <v>8</v>
      </c>
    </row>
    <row r="14" spans="1:8" ht="14.5">
      <c r="A14" s="3">
        <v>64</v>
      </c>
      <c r="B14" s="3"/>
      <c r="C14" s="4" t="s">
        <v>7</v>
      </c>
      <c r="E14" s="3">
        <v>33.9</v>
      </c>
      <c r="F14" s="3">
        <v>46889.26</v>
      </c>
      <c r="H14" s="4" t="s">
        <v>11</v>
      </c>
    </row>
    <row r="15" spans="1:8" ht="14.5">
      <c r="A15" s="3">
        <v>64</v>
      </c>
      <c r="B15" s="3"/>
      <c r="C15" s="4" t="s">
        <v>7</v>
      </c>
      <c r="E15" s="3">
        <v>40.5</v>
      </c>
      <c r="F15" s="3">
        <v>13831.12</v>
      </c>
      <c r="H15" s="4" t="s">
        <v>8</v>
      </c>
    </row>
    <row r="16" spans="1:8" ht="14.5">
      <c r="A16" s="3">
        <v>64</v>
      </c>
      <c r="B16" s="3"/>
      <c r="C16" s="4" t="s">
        <v>10</v>
      </c>
      <c r="E16" s="3">
        <v>39.1</v>
      </c>
      <c r="F16" s="3">
        <v>16085.13</v>
      </c>
      <c r="H16" s="4" t="s">
        <v>8</v>
      </c>
    </row>
    <row r="17" spans="1:8" ht="14.5">
      <c r="A17" s="3">
        <v>64</v>
      </c>
      <c r="B17" s="3"/>
      <c r="C17" s="4" t="s">
        <v>7</v>
      </c>
      <c r="E17" s="3">
        <v>38.200000000000003</v>
      </c>
      <c r="F17" s="3">
        <v>14410.93</v>
      </c>
      <c r="H17" s="4" t="s">
        <v>8</v>
      </c>
    </row>
    <row r="18" spans="1:8" ht="14.5">
      <c r="A18" s="3">
        <v>64</v>
      </c>
      <c r="B18" s="3"/>
      <c r="C18" s="4" t="s">
        <v>10</v>
      </c>
      <c r="E18" s="3">
        <v>23</v>
      </c>
      <c r="F18" s="3">
        <v>27037.91</v>
      </c>
      <c r="H18" s="4" t="s">
        <v>11</v>
      </c>
    </row>
    <row r="19" spans="1:8" ht="14.5">
      <c r="A19" s="3">
        <v>64</v>
      </c>
      <c r="B19" s="3"/>
      <c r="C19" s="4" t="s">
        <v>7</v>
      </c>
      <c r="E19" s="3">
        <v>37.9</v>
      </c>
      <c r="F19" s="3">
        <v>14210.54</v>
      </c>
      <c r="H19" s="4" t="s">
        <v>8</v>
      </c>
    </row>
    <row r="20" spans="1:8" ht="14.5">
      <c r="A20" s="3">
        <v>64</v>
      </c>
      <c r="B20" s="3"/>
      <c r="C20" s="4" t="s">
        <v>10</v>
      </c>
      <c r="E20" s="3">
        <v>39.700000000000003</v>
      </c>
      <c r="F20" s="3">
        <v>14319.03</v>
      </c>
      <c r="H20" s="4" t="s">
        <v>8</v>
      </c>
    </row>
    <row r="21" spans="1:8" ht="14.5">
      <c r="A21" s="3">
        <v>64</v>
      </c>
      <c r="B21" s="3"/>
      <c r="C21" s="4" t="s">
        <v>10</v>
      </c>
      <c r="E21" s="3">
        <v>36</v>
      </c>
      <c r="F21" s="3">
        <v>14313.85</v>
      </c>
      <c r="H21" s="4" t="s">
        <v>8</v>
      </c>
    </row>
    <row r="22" spans="1:8" ht="14.5">
      <c r="A22" s="3">
        <v>64</v>
      </c>
      <c r="B22" s="3"/>
      <c r="C22" s="4" t="s">
        <v>10</v>
      </c>
      <c r="E22" s="3">
        <v>31.8</v>
      </c>
      <c r="F22" s="3">
        <v>16069.08</v>
      </c>
      <c r="H22" s="4" t="s">
        <v>8</v>
      </c>
    </row>
    <row r="23" spans="1:8" ht="14.5">
      <c r="A23" s="3">
        <v>64</v>
      </c>
      <c r="B23" s="3"/>
      <c r="C23" s="4" t="s">
        <v>10</v>
      </c>
      <c r="E23" s="3">
        <v>26.9</v>
      </c>
      <c r="F23" s="3">
        <v>29330.98</v>
      </c>
      <c r="H23" s="4" t="s">
        <v>11</v>
      </c>
    </row>
    <row r="24" spans="1:8" ht="14.5">
      <c r="A24" s="3">
        <v>64</v>
      </c>
      <c r="B24" s="3"/>
      <c r="C24" s="4" t="s">
        <v>7</v>
      </c>
      <c r="E24" s="3">
        <v>26.4</v>
      </c>
      <c r="F24" s="3">
        <v>14394.56</v>
      </c>
      <c r="H24" s="4" t="s">
        <v>8</v>
      </c>
    </row>
    <row r="25" spans="1:8" ht="14.5">
      <c r="A25" s="3">
        <v>64</v>
      </c>
      <c r="B25" s="3"/>
      <c r="C25" s="4" t="s">
        <v>7</v>
      </c>
      <c r="E25" s="3">
        <v>37</v>
      </c>
      <c r="F25" s="3">
        <v>49577.66</v>
      </c>
      <c r="H25" s="4" t="s">
        <v>11</v>
      </c>
    </row>
    <row r="26" spans="1:8" ht="14.5">
      <c r="A26" s="3">
        <v>64</v>
      </c>
      <c r="B26" s="3"/>
      <c r="C26" s="4" t="s">
        <v>7</v>
      </c>
      <c r="E26" s="3">
        <v>23.8</v>
      </c>
      <c r="F26" s="3">
        <v>26926.51</v>
      </c>
      <c r="H26" s="4" t="s">
        <v>11</v>
      </c>
    </row>
    <row r="27" spans="1:8" ht="14.5">
      <c r="A27" s="3">
        <v>63</v>
      </c>
      <c r="B27" s="3"/>
      <c r="C27" s="4" t="s">
        <v>10</v>
      </c>
      <c r="E27" s="3">
        <v>23.1</v>
      </c>
      <c r="F27" s="3">
        <v>14451.84</v>
      </c>
      <c r="H27" s="4" t="s">
        <v>8</v>
      </c>
    </row>
    <row r="28" spans="1:8" ht="14.5">
      <c r="A28" s="3">
        <v>63</v>
      </c>
      <c r="B28" s="3"/>
      <c r="C28" s="4" t="s">
        <v>7</v>
      </c>
      <c r="E28" s="3">
        <v>28.3</v>
      </c>
      <c r="F28" s="3">
        <v>13770.1</v>
      </c>
      <c r="H28" s="4" t="s">
        <v>8</v>
      </c>
    </row>
    <row r="29" spans="1:8" ht="14.5">
      <c r="A29" s="3">
        <v>63</v>
      </c>
      <c r="B29" s="3"/>
      <c r="C29" s="4" t="s">
        <v>7</v>
      </c>
      <c r="E29" s="3">
        <v>35.1</v>
      </c>
      <c r="F29" s="3">
        <v>47055.53</v>
      </c>
      <c r="H29" s="4" t="s">
        <v>11</v>
      </c>
    </row>
    <row r="30" spans="1:8" ht="14.5">
      <c r="A30" s="3">
        <v>63</v>
      </c>
      <c r="B30" s="3"/>
      <c r="C30" s="4" t="s">
        <v>7</v>
      </c>
      <c r="E30" s="3">
        <v>41.5</v>
      </c>
      <c r="F30" s="3">
        <v>13405.39</v>
      </c>
      <c r="H30" s="4" t="s">
        <v>8</v>
      </c>
    </row>
    <row r="31" spans="1:8" ht="14.5">
      <c r="A31" s="3">
        <v>63</v>
      </c>
      <c r="B31" s="3"/>
      <c r="C31" s="4" t="s">
        <v>10</v>
      </c>
      <c r="E31" s="3">
        <v>37.700000000000003</v>
      </c>
      <c r="F31" s="3">
        <v>48824.45</v>
      </c>
      <c r="H31" s="4" t="s">
        <v>11</v>
      </c>
    </row>
    <row r="32" spans="1:8" ht="14.5">
      <c r="A32" s="3">
        <v>63</v>
      </c>
      <c r="B32" s="3"/>
      <c r="C32" s="4" t="s">
        <v>10</v>
      </c>
      <c r="E32" s="3">
        <v>31.8</v>
      </c>
      <c r="F32" s="3">
        <v>13880.95</v>
      </c>
      <c r="H32" s="4" t="s">
        <v>8</v>
      </c>
    </row>
    <row r="33" spans="1:8" ht="14.5">
      <c r="A33" s="3">
        <v>63</v>
      </c>
      <c r="B33" s="3"/>
      <c r="C33" s="4" t="s">
        <v>10</v>
      </c>
      <c r="E33" s="3">
        <v>27.7</v>
      </c>
      <c r="F33" s="3">
        <v>29523.17</v>
      </c>
      <c r="H33" s="4" t="s">
        <v>11</v>
      </c>
    </row>
    <row r="34" spans="1:8" ht="14.5">
      <c r="A34" s="3">
        <v>63</v>
      </c>
      <c r="B34" s="3"/>
      <c r="C34" s="4" t="s">
        <v>10</v>
      </c>
      <c r="E34" s="3">
        <v>32.200000000000003</v>
      </c>
      <c r="F34" s="3">
        <v>47305.31</v>
      </c>
      <c r="H34" s="4" t="s">
        <v>11</v>
      </c>
    </row>
    <row r="35" spans="1:8" ht="14.5">
      <c r="A35" s="3">
        <v>63</v>
      </c>
      <c r="B35" s="3"/>
      <c r="C35" s="4" t="s">
        <v>10</v>
      </c>
      <c r="E35" s="3">
        <v>26.2</v>
      </c>
      <c r="F35" s="3">
        <v>14256.19</v>
      </c>
      <c r="H35" s="4" t="s">
        <v>8</v>
      </c>
    </row>
    <row r="36" spans="1:8" ht="14.5">
      <c r="A36" s="3">
        <v>63</v>
      </c>
      <c r="B36" s="3"/>
      <c r="C36" s="4" t="s">
        <v>7</v>
      </c>
      <c r="E36" s="3">
        <v>36.799999999999997</v>
      </c>
      <c r="F36" s="3">
        <v>13981.85</v>
      </c>
      <c r="H36" s="4" t="s">
        <v>8</v>
      </c>
    </row>
    <row r="37" spans="1:8" ht="14.5">
      <c r="A37" s="3">
        <v>63</v>
      </c>
      <c r="B37" s="3"/>
      <c r="C37" s="4" t="s">
        <v>10</v>
      </c>
      <c r="E37" s="3">
        <v>27</v>
      </c>
      <c r="F37" s="3">
        <v>28950.47</v>
      </c>
      <c r="H37" s="4" t="s">
        <v>11</v>
      </c>
    </row>
    <row r="38" spans="1:8" ht="14.5">
      <c r="A38" s="3">
        <v>63</v>
      </c>
      <c r="B38" s="3"/>
      <c r="C38" s="4" t="s">
        <v>7</v>
      </c>
      <c r="E38" s="3">
        <v>41.3</v>
      </c>
      <c r="F38" s="3">
        <v>15555.19</v>
      </c>
      <c r="H38" s="4" t="s">
        <v>8</v>
      </c>
    </row>
    <row r="39" spans="1:8" ht="14.5">
      <c r="A39" s="3">
        <v>63</v>
      </c>
      <c r="B39" s="3"/>
      <c r="C39" s="4" t="s">
        <v>10</v>
      </c>
      <c r="E39" s="3">
        <v>36.299999999999997</v>
      </c>
      <c r="F39" s="3">
        <v>13887.2</v>
      </c>
      <c r="H39" s="4" t="s">
        <v>8</v>
      </c>
    </row>
    <row r="40" spans="1:8" ht="14.5">
      <c r="A40" s="3">
        <v>63</v>
      </c>
      <c r="B40" s="3"/>
      <c r="C40" s="4" t="s">
        <v>7</v>
      </c>
      <c r="E40" s="3">
        <v>30.8</v>
      </c>
      <c r="F40" s="3">
        <v>13390.56</v>
      </c>
      <c r="H40" s="4" t="s">
        <v>8</v>
      </c>
    </row>
    <row r="41" spans="1:8" ht="14.5">
      <c r="A41" s="3">
        <v>63</v>
      </c>
      <c r="B41" s="3"/>
      <c r="C41" s="4" t="s">
        <v>7</v>
      </c>
      <c r="E41" s="3">
        <v>33.1</v>
      </c>
      <c r="F41" s="3">
        <v>13393.76</v>
      </c>
      <c r="H41" s="4" t="s">
        <v>8</v>
      </c>
    </row>
    <row r="42" spans="1:8" ht="14.5">
      <c r="A42" s="3">
        <v>63</v>
      </c>
      <c r="B42" s="3"/>
      <c r="C42" s="4" t="s">
        <v>7</v>
      </c>
      <c r="E42" s="3">
        <v>39.799999999999997</v>
      </c>
      <c r="F42" s="3">
        <v>15170.07</v>
      </c>
      <c r="H42" s="4" t="s">
        <v>8</v>
      </c>
    </row>
    <row r="43" spans="1:8" ht="14.5">
      <c r="A43" s="3">
        <v>63</v>
      </c>
      <c r="B43" s="3"/>
      <c r="C43" s="4" t="s">
        <v>10</v>
      </c>
      <c r="E43" s="3">
        <v>35.200000000000003</v>
      </c>
      <c r="F43" s="3">
        <v>14474.68</v>
      </c>
      <c r="H43" s="4" t="s">
        <v>8</v>
      </c>
    </row>
    <row r="44" spans="1:8" ht="14.5">
      <c r="A44" s="3">
        <v>63</v>
      </c>
      <c r="B44" s="3"/>
      <c r="C44" s="4" t="s">
        <v>10</v>
      </c>
      <c r="E44" s="3">
        <v>36.9</v>
      </c>
      <c r="F44" s="3">
        <v>13887.97</v>
      </c>
      <c r="H44" s="4" t="s">
        <v>8</v>
      </c>
    </row>
    <row r="45" spans="1:8" ht="14.5">
      <c r="A45" s="3">
        <v>63</v>
      </c>
      <c r="B45" s="3"/>
      <c r="C45" s="4" t="s">
        <v>7</v>
      </c>
      <c r="E45" s="3">
        <v>21.7</v>
      </c>
      <c r="F45" s="3">
        <v>14349.85</v>
      </c>
      <c r="H45" s="4" t="s">
        <v>8</v>
      </c>
    </row>
    <row r="46" spans="1:8" ht="14.5">
      <c r="A46" s="3">
        <v>63</v>
      </c>
      <c r="B46" s="3"/>
      <c r="C46" s="4" t="s">
        <v>7</v>
      </c>
      <c r="E46" s="3">
        <v>31.4</v>
      </c>
      <c r="F46" s="3">
        <v>13974.46</v>
      </c>
      <c r="H46" s="4" t="s">
        <v>8</v>
      </c>
    </row>
    <row r="47" spans="1:8" ht="14.5">
      <c r="A47" s="3">
        <v>63</v>
      </c>
      <c r="B47" s="3"/>
      <c r="C47" s="4" t="s">
        <v>7</v>
      </c>
      <c r="E47" s="3">
        <v>33.700000000000003</v>
      </c>
      <c r="F47" s="3">
        <v>15161.53</v>
      </c>
      <c r="H47" s="4" t="s">
        <v>8</v>
      </c>
    </row>
    <row r="48" spans="1:8" ht="14.5">
      <c r="A48" s="3">
        <v>63</v>
      </c>
      <c r="B48" s="3"/>
      <c r="C48" s="4" t="s">
        <v>10</v>
      </c>
      <c r="E48" s="3">
        <v>25.1</v>
      </c>
      <c r="F48" s="3">
        <v>14254.61</v>
      </c>
      <c r="H48" s="4" t="s">
        <v>8</v>
      </c>
    </row>
    <row r="49" spans="1:8" ht="14.5">
      <c r="A49" s="3">
        <v>63</v>
      </c>
      <c r="B49" s="3"/>
      <c r="C49" s="4" t="s">
        <v>10</v>
      </c>
      <c r="E49" s="3">
        <v>21.7</v>
      </c>
      <c r="F49" s="3">
        <v>14449.85</v>
      </c>
      <c r="H49" s="4" t="s">
        <v>8</v>
      </c>
    </row>
    <row r="50" spans="1:8" ht="14.5">
      <c r="A50" s="3">
        <v>62</v>
      </c>
      <c r="B50" s="3"/>
      <c r="C50" s="4" t="s">
        <v>10</v>
      </c>
      <c r="E50" s="3">
        <v>26.3</v>
      </c>
      <c r="F50" s="3">
        <v>27808.73</v>
      </c>
      <c r="H50" s="4" t="s">
        <v>11</v>
      </c>
    </row>
    <row r="51" spans="1:8" ht="14.5">
      <c r="A51" s="3">
        <v>62</v>
      </c>
      <c r="B51" s="3"/>
      <c r="C51" s="4" t="s">
        <v>10</v>
      </c>
      <c r="E51" s="3">
        <v>33</v>
      </c>
      <c r="F51" s="3">
        <v>15612.19</v>
      </c>
      <c r="H51" s="4" t="s">
        <v>8</v>
      </c>
    </row>
    <row r="52" spans="1:8" ht="14.5">
      <c r="A52" s="3">
        <v>62</v>
      </c>
      <c r="B52" s="3"/>
      <c r="C52" s="4" t="s">
        <v>7</v>
      </c>
      <c r="E52" s="3">
        <v>27.6</v>
      </c>
      <c r="F52" s="3">
        <v>13937.67</v>
      </c>
      <c r="H52" s="4" t="s">
        <v>8</v>
      </c>
    </row>
    <row r="53" spans="1:8" ht="14.5">
      <c r="A53" s="3">
        <v>62</v>
      </c>
      <c r="B53" s="3"/>
      <c r="C53" s="4" t="s">
        <v>7</v>
      </c>
      <c r="E53" s="3">
        <v>30</v>
      </c>
      <c r="F53" s="3">
        <v>13352.1</v>
      </c>
      <c r="H53" s="4" t="s">
        <v>8</v>
      </c>
    </row>
    <row r="54" spans="1:8" ht="14.5">
      <c r="A54" s="3">
        <v>62</v>
      </c>
      <c r="B54" s="3"/>
      <c r="C54" s="4" t="s">
        <v>7</v>
      </c>
      <c r="E54" s="3">
        <v>31.5</v>
      </c>
      <c r="F54" s="3">
        <v>27000.98</v>
      </c>
      <c r="H54" s="4" t="s">
        <v>8</v>
      </c>
    </row>
    <row r="55" spans="1:8" ht="14.5">
      <c r="A55" s="3">
        <v>62</v>
      </c>
      <c r="B55" s="3"/>
      <c r="C55" s="4" t="s">
        <v>10</v>
      </c>
      <c r="E55" s="3">
        <v>38.1</v>
      </c>
      <c r="F55" s="3">
        <v>15230.32</v>
      </c>
      <c r="H55" s="4" t="s">
        <v>8</v>
      </c>
    </row>
    <row r="56" spans="1:8" ht="14.5">
      <c r="A56" s="3">
        <v>62</v>
      </c>
      <c r="B56" s="3"/>
      <c r="C56" s="4" t="s">
        <v>10</v>
      </c>
      <c r="E56" s="3">
        <v>39.200000000000003</v>
      </c>
      <c r="F56" s="3">
        <v>13470.86</v>
      </c>
      <c r="H56" s="4" t="s">
        <v>8</v>
      </c>
    </row>
    <row r="57" spans="1:8" ht="14.5">
      <c r="A57" s="3">
        <v>62</v>
      </c>
      <c r="B57" s="3"/>
      <c r="C57" s="4" t="s">
        <v>10</v>
      </c>
      <c r="E57" s="3">
        <v>31.7</v>
      </c>
      <c r="F57" s="3">
        <v>14043.48</v>
      </c>
      <c r="H57" s="4" t="s">
        <v>8</v>
      </c>
    </row>
    <row r="58" spans="1:8" ht="14.5">
      <c r="A58" s="3">
        <v>62</v>
      </c>
      <c r="B58" s="3"/>
      <c r="C58" s="4" t="s">
        <v>7</v>
      </c>
      <c r="E58" s="3">
        <v>21.4</v>
      </c>
      <c r="F58" s="3">
        <v>12957.12</v>
      </c>
      <c r="H58" s="4" t="s">
        <v>8</v>
      </c>
    </row>
    <row r="59" spans="1:8" ht="14.5">
      <c r="A59" s="3">
        <v>62</v>
      </c>
      <c r="B59" s="3"/>
      <c r="C59" s="4" t="s">
        <v>10</v>
      </c>
      <c r="E59" s="3">
        <v>36.9</v>
      </c>
      <c r="F59" s="3">
        <v>31620</v>
      </c>
      <c r="H59" s="4" t="s">
        <v>8</v>
      </c>
    </row>
    <row r="60" spans="1:8" ht="14.5">
      <c r="A60" s="3">
        <v>62</v>
      </c>
      <c r="B60" s="3"/>
      <c r="C60" s="4" t="s">
        <v>7</v>
      </c>
      <c r="E60" s="3">
        <v>32</v>
      </c>
      <c r="F60" s="3">
        <v>45710.21</v>
      </c>
      <c r="H60" s="4" t="s">
        <v>11</v>
      </c>
    </row>
    <row r="61" spans="1:8" ht="14.5">
      <c r="A61" s="3">
        <v>62</v>
      </c>
      <c r="B61" s="3"/>
      <c r="C61" s="4" t="s">
        <v>7</v>
      </c>
      <c r="E61" s="3">
        <v>37.4</v>
      </c>
      <c r="F61" s="3">
        <v>12979.36</v>
      </c>
      <c r="H61" s="4" t="s">
        <v>8</v>
      </c>
    </row>
    <row r="62" spans="1:8" ht="14.5">
      <c r="A62" s="3">
        <v>62</v>
      </c>
      <c r="B62" s="3"/>
      <c r="C62" s="4" t="s">
        <v>10</v>
      </c>
      <c r="E62" s="3">
        <v>29.9</v>
      </c>
      <c r="F62" s="3">
        <v>13457.96</v>
      </c>
      <c r="H62" s="4" t="s">
        <v>8</v>
      </c>
    </row>
    <row r="63" spans="1:8" ht="14.5">
      <c r="A63" s="3">
        <v>62</v>
      </c>
      <c r="B63" s="3"/>
      <c r="C63" s="4" t="s">
        <v>7</v>
      </c>
      <c r="E63" s="3">
        <v>32.1</v>
      </c>
      <c r="F63" s="3">
        <v>13555</v>
      </c>
      <c r="H63" s="4" t="s">
        <v>8</v>
      </c>
    </row>
    <row r="64" spans="1:8" ht="14.5">
      <c r="A64" s="3">
        <v>62</v>
      </c>
      <c r="B64" s="3"/>
      <c r="C64" s="4" t="s">
        <v>10</v>
      </c>
      <c r="E64" s="3">
        <v>25</v>
      </c>
      <c r="F64" s="3">
        <v>13451.12</v>
      </c>
      <c r="H64" s="4" t="s">
        <v>8</v>
      </c>
    </row>
    <row r="65" spans="1:8" ht="14.5">
      <c r="A65" s="3">
        <v>62</v>
      </c>
      <c r="B65" s="3"/>
      <c r="C65" s="4" t="s">
        <v>10</v>
      </c>
      <c r="E65" s="3">
        <v>33.200000000000003</v>
      </c>
      <c r="F65" s="3">
        <v>13462.52</v>
      </c>
      <c r="H65" s="4" t="s">
        <v>8</v>
      </c>
    </row>
    <row r="66" spans="1:8" ht="14.5">
      <c r="A66" s="3">
        <v>62</v>
      </c>
      <c r="B66" s="3"/>
      <c r="C66" s="4" t="s">
        <v>10</v>
      </c>
      <c r="E66" s="3">
        <v>39.200000000000003</v>
      </c>
      <c r="F66" s="3">
        <v>13470.8</v>
      </c>
      <c r="H66" s="4" t="s">
        <v>8</v>
      </c>
    </row>
    <row r="67" spans="1:8" ht="14.5">
      <c r="A67" s="3">
        <v>62</v>
      </c>
      <c r="B67" s="3"/>
      <c r="C67" s="4" t="s">
        <v>7</v>
      </c>
      <c r="E67" s="3">
        <v>39.9</v>
      </c>
      <c r="F67" s="3">
        <v>12982.87</v>
      </c>
      <c r="H67" s="4" t="s">
        <v>8</v>
      </c>
    </row>
    <row r="68" spans="1:8" ht="14.5">
      <c r="A68" s="3">
        <v>62</v>
      </c>
      <c r="B68" s="3"/>
      <c r="C68" s="4" t="s">
        <v>10</v>
      </c>
      <c r="E68" s="3">
        <v>30.5</v>
      </c>
      <c r="F68" s="3">
        <v>15019.76</v>
      </c>
      <c r="H68" s="4" t="s">
        <v>8</v>
      </c>
    </row>
    <row r="69" spans="1:8" ht="14.5">
      <c r="A69" s="3">
        <v>62</v>
      </c>
      <c r="B69" s="3"/>
      <c r="C69" s="4" t="s">
        <v>10</v>
      </c>
      <c r="E69" s="3">
        <v>32.700000000000003</v>
      </c>
      <c r="F69" s="3">
        <v>13844.8</v>
      </c>
      <c r="H69" s="4" t="s">
        <v>8</v>
      </c>
    </row>
    <row r="70" spans="1:8" ht="14.5">
      <c r="A70" s="3">
        <v>62</v>
      </c>
      <c r="B70" s="3"/>
      <c r="C70" s="4" t="s">
        <v>7</v>
      </c>
      <c r="E70" s="3">
        <v>30.9</v>
      </c>
      <c r="F70" s="3">
        <v>46718.16</v>
      </c>
      <c r="H70" s="4" t="s">
        <v>11</v>
      </c>
    </row>
    <row r="71" spans="1:8" ht="14.5">
      <c r="A71" s="3">
        <v>62</v>
      </c>
      <c r="B71" s="3"/>
      <c r="C71" s="4" t="s">
        <v>7</v>
      </c>
      <c r="E71" s="3">
        <v>26.7</v>
      </c>
      <c r="F71" s="3">
        <v>28101.33</v>
      </c>
      <c r="H71" s="4" t="s">
        <v>11</v>
      </c>
    </row>
    <row r="72" spans="1:8" ht="14.5">
      <c r="A72" s="3">
        <v>62</v>
      </c>
      <c r="B72" s="3"/>
      <c r="C72" s="4" t="s">
        <v>7</v>
      </c>
      <c r="E72" s="3">
        <v>38.799999999999997</v>
      </c>
      <c r="F72" s="3">
        <v>12981.35</v>
      </c>
      <c r="H72" s="4" t="s">
        <v>8</v>
      </c>
    </row>
    <row r="73" spans="1:8" ht="14.5">
      <c r="A73" s="3">
        <v>61</v>
      </c>
      <c r="B73" s="3"/>
      <c r="C73" s="4" t="s">
        <v>10</v>
      </c>
      <c r="E73" s="3">
        <v>39.1</v>
      </c>
      <c r="F73" s="3">
        <v>14235.07</v>
      </c>
      <c r="H73" s="4" t="s">
        <v>8</v>
      </c>
    </row>
    <row r="74" spans="1:8" ht="14.5">
      <c r="A74" s="3">
        <v>61</v>
      </c>
      <c r="B74" s="3"/>
      <c r="C74" s="4" t="s">
        <v>10</v>
      </c>
      <c r="E74" s="3">
        <v>29.9</v>
      </c>
      <c r="F74" s="3">
        <v>30942.19</v>
      </c>
      <c r="H74" s="4" t="s">
        <v>11</v>
      </c>
    </row>
    <row r="75" spans="1:8" ht="14.5">
      <c r="A75" s="3">
        <v>61</v>
      </c>
      <c r="B75" s="3"/>
      <c r="C75" s="4" t="s">
        <v>10</v>
      </c>
      <c r="E75" s="3">
        <v>22</v>
      </c>
      <c r="F75" s="3">
        <v>13616.36</v>
      </c>
      <c r="H75" s="4" t="s">
        <v>8</v>
      </c>
    </row>
    <row r="76" spans="1:8" ht="14.5">
      <c r="A76" s="3">
        <v>61</v>
      </c>
      <c r="B76" s="3"/>
      <c r="C76" s="4" t="s">
        <v>7</v>
      </c>
      <c r="E76" s="3">
        <v>31.6</v>
      </c>
      <c r="F76" s="3">
        <v>12557.61</v>
      </c>
      <c r="H76" s="4" t="s">
        <v>8</v>
      </c>
    </row>
    <row r="77" spans="1:8" ht="14.5">
      <c r="A77" s="3">
        <v>61</v>
      </c>
      <c r="B77" s="3"/>
      <c r="C77" s="4" t="s">
        <v>10</v>
      </c>
      <c r="E77" s="3">
        <v>36.4</v>
      </c>
      <c r="F77" s="3">
        <v>48517.56</v>
      </c>
      <c r="H77" s="4" t="s">
        <v>11</v>
      </c>
    </row>
    <row r="78" spans="1:8" ht="14.5">
      <c r="A78" s="3">
        <v>61</v>
      </c>
      <c r="B78" s="3"/>
      <c r="C78" s="4" t="s">
        <v>10</v>
      </c>
      <c r="E78" s="3">
        <v>31.2</v>
      </c>
      <c r="F78" s="3">
        <v>13429.04</v>
      </c>
      <c r="H78" s="4" t="s">
        <v>8</v>
      </c>
    </row>
    <row r="79" spans="1:8" ht="14.5">
      <c r="A79" s="3">
        <v>61</v>
      </c>
      <c r="B79" s="3"/>
      <c r="C79" s="4" t="s">
        <v>10</v>
      </c>
      <c r="E79" s="3">
        <v>21.1</v>
      </c>
      <c r="F79" s="3">
        <v>13415.04</v>
      </c>
      <c r="H79" s="4" t="s">
        <v>8</v>
      </c>
    </row>
    <row r="80" spans="1:8" ht="14.5">
      <c r="A80" s="3">
        <v>61</v>
      </c>
      <c r="B80" s="3"/>
      <c r="C80" s="4" t="s">
        <v>7</v>
      </c>
      <c r="E80" s="3">
        <v>35.9</v>
      </c>
      <c r="F80" s="3">
        <v>46599.11</v>
      </c>
      <c r="H80" s="4" t="s">
        <v>11</v>
      </c>
    </row>
    <row r="81" spans="1:8" ht="14.5">
      <c r="A81" s="3">
        <v>61</v>
      </c>
      <c r="B81" s="3"/>
      <c r="C81" s="4" t="s">
        <v>7</v>
      </c>
      <c r="E81" s="3">
        <v>28.3</v>
      </c>
      <c r="F81" s="3">
        <v>28868.66</v>
      </c>
      <c r="H81" s="4" t="s">
        <v>11</v>
      </c>
    </row>
    <row r="82" spans="1:8" ht="14.5">
      <c r="A82" s="3">
        <v>61</v>
      </c>
      <c r="B82" s="3"/>
      <c r="C82" s="4" t="s">
        <v>10</v>
      </c>
      <c r="E82" s="3">
        <v>25.1</v>
      </c>
      <c r="F82" s="3">
        <v>24513.09</v>
      </c>
      <c r="H82" s="4" t="s">
        <v>8</v>
      </c>
    </row>
    <row r="83" spans="1:8" ht="14.5">
      <c r="A83" s="3">
        <v>61</v>
      </c>
      <c r="B83" s="3"/>
      <c r="C83" s="4" t="s">
        <v>7</v>
      </c>
      <c r="E83" s="3">
        <v>43.4</v>
      </c>
      <c r="F83" s="3">
        <v>12574.05</v>
      </c>
      <c r="H83" s="4" t="s">
        <v>8</v>
      </c>
    </row>
    <row r="84" spans="1:8" ht="14.5">
      <c r="A84" s="3">
        <v>61</v>
      </c>
      <c r="B84" s="3"/>
      <c r="C84" s="4" t="s">
        <v>10</v>
      </c>
      <c r="E84" s="3">
        <v>35.9</v>
      </c>
      <c r="F84" s="3">
        <v>13635.64</v>
      </c>
      <c r="H84" s="4" t="s">
        <v>8</v>
      </c>
    </row>
    <row r="85" spans="1:8" ht="14.5">
      <c r="A85" s="3">
        <v>61</v>
      </c>
      <c r="B85" s="3"/>
      <c r="C85" s="4" t="s">
        <v>7</v>
      </c>
      <c r="E85" s="3">
        <v>33.9</v>
      </c>
      <c r="F85" s="3">
        <v>13143.86</v>
      </c>
      <c r="H85" s="4" t="s">
        <v>8</v>
      </c>
    </row>
    <row r="86" spans="1:8" ht="14.5">
      <c r="A86" s="3">
        <v>61</v>
      </c>
      <c r="B86" s="3"/>
      <c r="C86" s="4" t="s">
        <v>7</v>
      </c>
      <c r="E86" s="3">
        <v>36.1</v>
      </c>
      <c r="F86" s="3">
        <v>27941.29</v>
      </c>
      <c r="H86" s="4" t="s">
        <v>8</v>
      </c>
    </row>
    <row r="87" spans="1:8" ht="14.5">
      <c r="A87" s="3">
        <v>61</v>
      </c>
      <c r="B87" s="3"/>
      <c r="C87" s="4" t="s">
        <v>7</v>
      </c>
      <c r="E87" s="3">
        <v>32.299999999999997</v>
      </c>
      <c r="F87" s="3">
        <v>14119.62</v>
      </c>
      <c r="H87" s="4" t="s">
        <v>8</v>
      </c>
    </row>
    <row r="88" spans="1:8" ht="14.5">
      <c r="A88" s="3">
        <v>61</v>
      </c>
      <c r="B88" s="3"/>
      <c r="C88" s="4" t="s">
        <v>7</v>
      </c>
      <c r="E88" s="3">
        <v>23.7</v>
      </c>
      <c r="F88" s="3">
        <v>13129.6</v>
      </c>
      <c r="H88" s="4" t="s">
        <v>8</v>
      </c>
    </row>
    <row r="89" spans="1:8" ht="14.5">
      <c r="A89" s="3">
        <v>61</v>
      </c>
      <c r="B89" s="3"/>
      <c r="C89" s="4" t="s">
        <v>10</v>
      </c>
      <c r="E89" s="3">
        <v>44</v>
      </c>
      <c r="F89" s="3">
        <v>13063.88</v>
      </c>
      <c r="H89" s="4" t="s">
        <v>8</v>
      </c>
    </row>
    <row r="90" spans="1:8" ht="14.5">
      <c r="A90" s="3">
        <v>61</v>
      </c>
      <c r="B90" s="3"/>
      <c r="C90" s="4" t="s">
        <v>10</v>
      </c>
      <c r="E90" s="3">
        <v>28.2</v>
      </c>
      <c r="F90" s="3">
        <v>13041.92</v>
      </c>
      <c r="H90" s="4" t="s">
        <v>8</v>
      </c>
    </row>
    <row r="91" spans="1:8" ht="14.5">
      <c r="A91" s="3">
        <v>61</v>
      </c>
      <c r="B91" s="3"/>
      <c r="C91" s="4" t="s">
        <v>10</v>
      </c>
      <c r="E91" s="3">
        <v>33.299999999999997</v>
      </c>
      <c r="F91" s="3">
        <v>36580.28</v>
      </c>
      <c r="H91" s="4" t="s">
        <v>8</v>
      </c>
    </row>
    <row r="92" spans="1:8" ht="14.5">
      <c r="A92" s="3">
        <v>61</v>
      </c>
      <c r="B92" s="3"/>
      <c r="C92" s="4" t="s">
        <v>7</v>
      </c>
      <c r="E92" s="3">
        <v>38.4</v>
      </c>
      <c r="F92" s="3">
        <v>12950.07</v>
      </c>
      <c r="H92" s="4" t="s">
        <v>8</v>
      </c>
    </row>
    <row r="93" spans="1:8" ht="14.5">
      <c r="A93" s="3">
        <v>61</v>
      </c>
      <c r="B93" s="3"/>
      <c r="C93" s="4" t="s">
        <v>7</v>
      </c>
      <c r="E93" s="3">
        <v>36.299999999999997</v>
      </c>
      <c r="F93" s="3">
        <v>47403.88</v>
      </c>
      <c r="H93" s="4" t="s">
        <v>11</v>
      </c>
    </row>
    <row r="94" spans="1:8" ht="14.5">
      <c r="A94" s="3">
        <v>61</v>
      </c>
      <c r="B94" s="3"/>
      <c r="C94" s="4" t="s">
        <v>7</v>
      </c>
      <c r="E94" s="3">
        <v>33.5</v>
      </c>
      <c r="F94" s="3">
        <v>13143.34</v>
      </c>
      <c r="H94" s="4" t="s">
        <v>8</v>
      </c>
    </row>
    <row r="95" spans="1:8" ht="14.5">
      <c r="A95" s="3">
        <v>61</v>
      </c>
      <c r="B95" s="3"/>
      <c r="C95" s="4" t="s">
        <v>10</v>
      </c>
      <c r="E95" s="3">
        <v>29.1</v>
      </c>
      <c r="F95" s="3">
        <v>29141.360000000001</v>
      </c>
      <c r="H95" s="4" t="s">
        <v>11</v>
      </c>
    </row>
    <row r="96" spans="1:8" ht="14.5">
      <c r="A96" s="3">
        <v>60</v>
      </c>
      <c r="B96" s="3"/>
      <c r="C96" s="4" t="s">
        <v>10</v>
      </c>
      <c r="E96" s="3">
        <v>25.8</v>
      </c>
      <c r="F96" s="3">
        <v>28923.14</v>
      </c>
      <c r="H96" s="4" t="s">
        <v>8</v>
      </c>
    </row>
    <row r="97" spans="1:8" ht="14.5">
      <c r="A97" s="3">
        <v>60</v>
      </c>
      <c r="B97" s="3"/>
      <c r="C97" s="4" t="s">
        <v>10</v>
      </c>
      <c r="E97" s="3">
        <v>36</v>
      </c>
      <c r="F97" s="3">
        <v>13228.85</v>
      </c>
      <c r="H97" s="4" t="s">
        <v>8</v>
      </c>
    </row>
    <row r="98" spans="1:8" ht="14.5">
      <c r="A98" s="3">
        <v>60</v>
      </c>
      <c r="B98" s="3"/>
      <c r="C98" s="4" t="s">
        <v>7</v>
      </c>
      <c r="E98" s="3">
        <v>39.9</v>
      </c>
      <c r="F98" s="3">
        <v>48173.36</v>
      </c>
      <c r="H98" s="4" t="s">
        <v>11</v>
      </c>
    </row>
    <row r="99" spans="1:8" ht="14.5">
      <c r="A99" s="3">
        <v>60</v>
      </c>
      <c r="B99" s="3"/>
      <c r="C99" s="4" t="s">
        <v>10</v>
      </c>
      <c r="E99" s="3">
        <v>24.5</v>
      </c>
      <c r="F99" s="3">
        <v>12629.9</v>
      </c>
      <c r="H99" s="4" t="s">
        <v>8</v>
      </c>
    </row>
    <row r="100" spans="1:8" ht="14.5">
      <c r="A100" s="3">
        <v>60</v>
      </c>
      <c r="B100" s="3"/>
      <c r="C100" s="4" t="s">
        <v>7</v>
      </c>
      <c r="E100" s="3">
        <v>28.6</v>
      </c>
      <c r="F100" s="3">
        <v>30260</v>
      </c>
      <c r="H100" s="4" t="s">
        <v>8</v>
      </c>
    </row>
    <row r="101" spans="1:8" ht="14.5">
      <c r="A101" s="3">
        <v>60</v>
      </c>
      <c r="B101" s="3"/>
      <c r="C101" s="4" t="s">
        <v>10</v>
      </c>
      <c r="E101" s="3">
        <v>24</v>
      </c>
      <c r="F101" s="3">
        <v>13012.21</v>
      </c>
      <c r="H101" s="4" t="s">
        <v>8</v>
      </c>
    </row>
    <row r="102" spans="1:8" ht="14.5">
      <c r="A102" s="3">
        <v>60</v>
      </c>
      <c r="B102" s="3"/>
      <c r="C102" s="4" t="s">
        <v>10</v>
      </c>
      <c r="E102" s="3">
        <v>38.1</v>
      </c>
      <c r="F102" s="3">
        <v>12648.7</v>
      </c>
      <c r="H102" s="4" t="s">
        <v>8</v>
      </c>
    </row>
    <row r="103" spans="1:8" ht="14.5">
      <c r="A103" s="3">
        <v>60</v>
      </c>
      <c r="B103" s="3"/>
      <c r="C103" s="4" t="s">
        <v>7</v>
      </c>
      <c r="E103" s="3">
        <v>25.7</v>
      </c>
      <c r="F103" s="3">
        <v>12142.58</v>
      </c>
      <c r="H103" s="4" t="s">
        <v>8</v>
      </c>
    </row>
    <row r="104" spans="1:8" ht="14.5">
      <c r="A104" s="3">
        <v>60</v>
      </c>
      <c r="B104" s="3"/>
      <c r="C104" s="4" t="s">
        <v>10</v>
      </c>
      <c r="E104" s="3">
        <v>27.6</v>
      </c>
      <c r="F104" s="3">
        <v>13217.09</v>
      </c>
      <c r="H104" s="4" t="s">
        <v>8</v>
      </c>
    </row>
    <row r="105" spans="1:8" ht="14.5">
      <c r="A105" s="3">
        <v>60</v>
      </c>
      <c r="B105" s="3"/>
      <c r="C105" s="4" t="s">
        <v>10</v>
      </c>
      <c r="E105" s="3">
        <v>30.5</v>
      </c>
      <c r="F105" s="3">
        <v>12638.2</v>
      </c>
      <c r="H105" s="4" t="s">
        <v>8</v>
      </c>
    </row>
    <row r="106" spans="1:8" ht="14.5">
      <c r="A106" s="3">
        <v>60</v>
      </c>
      <c r="B106" s="3"/>
      <c r="C106" s="4" t="s">
        <v>7</v>
      </c>
      <c r="E106" s="3">
        <v>33.1</v>
      </c>
      <c r="F106" s="3">
        <v>13919.82</v>
      </c>
      <c r="H106" s="4" t="s">
        <v>8</v>
      </c>
    </row>
    <row r="107" spans="1:8" ht="14.5">
      <c r="A107" s="3">
        <v>60</v>
      </c>
      <c r="B107" s="3"/>
      <c r="C107" s="4" t="s">
        <v>7</v>
      </c>
      <c r="E107" s="3">
        <v>29.6</v>
      </c>
      <c r="F107" s="3">
        <v>12731</v>
      </c>
      <c r="H107" s="4" t="s">
        <v>8</v>
      </c>
    </row>
    <row r="108" spans="1:8" ht="14.5">
      <c r="A108" s="3">
        <v>60</v>
      </c>
      <c r="B108" s="3"/>
      <c r="C108" s="4" t="s">
        <v>10</v>
      </c>
      <c r="E108" s="3">
        <v>28.7</v>
      </c>
      <c r="F108" s="3">
        <v>13224.69</v>
      </c>
      <c r="H108" s="4" t="s">
        <v>8</v>
      </c>
    </row>
    <row r="109" spans="1:8" ht="14.5">
      <c r="A109" s="3">
        <v>60</v>
      </c>
      <c r="B109" s="3"/>
      <c r="C109" s="4" t="s">
        <v>7</v>
      </c>
      <c r="E109" s="3">
        <v>31.4</v>
      </c>
      <c r="F109" s="3">
        <v>46130.53</v>
      </c>
      <c r="H109" s="4" t="s">
        <v>11</v>
      </c>
    </row>
    <row r="110" spans="1:8" ht="14.5">
      <c r="A110" s="3">
        <v>60</v>
      </c>
      <c r="B110" s="3"/>
      <c r="C110" s="4" t="s">
        <v>7</v>
      </c>
      <c r="E110" s="3">
        <v>28.9</v>
      </c>
      <c r="F110" s="3">
        <v>12146.97</v>
      </c>
      <c r="H110" s="4" t="s">
        <v>8</v>
      </c>
    </row>
    <row r="111" spans="1:8" ht="14.5">
      <c r="A111" s="3">
        <v>60</v>
      </c>
      <c r="B111" s="3"/>
      <c r="C111" s="4" t="s">
        <v>7</v>
      </c>
      <c r="E111" s="3">
        <v>24.3</v>
      </c>
      <c r="F111" s="3">
        <v>13112.6</v>
      </c>
      <c r="H111" s="4" t="s">
        <v>8</v>
      </c>
    </row>
    <row r="112" spans="1:8" ht="14.5">
      <c r="A112" s="3">
        <v>60</v>
      </c>
      <c r="B112" s="3"/>
      <c r="C112" s="4" t="s">
        <v>7</v>
      </c>
      <c r="E112" s="3">
        <v>37</v>
      </c>
      <c r="F112" s="3">
        <v>12741.17</v>
      </c>
      <c r="H112" s="4" t="s">
        <v>8</v>
      </c>
    </row>
    <row r="113" spans="1:8" ht="14.5">
      <c r="A113" s="3">
        <v>60</v>
      </c>
      <c r="B113" s="3"/>
      <c r="C113" s="4" t="s">
        <v>7</v>
      </c>
      <c r="E113" s="3">
        <v>24.3</v>
      </c>
      <c r="F113" s="3">
        <v>12523.6</v>
      </c>
      <c r="H113" s="4" t="s">
        <v>8</v>
      </c>
    </row>
    <row r="114" spans="1:8" ht="14.5">
      <c r="A114" s="3">
        <v>60</v>
      </c>
      <c r="B114" s="3"/>
      <c r="C114" s="4" t="s">
        <v>10</v>
      </c>
      <c r="E114" s="3">
        <v>32.5</v>
      </c>
      <c r="F114" s="3">
        <v>45008.959999999999</v>
      </c>
      <c r="H114" s="4" t="s">
        <v>11</v>
      </c>
    </row>
    <row r="115" spans="1:8" ht="14.5">
      <c r="A115" s="3">
        <v>60</v>
      </c>
      <c r="B115" s="3"/>
      <c r="C115" s="4" t="s">
        <v>7</v>
      </c>
      <c r="E115" s="3">
        <v>40.9</v>
      </c>
      <c r="F115" s="3">
        <v>48673.56</v>
      </c>
      <c r="H115" s="4" t="s">
        <v>11</v>
      </c>
    </row>
    <row r="116" spans="1:8" ht="14.5">
      <c r="A116" s="3">
        <v>60</v>
      </c>
      <c r="B116" s="3"/>
      <c r="C116" s="4" t="s">
        <v>10</v>
      </c>
      <c r="E116" s="3">
        <v>35.1</v>
      </c>
      <c r="F116" s="3">
        <v>12644.59</v>
      </c>
      <c r="H116" s="4" t="s">
        <v>8</v>
      </c>
    </row>
    <row r="117" spans="1:8" ht="14.5">
      <c r="A117" s="3">
        <v>60</v>
      </c>
      <c r="B117" s="3"/>
      <c r="C117" s="4" t="s">
        <v>10</v>
      </c>
      <c r="E117" s="3">
        <v>18.3</v>
      </c>
      <c r="F117" s="3">
        <v>13204.29</v>
      </c>
      <c r="H117" s="4" t="s">
        <v>8</v>
      </c>
    </row>
    <row r="118" spans="1:8" ht="14.5">
      <c r="A118" s="3">
        <v>60</v>
      </c>
      <c r="B118" s="3"/>
      <c r="C118" s="4" t="s">
        <v>7</v>
      </c>
      <c r="E118" s="3">
        <v>32.799999999999997</v>
      </c>
      <c r="F118" s="3">
        <v>52590.83</v>
      </c>
      <c r="H118" s="4" t="s">
        <v>11</v>
      </c>
    </row>
    <row r="119" spans="1:8" ht="14.5">
      <c r="A119" s="3">
        <v>59</v>
      </c>
      <c r="B119" s="3"/>
      <c r="C119" s="4" t="s">
        <v>10</v>
      </c>
      <c r="E119" s="3">
        <v>27.7</v>
      </c>
      <c r="F119" s="3">
        <v>14001.13</v>
      </c>
      <c r="H119" s="4" t="s">
        <v>8</v>
      </c>
    </row>
    <row r="120" spans="1:8" ht="14.5">
      <c r="A120" s="3">
        <v>59</v>
      </c>
      <c r="B120" s="3"/>
      <c r="C120" s="4" t="s">
        <v>7</v>
      </c>
      <c r="E120" s="3">
        <v>29.8</v>
      </c>
      <c r="F120" s="3">
        <v>30184.94</v>
      </c>
      <c r="H120" s="4" t="s">
        <v>11</v>
      </c>
    </row>
    <row r="121" spans="1:8" ht="14.5">
      <c r="A121" s="3">
        <v>59</v>
      </c>
      <c r="B121" s="3"/>
      <c r="C121" s="4" t="s">
        <v>10</v>
      </c>
      <c r="E121" s="3">
        <v>26.5</v>
      </c>
      <c r="F121" s="3">
        <v>12815.44</v>
      </c>
      <c r="H121" s="4" t="s">
        <v>8</v>
      </c>
    </row>
    <row r="122" spans="1:8" ht="14.5">
      <c r="A122" s="3">
        <v>59</v>
      </c>
      <c r="B122" s="3"/>
      <c r="C122" s="4" t="s">
        <v>7</v>
      </c>
      <c r="E122" s="3">
        <v>26.4</v>
      </c>
      <c r="F122" s="3">
        <v>11743.3</v>
      </c>
      <c r="H122" s="4" t="s">
        <v>8</v>
      </c>
    </row>
    <row r="123" spans="1:8" ht="14.5">
      <c r="A123" s="3">
        <v>59</v>
      </c>
      <c r="B123" s="3"/>
      <c r="C123" s="4" t="s">
        <v>10</v>
      </c>
      <c r="E123" s="3">
        <v>27.8</v>
      </c>
      <c r="F123" s="3">
        <v>14001.29</v>
      </c>
      <c r="H123" s="4" t="s">
        <v>8</v>
      </c>
    </row>
    <row r="124" spans="1:8" ht="14.5">
      <c r="A124" s="3">
        <v>59</v>
      </c>
      <c r="B124" s="3"/>
      <c r="C124" s="4" t="s">
        <v>7</v>
      </c>
      <c r="E124" s="3">
        <v>27.5</v>
      </c>
      <c r="F124" s="3">
        <v>12333.83</v>
      </c>
      <c r="H124" s="4" t="s">
        <v>8</v>
      </c>
    </row>
    <row r="125" spans="1:8" ht="14.5">
      <c r="A125" s="3">
        <v>59</v>
      </c>
      <c r="B125" s="3"/>
      <c r="C125" s="4" t="s">
        <v>10</v>
      </c>
      <c r="E125" s="3">
        <v>32.4</v>
      </c>
      <c r="F125" s="3">
        <v>14590.63</v>
      </c>
      <c r="H125" s="4" t="s">
        <v>8</v>
      </c>
    </row>
    <row r="126" spans="1:8" ht="14.5">
      <c r="A126" s="3">
        <v>59</v>
      </c>
      <c r="B126" s="3"/>
      <c r="C126" s="4" t="s">
        <v>7</v>
      </c>
      <c r="E126" s="3">
        <v>31.8</v>
      </c>
      <c r="F126" s="3">
        <v>12928.79</v>
      </c>
      <c r="H126" s="4" t="s">
        <v>8</v>
      </c>
    </row>
    <row r="127" spans="1:8" ht="14.5">
      <c r="A127" s="3">
        <v>59</v>
      </c>
      <c r="B127" s="3"/>
      <c r="C127" s="4" t="s">
        <v>10</v>
      </c>
      <c r="E127" s="3">
        <v>36.799999999999997</v>
      </c>
      <c r="F127" s="3">
        <v>47896.79</v>
      </c>
      <c r="H127" s="4" t="s">
        <v>11</v>
      </c>
    </row>
    <row r="128" spans="1:8" ht="14.5">
      <c r="A128" s="3">
        <v>59</v>
      </c>
      <c r="B128" s="3"/>
      <c r="C128" s="4" t="s">
        <v>10</v>
      </c>
      <c r="E128" s="3">
        <v>36.5</v>
      </c>
      <c r="F128" s="3">
        <v>28287.9</v>
      </c>
      <c r="H128" s="4" t="s">
        <v>8</v>
      </c>
    </row>
    <row r="129" spans="1:8" ht="14.5">
      <c r="A129" s="3">
        <v>59</v>
      </c>
      <c r="B129" s="3"/>
      <c r="C129" s="4" t="s">
        <v>7</v>
      </c>
      <c r="E129" s="3">
        <v>37.4</v>
      </c>
      <c r="F129" s="3">
        <v>21797</v>
      </c>
      <c r="H129" s="4" t="s">
        <v>8</v>
      </c>
    </row>
    <row r="130" spans="1:8" ht="14.5">
      <c r="A130" s="3">
        <v>59</v>
      </c>
      <c r="B130" s="3"/>
      <c r="C130" s="4" t="s">
        <v>7</v>
      </c>
      <c r="E130" s="3">
        <v>29.7</v>
      </c>
      <c r="F130" s="3">
        <v>12925.89</v>
      </c>
      <c r="H130" s="4" t="s">
        <v>8</v>
      </c>
    </row>
    <row r="131" spans="1:8" ht="14.5">
      <c r="A131" s="3">
        <v>59</v>
      </c>
      <c r="B131" s="3"/>
      <c r="C131" s="4" t="s">
        <v>7</v>
      </c>
      <c r="E131" s="3">
        <v>25.5</v>
      </c>
      <c r="F131" s="3">
        <v>12913.99</v>
      </c>
      <c r="H131" s="4" t="s">
        <v>8</v>
      </c>
    </row>
    <row r="132" spans="1:8" ht="14.5">
      <c r="A132" s="3">
        <v>59</v>
      </c>
      <c r="B132" s="3"/>
      <c r="C132" s="4" t="s">
        <v>10</v>
      </c>
      <c r="E132" s="3">
        <v>23.7</v>
      </c>
      <c r="F132" s="3">
        <v>25678.78</v>
      </c>
      <c r="H132" s="4" t="s">
        <v>11</v>
      </c>
    </row>
    <row r="133" spans="1:8" ht="14.5">
      <c r="A133" s="3">
        <v>59</v>
      </c>
      <c r="B133" s="3"/>
      <c r="C133" s="4" t="s">
        <v>7</v>
      </c>
      <c r="E133" s="3">
        <v>28.8</v>
      </c>
      <c r="F133" s="3">
        <v>12129.61</v>
      </c>
      <c r="H133" s="4" t="s">
        <v>8</v>
      </c>
    </row>
    <row r="134" spans="1:8" ht="14.5">
      <c r="A134" s="3">
        <v>59</v>
      </c>
      <c r="B134" s="3"/>
      <c r="C134" s="4" t="s">
        <v>10</v>
      </c>
      <c r="E134" s="3">
        <v>35.200000000000003</v>
      </c>
      <c r="F134" s="3">
        <v>12244.53</v>
      </c>
      <c r="H134" s="4" t="s">
        <v>8</v>
      </c>
    </row>
    <row r="135" spans="1:8" ht="14.5">
      <c r="A135" s="3">
        <v>59</v>
      </c>
      <c r="B135" s="3"/>
      <c r="C135" s="4" t="s">
        <v>10</v>
      </c>
      <c r="E135" s="3">
        <v>32.1</v>
      </c>
      <c r="F135" s="3">
        <v>14007.22</v>
      </c>
      <c r="H135" s="4" t="s">
        <v>8</v>
      </c>
    </row>
    <row r="136" spans="1:8" ht="14.5">
      <c r="A136" s="3">
        <v>59</v>
      </c>
      <c r="B136" s="3"/>
      <c r="C136" s="4" t="s">
        <v>10</v>
      </c>
      <c r="E136" s="3">
        <v>31.4</v>
      </c>
      <c r="F136" s="3">
        <v>12622.18</v>
      </c>
      <c r="H136" s="4" t="s">
        <v>8</v>
      </c>
    </row>
    <row r="137" spans="1:8" ht="14.5">
      <c r="A137" s="3">
        <v>59</v>
      </c>
      <c r="B137" s="3"/>
      <c r="C137" s="4" t="s">
        <v>7</v>
      </c>
      <c r="E137" s="3">
        <v>24.7</v>
      </c>
      <c r="F137" s="3">
        <v>12323.94</v>
      </c>
      <c r="H137" s="4" t="s">
        <v>8</v>
      </c>
    </row>
    <row r="138" spans="1:8" ht="14.5">
      <c r="A138" s="3">
        <v>59</v>
      </c>
      <c r="B138" s="3"/>
      <c r="C138" s="4" t="s">
        <v>10</v>
      </c>
      <c r="E138" s="3">
        <v>26.7</v>
      </c>
      <c r="F138" s="3">
        <v>14382.71</v>
      </c>
      <c r="H138" s="4" t="s">
        <v>8</v>
      </c>
    </row>
    <row r="139" spans="1:8" ht="14.5">
      <c r="A139" s="3">
        <v>59</v>
      </c>
      <c r="B139" s="3"/>
      <c r="C139" s="4" t="s">
        <v>10</v>
      </c>
      <c r="E139" s="3">
        <v>27.5</v>
      </c>
      <c r="F139" s="3">
        <v>12233.83</v>
      </c>
      <c r="H139" s="4" t="s">
        <v>8</v>
      </c>
    </row>
    <row r="140" spans="1:8" ht="14.5">
      <c r="A140" s="3">
        <v>59</v>
      </c>
      <c r="B140" s="3"/>
      <c r="C140" s="4" t="s">
        <v>7</v>
      </c>
      <c r="E140" s="3">
        <v>25.5</v>
      </c>
      <c r="F140" s="3">
        <v>12124.99</v>
      </c>
      <c r="H140" s="4" t="s">
        <v>8</v>
      </c>
    </row>
    <row r="141" spans="1:8" ht="14.5">
      <c r="A141" s="3">
        <v>59</v>
      </c>
      <c r="B141" s="3"/>
      <c r="C141" s="4" t="s">
        <v>7</v>
      </c>
      <c r="E141" s="3">
        <v>41.1</v>
      </c>
      <c r="F141" s="3">
        <v>48970.25</v>
      </c>
      <c r="H141" s="4" t="s">
        <v>11</v>
      </c>
    </row>
    <row r="142" spans="1:8" ht="14.5">
      <c r="A142" s="3">
        <v>59</v>
      </c>
      <c r="B142" s="3"/>
      <c r="C142" s="4" t="s">
        <v>10</v>
      </c>
      <c r="E142" s="3">
        <v>34.799999999999997</v>
      </c>
      <c r="F142" s="3">
        <v>36910.61</v>
      </c>
      <c r="H142" s="4" t="s">
        <v>8</v>
      </c>
    </row>
    <row r="143" spans="1:8" ht="14.5">
      <c r="A143" s="3">
        <v>59</v>
      </c>
      <c r="B143" s="3"/>
      <c r="C143" s="4" t="s">
        <v>7</v>
      </c>
      <c r="E143" s="3">
        <v>37.1</v>
      </c>
      <c r="F143" s="3">
        <v>12347.17</v>
      </c>
      <c r="H143" s="4" t="s">
        <v>8</v>
      </c>
    </row>
    <row r="144" spans="1:8" ht="14.5">
      <c r="A144" s="3">
        <v>58</v>
      </c>
      <c r="B144" s="3"/>
      <c r="C144" s="4" t="s">
        <v>7</v>
      </c>
      <c r="E144" s="3">
        <v>37</v>
      </c>
      <c r="F144" s="3">
        <v>47496.49</v>
      </c>
      <c r="H144" s="4" t="s">
        <v>11</v>
      </c>
    </row>
    <row r="145" spans="1:8" ht="14.5">
      <c r="A145" s="3">
        <v>58</v>
      </c>
      <c r="B145" s="3"/>
      <c r="C145" s="4" t="s">
        <v>10</v>
      </c>
      <c r="E145" s="3">
        <v>31.8</v>
      </c>
      <c r="F145" s="3">
        <v>13607.37</v>
      </c>
      <c r="H145" s="4" t="s">
        <v>8</v>
      </c>
    </row>
    <row r="146" spans="1:8" ht="14.5">
      <c r="A146" s="3">
        <v>58</v>
      </c>
      <c r="B146" s="3"/>
      <c r="C146" s="4" t="s">
        <v>7</v>
      </c>
      <c r="E146" s="3">
        <v>32</v>
      </c>
      <c r="F146" s="3">
        <v>11946.63</v>
      </c>
      <c r="H146" s="4" t="s">
        <v>8</v>
      </c>
    </row>
    <row r="147" spans="1:8" ht="14.5">
      <c r="A147" s="3">
        <v>58</v>
      </c>
      <c r="B147" s="3"/>
      <c r="C147" s="4" t="s">
        <v>7</v>
      </c>
      <c r="E147" s="3">
        <v>49.1</v>
      </c>
      <c r="F147" s="3">
        <v>11381.33</v>
      </c>
      <c r="H147" s="4" t="s">
        <v>8</v>
      </c>
    </row>
    <row r="148" spans="1:8" ht="14.5">
      <c r="A148" s="3">
        <v>58</v>
      </c>
      <c r="B148" s="3"/>
      <c r="C148" s="4" t="s">
        <v>7</v>
      </c>
      <c r="E148" s="3">
        <v>28.6</v>
      </c>
      <c r="F148" s="3">
        <v>11735.88</v>
      </c>
      <c r="H148" s="4" t="s">
        <v>8</v>
      </c>
    </row>
    <row r="149" spans="1:8" ht="14.5">
      <c r="A149" s="3">
        <v>58</v>
      </c>
      <c r="B149" s="3"/>
      <c r="C149" s="4" t="s">
        <v>10</v>
      </c>
      <c r="E149" s="3">
        <v>41.9</v>
      </c>
      <c r="F149" s="3">
        <v>24227.34</v>
      </c>
      <c r="H149" s="4" t="s">
        <v>8</v>
      </c>
    </row>
    <row r="150" spans="1:8" ht="14.5">
      <c r="A150" s="3">
        <v>58</v>
      </c>
      <c r="B150" s="3"/>
      <c r="C150" s="4" t="s">
        <v>10</v>
      </c>
      <c r="E150" s="3">
        <v>25.2</v>
      </c>
      <c r="F150" s="3">
        <v>11837.16</v>
      </c>
      <c r="H150" s="4" t="s">
        <v>8</v>
      </c>
    </row>
    <row r="151" spans="1:8" ht="14.5">
      <c r="A151" s="3">
        <v>58</v>
      </c>
      <c r="B151" s="3"/>
      <c r="C151" s="4" t="s">
        <v>7</v>
      </c>
      <c r="E151" s="3">
        <v>34.9</v>
      </c>
      <c r="F151" s="3">
        <v>11944.59</v>
      </c>
      <c r="H151" s="4" t="s">
        <v>8</v>
      </c>
    </row>
    <row r="152" spans="1:8" ht="14.5">
      <c r="A152" s="3">
        <v>58</v>
      </c>
      <c r="B152" s="3"/>
      <c r="C152" s="4" t="s">
        <v>10</v>
      </c>
      <c r="E152" s="3">
        <v>39.1</v>
      </c>
      <c r="F152" s="3">
        <v>11856.41</v>
      </c>
      <c r="H152" s="4" t="s">
        <v>8</v>
      </c>
    </row>
    <row r="153" spans="1:8" ht="14.5">
      <c r="A153" s="3">
        <v>58</v>
      </c>
      <c r="B153" s="3"/>
      <c r="C153" s="4" t="s">
        <v>7</v>
      </c>
      <c r="E153" s="3">
        <v>35.700000000000003</v>
      </c>
      <c r="F153" s="3">
        <v>11362.76</v>
      </c>
      <c r="H153" s="4" t="s">
        <v>8</v>
      </c>
    </row>
    <row r="154" spans="1:8" ht="14.5">
      <c r="A154" s="3">
        <v>58</v>
      </c>
      <c r="B154" s="3"/>
      <c r="C154" s="4" t="s">
        <v>10</v>
      </c>
      <c r="E154" s="3">
        <v>27.2</v>
      </c>
      <c r="F154" s="3">
        <v>12222.9</v>
      </c>
      <c r="H154" s="4" t="s">
        <v>8</v>
      </c>
    </row>
    <row r="155" spans="1:8" ht="14.5">
      <c r="A155" s="3">
        <v>58</v>
      </c>
      <c r="B155" s="3"/>
      <c r="C155" s="4" t="s">
        <v>10</v>
      </c>
      <c r="E155" s="3">
        <v>29</v>
      </c>
      <c r="F155" s="3">
        <v>11842.44</v>
      </c>
      <c r="H155" s="4" t="s">
        <v>8</v>
      </c>
    </row>
    <row r="156" spans="1:8" ht="14.5">
      <c r="A156" s="3">
        <v>58</v>
      </c>
      <c r="B156" s="3"/>
      <c r="C156" s="4" t="s">
        <v>7</v>
      </c>
      <c r="E156" s="3">
        <v>38</v>
      </c>
      <c r="F156" s="3">
        <v>11365.95</v>
      </c>
      <c r="H156" s="4" t="s">
        <v>8</v>
      </c>
    </row>
    <row r="157" spans="1:8" ht="14.5">
      <c r="A157" s="3">
        <v>58</v>
      </c>
      <c r="B157" s="3"/>
      <c r="C157" s="4" t="s">
        <v>10</v>
      </c>
      <c r="E157" s="3">
        <v>33</v>
      </c>
      <c r="F157" s="3">
        <v>12430.95</v>
      </c>
      <c r="H157" s="4" t="s">
        <v>8</v>
      </c>
    </row>
    <row r="158" spans="1:8" ht="14.5">
      <c r="A158" s="3">
        <v>58</v>
      </c>
      <c r="B158" s="3"/>
      <c r="C158" s="4" t="s">
        <v>10</v>
      </c>
      <c r="E158" s="3">
        <v>33.4</v>
      </c>
      <c r="F158" s="3">
        <v>12231.61</v>
      </c>
      <c r="H158" s="4" t="s">
        <v>8</v>
      </c>
    </row>
    <row r="159" spans="1:8" ht="14.5">
      <c r="A159" s="3">
        <v>58</v>
      </c>
      <c r="B159" s="3"/>
      <c r="C159" s="4" t="s">
        <v>10</v>
      </c>
      <c r="E159" s="3">
        <v>22.8</v>
      </c>
      <c r="F159" s="3">
        <v>11833.78</v>
      </c>
      <c r="H159" s="4" t="s">
        <v>8</v>
      </c>
    </row>
    <row r="160" spans="1:8" ht="14.5">
      <c r="A160" s="3">
        <v>58</v>
      </c>
      <c r="B160" s="3"/>
      <c r="C160" s="4" t="s">
        <v>10</v>
      </c>
      <c r="E160" s="3">
        <v>33.1</v>
      </c>
      <c r="F160" s="3">
        <v>11848.14</v>
      </c>
      <c r="H160" s="4" t="s">
        <v>8</v>
      </c>
    </row>
    <row r="161" spans="1:8" ht="14.5">
      <c r="A161" s="3">
        <v>58</v>
      </c>
      <c r="B161" s="3"/>
      <c r="C161" s="4" t="s">
        <v>7</v>
      </c>
      <c r="E161" s="3">
        <v>34.4</v>
      </c>
      <c r="F161" s="3">
        <v>11743.93</v>
      </c>
      <c r="H161" s="4" t="s">
        <v>8</v>
      </c>
    </row>
    <row r="162" spans="1:8" ht="14.5">
      <c r="A162" s="3">
        <v>58</v>
      </c>
      <c r="B162" s="3"/>
      <c r="C162" s="4" t="s">
        <v>7</v>
      </c>
      <c r="E162" s="3">
        <v>36.1</v>
      </c>
      <c r="F162" s="3">
        <v>11363.28</v>
      </c>
      <c r="H162" s="4" t="s">
        <v>8</v>
      </c>
    </row>
    <row r="163" spans="1:8" ht="14.5">
      <c r="A163" s="3">
        <v>58</v>
      </c>
      <c r="B163" s="3"/>
      <c r="C163" s="4" t="s">
        <v>10</v>
      </c>
      <c r="E163" s="3">
        <v>36.5</v>
      </c>
      <c r="F163" s="3">
        <v>12235.84</v>
      </c>
      <c r="H163" s="4" t="s">
        <v>8</v>
      </c>
    </row>
    <row r="164" spans="1:8" ht="14.5">
      <c r="A164" s="3">
        <v>58</v>
      </c>
      <c r="B164" s="3"/>
      <c r="C164" s="4" t="s">
        <v>10</v>
      </c>
      <c r="E164" s="3">
        <v>32.4</v>
      </c>
      <c r="F164" s="3">
        <v>13019.16</v>
      </c>
      <c r="H164" s="4" t="s">
        <v>8</v>
      </c>
    </row>
    <row r="165" spans="1:8" ht="14.5">
      <c r="A165" s="3">
        <v>58</v>
      </c>
      <c r="B165" s="3"/>
      <c r="C165" s="4" t="s">
        <v>7</v>
      </c>
      <c r="E165" s="3">
        <v>30.3</v>
      </c>
      <c r="F165" s="3">
        <v>11938.26</v>
      </c>
      <c r="H165" s="4" t="s">
        <v>8</v>
      </c>
    </row>
    <row r="166" spans="1:8" ht="14.5">
      <c r="A166" s="3">
        <v>58</v>
      </c>
      <c r="B166" s="3"/>
      <c r="C166" s="4" t="s">
        <v>7</v>
      </c>
      <c r="E166" s="3">
        <v>23.3</v>
      </c>
      <c r="F166" s="3">
        <v>11345.52</v>
      </c>
      <c r="H166" s="4" t="s">
        <v>8</v>
      </c>
    </row>
    <row r="167" spans="1:8" ht="14.5">
      <c r="A167" s="3">
        <v>58</v>
      </c>
      <c r="B167" s="3"/>
      <c r="C167" s="4" t="s">
        <v>10</v>
      </c>
      <c r="E167" s="3">
        <v>28.2</v>
      </c>
      <c r="F167" s="3">
        <v>12224.35</v>
      </c>
      <c r="H167" s="4" t="s">
        <v>8</v>
      </c>
    </row>
    <row r="168" spans="1:8" ht="14.5">
      <c r="A168" s="3">
        <v>58</v>
      </c>
      <c r="B168" s="3"/>
      <c r="C168" s="4" t="s">
        <v>7</v>
      </c>
      <c r="E168" s="3">
        <v>25.2</v>
      </c>
      <c r="F168" s="3">
        <v>11931.13</v>
      </c>
      <c r="H168" s="4" t="s">
        <v>8</v>
      </c>
    </row>
    <row r="169" spans="1:8" ht="14.5">
      <c r="A169" s="3">
        <v>57</v>
      </c>
      <c r="B169" s="3"/>
      <c r="C169" s="4" t="s">
        <v>7</v>
      </c>
      <c r="E169" s="3">
        <v>34</v>
      </c>
      <c r="F169" s="3">
        <v>11356.66</v>
      </c>
      <c r="H169" s="4" t="s">
        <v>8</v>
      </c>
    </row>
    <row r="170" spans="1:8" ht="14.5">
      <c r="A170" s="3">
        <v>57</v>
      </c>
      <c r="B170" s="3"/>
      <c r="C170" s="4" t="s">
        <v>10</v>
      </c>
      <c r="E170" s="3">
        <v>31.2</v>
      </c>
      <c r="F170" s="3">
        <v>43578.94</v>
      </c>
      <c r="H170" s="4" t="s">
        <v>11</v>
      </c>
    </row>
    <row r="171" spans="1:8" ht="14.5">
      <c r="A171" s="3">
        <v>57</v>
      </c>
      <c r="B171" s="3"/>
      <c r="C171" s="4" t="s">
        <v>10</v>
      </c>
      <c r="E171" s="3">
        <v>38</v>
      </c>
      <c r="F171" s="3">
        <v>12646.21</v>
      </c>
      <c r="H171" s="4" t="s">
        <v>8</v>
      </c>
    </row>
    <row r="172" spans="1:8" ht="14.5">
      <c r="A172" s="3">
        <v>57</v>
      </c>
      <c r="B172" s="3"/>
      <c r="C172" s="4" t="s">
        <v>7</v>
      </c>
      <c r="E172" s="3">
        <v>40.9</v>
      </c>
      <c r="F172" s="3">
        <v>11566.3</v>
      </c>
      <c r="H172" s="4" t="s">
        <v>8</v>
      </c>
    </row>
    <row r="173" spans="1:8" ht="14.5">
      <c r="A173" s="3">
        <v>57</v>
      </c>
      <c r="B173" s="3"/>
      <c r="C173" s="4" t="s">
        <v>10</v>
      </c>
      <c r="E173" s="3">
        <v>23.2</v>
      </c>
      <c r="F173" s="3">
        <v>11830.61</v>
      </c>
      <c r="H173" s="4" t="s">
        <v>8</v>
      </c>
    </row>
    <row r="174" spans="1:8" ht="14.5">
      <c r="A174" s="3">
        <v>57</v>
      </c>
      <c r="B174" s="3"/>
      <c r="C174" s="4" t="s">
        <v>10</v>
      </c>
      <c r="E174" s="3">
        <v>22.2</v>
      </c>
      <c r="F174" s="3">
        <v>12029.29</v>
      </c>
      <c r="H174" s="4" t="s">
        <v>8</v>
      </c>
    </row>
    <row r="175" spans="1:8" ht="14.5">
      <c r="A175" s="3">
        <v>57</v>
      </c>
      <c r="B175" s="3"/>
      <c r="C175" s="4" t="s">
        <v>10</v>
      </c>
      <c r="E175" s="3">
        <v>30.5</v>
      </c>
      <c r="F175" s="3">
        <v>11840.78</v>
      </c>
      <c r="H175" s="4" t="s">
        <v>8</v>
      </c>
    </row>
    <row r="176" spans="1:8" ht="14.5">
      <c r="A176" s="3">
        <v>57</v>
      </c>
      <c r="B176" s="3"/>
      <c r="C176" s="4" t="s">
        <v>10</v>
      </c>
      <c r="E176" s="3">
        <v>28.7</v>
      </c>
      <c r="F176" s="3">
        <v>11455.28</v>
      </c>
      <c r="H176" s="4" t="s">
        <v>8</v>
      </c>
    </row>
    <row r="177" spans="1:8" ht="14.5">
      <c r="A177" s="3">
        <v>57</v>
      </c>
      <c r="B177" s="3"/>
      <c r="C177" s="4" t="s">
        <v>7</v>
      </c>
      <c r="E177" s="3">
        <v>42.1</v>
      </c>
      <c r="F177" s="3">
        <v>48675.519999999997</v>
      </c>
      <c r="H177" s="4" t="s">
        <v>11</v>
      </c>
    </row>
    <row r="178" spans="1:8" ht="14.5">
      <c r="A178" s="3">
        <v>57</v>
      </c>
      <c r="B178" s="3"/>
      <c r="C178" s="4" t="s">
        <v>10</v>
      </c>
      <c r="E178" s="3">
        <v>34.299999999999997</v>
      </c>
      <c r="F178" s="3">
        <v>13224.06</v>
      </c>
      <c r="H178" s="4" t="s">
        <v>8</v>
      </c>
    </row>
    <row r="179" spans="1:8" ht="14.5">
      <c r="A179" s="3">
        <v>57</v>
      </c>
      <c r="B179" s="3"/>
      <c r="C179" s="4" t="s">
        <v>10</v>
      </c>
      <c r="E179" s="3">
        <v>28.8</v>
      </c>
      <c r="F179" s="3">
        <v>14394.4</v>
      </c>
      <c r="H179" s="4" t="s">
        <v>8</v>
      </c>
    </row>
    <row r="180" spans="1:8" ht="14.5">
      <c r="A180" s="3">
        <v>57</v>
      </c>
      <c r="B180" s="3"/>
      <c r="C180" s="4" t="s">
        <v>10</v>
      </c>
      <c r="E180" s="3">
        <v>24</v>
      </c>
      <c r="F180" s="3">
        <v>22192.44</v>
      </c>
      <c r="H180" s="4" t="s">
        <v>8</v>
      </c>
    </row>
    <row r="181" spans="1:8" ht="14.5">
      <c r="A181" s="3">
        <v>57</v>
      </c>
      <c r="B181" s="3"/>
      <c r="C181" s="4" t="s">
        <v>10</v>
      </c>
      <c r="E181" s="3">
        <v>31.8</v>
      </c>
      <c r="F181" s="3">
        <v>11842.62</v>
      </c>
      <c r="H181" s="4" t="s">
        <v>8</v>
      </c>
    </row>
    <row r="182" spans="1:8" ht="14.5">
      <c r="A182" s="3">
        <v>57</v>
      </c>
      <c r="B182" s="3"/>
      <c r="C182" s="4" t="s">
        <v>10</v>
      </c>
      <c r="E182" s="3">
        <v>29.8</v>
      </c>
      <c r="F182" s="3">
        <v>27533.91</v>
      </c>
      <c r="H182" s="4" t="s">
        <v>11</v>
      </c>
    </row>
    <row r="183" spans="1:8" ht="14.5">
      <c r="A183" s="3">
        <v>57</v>
      </c>
      <c r="B183" s="3"/>
      <c r="C183" s="4" t="s">
        <v>7</v>
      </c>
      <c r="E183" s="3">
        <v>28.1</v>
      </c>
      <c r="F183" s="3">
        <v>10965.45</v>
      </c>
      <c r="H183" s="4" t="s">
        <v>8</v>
      </c>
    </row>
    <row r="184" spans="1:8" ht="14.5">
      <c r="A184" s="3">
        <v>57</v>
      </c>
      <c r="B184" s="3"/>
      <c r="C184" s="4" t="s">
        <v>7</v>
      </c>
      <c r="E184" s="3">
        <v>43.7</v>
      </c>
      <c r="F184" s="3">
        <v>11576.13</v>
      </c>
      <c r="H184" s="4" t="s">
        <v>8</v>
      </c>
    </row>
    <row r="185" spans="1:8" ht="14.5">
      <c r="A185" s="3">
        <v>57</v>
      </c>
      <c r="B185" s="3"/>
      <c r="C185" s="4" t="s">
        <v>7</v>
      </c>
      <c r="E185" s="3">
        <v>29</v>
      </c>
      <c r="F185" s="3">
        <v>27218.44</v>
      </c>
      <c r="H185" s="4" t="s">
        <v>11</v>
      </c>
    </row>
    <row r="186" spans="1:8" ht="14.5">
      <c r="A186" s="3">
        <v>57</v>
      </c>
      <c r="B186" s="3"/>
      <c r="C186" s="4" t="s">
        <v>7</v>
      </c>
      <c r="E186" s="3">
        <v>33.6</v>
      </c>
      <c r="F186" s="3">
        <v>11945.13</v>
      </c>
      <c r="H186" s="4" t="s">
        <v>8</v>
      </c>
    </row>
    <row r="187" spans="1:8" ht="14.5">
      <c r="A187" s="3">
        <v>57</v>
      </c>
      <c r="B187" s="3"/>
      <c r="C187" s="4" t="s">
        <v>10</v>
      </c>
      <c r="E187" s="3">
        <v>20.100000000000001</v>
      </c>
      <c r="F187" s="3">
        <v>12032.33</v>
      </c>
      <c r="H187" s="4" t="s">
        <v>8</v>
      </c>
    </row>
    <row r="188" spans="1:8" ht="14.5">
      <c r="A188" s="3">
        <v>57</v>
      </c>
      <c r="B188" s="3"/>
      <c r="C188" s="4" t="s">
        <v>7</v>
      </c>
      <c r="E188" s="3">
        <v>18.3</v>
      </c>
      <c r="F188" s="3">
        <v>11534.87</v>
      </c>
      <c r="H188" s="4" t="s">
        <v>8</v>
      </c>
    </row>
    <row r="189" spans="1:8" ht="14.5">
      <c r="A189" s="3">
        <v>57</v>
      </c>
      <c r="B189" s="3"/>
      <c r="C189" s="4" t="s">
        <v>7</v>
      </c>
      <c r="E189" s="3">
        <v>27.9</v>
      </c>
      <c r="F189" s="3">
        <v>11554.22</v>
      </c>
      <c r="H189" s="4" t="s">
        <v>8</v>
      </c>
    </row>
    <row r="190" spans="1:8" ht="14.5">
      <c r="A190" s="3">
        <v>57</v>
      </c>
      <c r="B190" s="3"/>
      <c r="C190" s="4" t="s">
        <v>7</v>
      </c>
      <c r="E190" s="3">
        <v>31.5</v>
      </c>
      <c r="F190" s="3">
        <v>11353.23</v>
      </c>
      <c r="H190" s="4" t="s">
        <v>8</v>
      </c>
    </row>
    <row r="191" spans="1:8" ht="14.5">
      <c r="A191" s="3">
        <v>57</v>
      </c>
      <c r="B191" s="3"/>
      <c r="C191" s="4" t="s">
        <v>7</v>
      </c>
      <c r="E191" s="3">
        <v>40.299999999999997</v>
      </c>
      <c r="F191" s="3">
        <v>20709.02</v>
      </c>
      <c r="H191" s="4" t="s">
        <v>8</v>
      </c>
    </row>
    <row r="192" spans="1:8" ht="14.5">
      <c r="A192" s="3">
        <v>57</v>
      </c>
      <c r="B192" s="3"/>
      <c r="C192" s="4" t="s">
        <v>7</v>
      </c>
      <c r="E192" s="3">
        <v>40.4</v>
      </c>
      <c r="F192" s="3">
        <v>10982.5</v>
      </c>
      <c r="H192" s="4" t="s">
        <v>8</v>
      </c>
    </row>
    <row r="193" spans="1:8" ht="14.5">
      <c r="A193" s="3">
        <v>57</v>
      </c>
      <c r="B193" s="3"/>
      <c r="C193" s="4" t="s">
        <v>7</v>
      </c>
      <c r="E193" s="3">
        <v>23.7</v>
      </c>
      <c r="F193" s="3">
        <v>10959.33</v>
      </c>
      <c r="H193" s="4" t="s">
        <v>8</v>
      </c>
    </row>
    <row r="194" spans="1:8" ht="14.5">
      <c r="A194" s="3">
        <v>57</v>
      </c>
      <c r="B194" s="3"/>
      <c r="C194" s="4" t="s">
        <v>10</v>
      </c>
      <c r="E194" s="3">
        <v>25.7</v>
      </c>
      <c r="F194" s="3">
        <v>12629.17</v>
      </c>
      <c r="H194" s="4" t="s">
        <v>8</v>
      </c>
    </row>
    <row r="195" spans="1:8" ht="14.5">
      <c r="A195" s="3">
        <v>56</v>
      </c>
      <c r="B195" s="3"/>
      <c r="C195" s="4" t="s">
        <v>10</v>
      </c>
      <c r="E195" s="3">
        <v>39.799999999999997</v>
      </c>
      <c r="F195" s="3">
        <v>11090.72</v>
      </c>
      <c r="H195" s="4" t="s">
        <v>8</v>
      </c>
    </row>
    <row r="196" spans="1:8" ht="14.5">
      <c r="A196" s="3">
        <v>56</v>
      </c>
      <c r="B196" s="3"/>
      <c r="C196" s="4" t="s">
        <v>7</v>
      </c>
      <c r="E196" s="3">
        <v>40.299999999999997</v>
      </c>
      <c r="F196" s="3">
        <v>10602.39</v>
      </c>
      <c r="H196" s="4" t="s">
        <v>8</v>
      </c>
    </row>
    <row r="197" spans="1:8" ht="14.5">
      <c r="A197" s="3">
        <v>56</v>
      </c>
      <c r="B197" s="3"/>
      <c r="C197" s="4" t="s">
        <v>10</v>
      </c>
      <c r="E197" s="3">
        <v>27.2</v>
      </c>
      <c r="F197" s="3">
        <v>11073.18</v>
      </c>
      <c r="H197" s="4" t="s">
        <v>8</v>
      </c>
    </row>
    <row r="198" spans="1:8" ht="14.5">
      <c r="A198" s="3">
        <v>56</v>
      </c>
      <c r="B198" s="3"/>
      <c r="C198" s="4" t="s">
        <v>7</v>
      </c>
      <c r="E198" s="3">
        <v>20</v>
      </c>
      <c r="F198" s="3">
        <v>22412.65</v>
      </c>
      <c r="H198" s="4" t="s">
        <v>11</v>
      </c>
    </row>
    <row r="199" spans="1:8" ht="14.5">
      <c r="A199" s="3">
        <v>56</v>
      </c>
      <c r="B199" s="3"/>
      <c r="C199" s="4" t="s">
        <v>10</v>
      </c>
      <c r="E199" s="3">
        <v>26.6</v>
      </c>
      <c r="F199" s="3">
        <v>12044.34</v>
      </c>
      <c r="H199" s="4" t="s">
        <v>8</v>
      </c>
    </row>
    <row r="200" spans="1:8" ht="14.5">
      <c r="A200" s="3">
        <v>56</v>
      </c>
      <c r="B200" s="3"/>
      <c r="C200" s="4" t="s">
        <v>7</v>
      </c>
      <c r="E200" s="3">
        <v>33.6</v>
      </c>
      <c r="F200" s="3">
        <v>43921.18</v>
      </c>
      <c r="H200" s="4" t="s">
        <v>11</v>
      </c>
    </row>
    <row r="201" spans="1:8" ht="14.5">
      <c r="A201" s="3">
        <v>56</v>
      </c>
      <c r="B201" s="3"/>
      <c r="C201" s="4" t="s">
        <v>10</v>
      </c>
      <c r="E201" s="3">
        <v>37.5</v>
      </c>
      <c r="F201" s="3">
        <v>12265.51</v>
      </c>
      <c r="H201" s="4" t="s">
        <v>8</v>
      </c>
    </row>
    <row r="202" spans="1:8" ht="14.5">
      <c r="A202" s="3">
        <v>56</v>
      </c>
      <c r="B202" s="3"/>
      <c r="C202" s="4" t="s">
        <v>10</v>
      </c>
      <c r="E202" s="3">
        <v>28.8</v>
      </c>
      <c r="F202" s="3">
        <v>11658.38</v>
      </c>
      <c r="H202" s="4" t="s">
        <v>8</v>
      </c>
    </row>
    <row r="203" spans="1:8" ht="14.5">
      <c r="A203" s="3">
        <v>56</v>
      </c>
      <c r="B203" s="3"/>
      <c r="C203" s="4" t="s">
        <v>10</v>
      </c>
      <c r="E203" s="3">
        <v>32.299999999999997</v>
      </c>
      <c r="F203" s="3">
        <v>13430.27</v>
      </c>
      <c r="H203" s="4" t="s">
        <v>8</v>
      </c>
    </row>
    <row r="204" spans="1:8" ht="14.5">
      <c r="A204" s="3">
        <v>56</v>
      </c>
      <c r="B204" s="3"/>
      <c r="C204" s="4" t="s">
        <v>7</v>
      </c>
      <c r="E204" s="3">
        <v>26.7</v>
      </c>
      <c r="F204" s="3">
        <v>26109.33</v>
      </c>
      <c r="H204" s="4" t="s">
        <v>11</v>
      </c>
    </row>
    <row r="205" spans="1:8" ht="14.5">
      <c r="A205" s="3">
        <v>56</v>
      </c>
      <c r="B205" s="3"/>
      <c r="C205" s="4" t="s">
        <v>10</v>
      </c>
      <c r="E205" s="3">
        <v>25.7</v>
      </c>
      <c r="F205" s="3">
        <v>11454.02</v>
      </c>
      <c r="H205" s="4" t="s">
        <v>8</v>
      </c>
    </row>
    <row r="206" spans="1:8" ht="14.5">
      <c r="A206" s="3">
        <v>56</v>
      </c>
      <c r="B206" s="3"/>
      <c r="C206" s="4" t="s">
        <v>7</v>
      </c>
      <c r="E206" s="3">
        <v>39.6</v>
      </c>
      <c r="F206" s="3">
        <v>10601.41</v>
      </c>
      <c r="H206" s="4" t="s">
        <v>8</v>
      </c>
    </row>
    <row r="207" spans="1:8" ht="14.5">
      <c r="A207" s="3">
        <v>56</v>
      </c>
      <c r="B207" s="3"/>
      <c r="C207" s="4" t="s">
        <v>7</v>
      </c>
      <c r="E207" s="3">
        <v>25.9</v>
      </c>
      <c r="F207" s="3">
        <v>11165.42</v>
      </c>
      <c r="H207" s="4" t="s">
        <v>8</v>
      </c>
    </row>
    <row r="208" spans="1:8" ht="14.5">
      <c r="A208" s="3">
        <v>56</v>
      </c>
      <c r="B208" s="3"/>
      <c r="C208" s="4" t="s">
        <v>10</v>
      </c>
      <c r="E208" s="3">
        <v>33.799999999999997</v>
      </c>
      <c r="F208" s="3">
        <v>12643.38</v>
      </c>
      <c r="H208" s="4" t="s">
        <v>8</v>
      </c>
    </row>
    <row r="209" spans="1:8" ht="14.5">
      <c r="A209" s="3">
        <v>56</v>
      </c>
      <c r="B209" s="3"/>
      <c r="C209" s="4" t="s">
        <v>7</v>
      </c>
      <c r="E209" s="3">
        <v>32.1</v>
      </c>
      <c r="F209" s="3">
        <v>11763</v>
      </c>
      <c r="H209" s="4" t="s">
        <v>8</v>
      </c>
    </row>
    <row r="210" spans="1:8" ht="14.5">
      <c r="A210" s="3">
        <v>56</v>
      </c>
      <c r="B210" s="3"/>
      <c r="C210" s="4" t="s">
        <v>10</v>
      </c>
      <c r="E210" s="3">
        <v>25.3</v>
      </c>
      <c r="F210" s="3">
        <v>11070.54</v>
      </c>
      <c r="H210" s="4" t="s">
        <v>8</v>
      </c>
    </row>
    <row r="211" spans="1:8" ht="14.5">
      <c r="A211" s="3">
        <v>56</v>
      </c>
      <c r="B211" s="3"/>
      <c r="C211" s="4" t="s">
        <v>10</v>
      </c>
      <c r="E211" s="3">
        <v>28.6</v>
      </c>
      <c r="F211" s="3">
        <v>11658.12</v>
      </c>
      <c r="H211" s="4" t="s">
        <v>8</v>
      </c>
    </row>
    <row r="212" spans="1:8" ht="14.5">
      <c r="A212" s="3">
        <v>56</v>
      </c>
      <c r="B212" s="3"/>
      <c r="C212" s="4" t="s">
        <v>7</v>
      </c>
      <c r="E212" s="3">
        <v>33.700000000000003</v>
      </c>
      <c r="F212" s="3">
        <v>12949.16</v>
      </c>
      <c r="H212" s="4" t="s">
        <v>8</v>
      </c>
    </row>
    <row r="213" spans="1:8" ht="14.5">
      <c r="A213" s="3">
        <v>56</v>
      </c>
      <c r="B213" s="3"/>
      <c r="C213" s="4" t="s">
        <v>7</v>
      </c>
      <c r="E213" s="3">
        <v>36.1</v>
      </c>
      <c r="F213" s="3">
        <v>12363.55</v>
      </c>
      <c r="H213" s="4" t="s">
        <v>8</v>
      </c>
    </row>
    <row r="214" spans="1:8" ht="14.5">
      <c r="A214" s="3">
        <v>56</v>
      </c>
      <c r="B214" s="3"/>
      <c r="C214" s="4" t="s">
        <v>7</v>
      </c>
      <c r="E214" s="3">
        <v>33.700000000000003</v>
      </c>
      <c r="F214" s="3">
        <v>10976.25</v>
      </c>
      <c r="H214" s="4" t="s">
        <v>8</v>
      </c>
    </row>
    <row r="215" spans="1:8" ht="14.5">
      <c r="A215" s="3">
        <v>56</v>
      </c>
      <c r="B215" s="3"/>
      <c r="C215" s="4" t="s">
        <v>7</v>
      </c>
      <c r="E215" s="3">
        <v>31.8</v>
      </c>
      <c r="F215" s="3">
        <v>43813.87</v>
      </c>
      <c r="H215" s="4" t="s">
        <v>11</v>
      </c>
    </row>
    <row r="216" spans="1:8" ht="14.5">
      <c r="A216" s="3">
        <v>56</v>
      </c>
      <c r="B216" s="3"/>
      <c r="C216" s="4" t="s">
        <v>10</v>
      </c>
      <c r="E216" s="3">
        <v>28.3</v>
      </c>
      <c r="F216" s="3">
        <v>11657.72</v>
      </c>
      <c r="H216" s="4" t="s">
        <v>8</v>
      </c>
    </row>
    <row r="217" spans="1:8" ht="14.5">
      <c r="A217" s="3">
        <v>56</v>
      </c>
      <c r="B217" s="3"/>
      <c r="C217" s="4" t="s">
        <v>10</v>
      </c>
      <c r="E217" s="3">
        <v>35.799999999999997</v>
      </c>
      <c r="F217" s="3">
        <v>11674.13</v>
      </c>
      <c r="H217" s="4" t="s">
        <v>8</v>
      </c>
    </row>
    <row r="218" spans="1:8" ht="14.5">
      <c r="A218" s="3">
        <v>56</v>
      </c>
      <c r="B218" s="3"/>
      <c r="C218" s="4" t="s">
        <v>7</v>
      </c>
      <c r="E218" s="3">
        <v>22.1</v>
      </c>
      <c r="F218" s="3">
        <v>10577.09</v>
      </c>
      <c r="H218" s="4" t="s">
        <v>8</v>
      </c>
    </row>
    <row r="219" spans="1:8" ht="14.5">
      <c r="A219" s="3">
        <v>56</v>
      </c>
      <c r="B219" s="3"/>
      <c r="C219" s="4" t="s">
        <v>10</v>
      </c>
      <c r="E219" s="3">
        <v>41.9</v>
      </c>
      <c r="F219" s="3">
        <v>11093.62</v>
      </c>
      <c r="H219" s="4" t="s">
        <v>8</v>
      </c>
    </row>
    <row r="220" spans="1:8" ht="14.5">
      <c r="A220" s="3">
        <v>56</v>
      </c>
      <c r="B220" s="3"/>
      <c r="C220" s="4" t="s">
        <v>7</v>
      </c>
      <c r="E220" s="3">
        <v>34.4</v>
      </c>
      <c r="F220" s="3">
        <v>10594.23</v>
      </c>
      <c r="H220" s="4" t="s">
        <v>8</v>
      </c>
    </row>
    <row r="221" spans="1:8" ht="14.5">
      <c r="A221" s="3">
        <v>55</v>
      </c>
      <c r="B221" s="3"/>
      <c r="C221" s="4" t="s">
        <v>10</v>
      </c>
      <c r="E221" s="3">
        <v>32.799999999999997</v>
      </c>
      <c r="F221" s="3">
        <v>12268.63</v>
      </c>
      <c r="H221" s="4" t="s">
        <v>8</v>
      </c>
    </row>
    <row r="222" spans="1:8" ht="14.5">
      <c r="A222" s="3">
        <v>55</v>
      </c>
      <c r="B222" s="3"/>
      <c r="C222" s="4" t="s">
        <v>7</v>
      </c>
      <c r="E222" s="3">
        <v>37.299999999999997</v>
      </c>
      <c r="F222" s="3">
        <v>20630.28</v>
      </c>
      <c r="H222" s="4" t="s">
        <v>8</v>
      </c>
    </row>
    <row r="223" spans="1:8" ht="14.5">
      <c r="A223" s="3">
        <v>55</v>
      </c>
      <c r="B223" s="3"/>
      <c r="C223" s="4" t="s">
        <v>10</v>
      </c>
      <c r="E223" s="3">
        <v>27</v>
      </c>
      <c r="F223" s="3">
        <v>11082.58</v>
      </c>
      <c r="H223" s="4" t="s">
        <v>8</v>
      </c>
    </row>
    <row r="224" spans="1:8" ht="14.5">
      <c r="A224" s="3">
        <v>55</v>
      </c>
      <c r="B224" s="3"/>
      <c r="C224" s="4" t="s">
        <v>7</v>
      </c>
      <c r="E224" s="3">
        <v>38.299999999999997</v>
      </c>
      <c r="F224" s="3">
        <v>10226.280000000001</v>
      </c>
      <c r="H224" s="4" t="s">
        <v>8</v>
      </c>
    </row>
    <row r="225" spans="1:8" ht="14.5">
      <c r="A225" s="3">
        <v>55</v>
      </c>
      <c r="B225" s="3"/>
      <c r="C225" s="4" t="s">
        <v>10</v>
      </c>
      <c r="E225" s="3">
        <v>29.7</v>
      </c>
      <c r="F225" s="3">
        <v>11881.36</v>
      </c>
      <c r="H225" s="4" t="s">
        <v>8</v>
      </c>
    </row>
    <row r="226" spans="1:8" ht="14.5">
      <c r="A226" s="3">
        <v>55</v>
      </c>
      <c r="B226" s="3"/>
      <c r="C226" s="4" t="s">
        <v>7</v>
      </c>
      <c r="E226" s="3">
        <v>33.9</v>
      </c>
      <c r="F226" s="3">
        <v>11987.17</v>
      </c>
      <c r="H226" s="4" t="s">
        <v>8</v>
      </c>
    </row>
    <row r="227" spans="1:8" ht="14.5">
      <c r="A227" s="3">
        <v>55</v>
      </c>
      <c r="B227" s="3"/>
      <c r="C227" s="4" t="s">
        <v>10</v>
      </c>
      <c r="E227" s="3">
        <v>26.8</v>
      </c>
      <c r="F227" s="3">
        <v>35160.129999999997</v>
      </c>
      <c r="H227" s="4" t="s">
        <v>8</v>
      </c>
    </row>
    <row r="228" spans="1:8" ht="14.5">
      <c r="A228" s="3">
        <v>55</v>
      </c>
      <c r="B228" s="3"/>
      <c r="C228" s="4" t="s">
        <v>10</v>
      </c>
      <c r="E228" s="3">
        <v>25.4</v>
      </c>
      <c r="F228" s="3">
        <v>13047.33</v>
      </c>
      <c r="H228" s="4" t="s">
        <v>8</v>
      </c>
    </row>
    <row r="229" spans="1:8" ht="14.5">
      <c r="A229" s="3">
        <v>55</v>
      </c>
      <c r="B229" s="3"/>
      <c r="C229" s="4" t="s">
        <v>10</v>
      </c>
      <c r="E229" s="3">
        <v>32.4</v>
      </c>
      <c r="F229" s="3">
        <v>11879.1</v>
      </c>
      <c r="H229" s="4" t="s">
        <v>8</v>
      </c>
    </row>
    <row r="230" spans="1:8" ht="14.5">
      <c r="A230" s="3">
        <v>55</v>
      </c>
      <c r="B230" s="3"/>
      <c r="C230" s="4" t="s">
        <v>7</v>
      </c>
      <c r="E230" s="3">
        <v>30.7</v>
      </c>
      <c r="F230" s="3">
        <v>42303.69</v>
      </c>
      <c r="H230" s="4" t="s">
        <v>11</v>
      </c>
    </row>
    <row r="231" spans="1:8" ht="14.5">
      <c r="A231" s="3">
        <v>55</v>
      </c>
      <c r="B231" s="3"/>
      <c r="C231" s="4" t="s">
        <v>7</v>
      </c>
      <c r="E231" s="3">
        <v>33</v>
      </c>
      <c r="F231" s="3">
        <v>20781.490000000002</v>
      </c>
      <c r="H231" s="4" t="s">
        <v>8</v>
      </c>
    </row>
    <row r="232" spans="1:8" ht="14.5">
      <c r="A232" s="3">
        <v>55</v>
      </c>
      <c r="B232" s="3"/>
      <c r="C232" s="4" t="s">
        <v>10</v>
      </c>
      <c r="E232" s="3">
        <v>30.1</v>
      </c>
      <c r="F232" s="3">
        <v>11881.97</v>
      </c>
      <c r="H232" s="4" t="s">
        <v>8</v>
      </c>
    </row>
    <row r="233" spans="1:8" ht="14.5">
      <c r="A233" s="3">
        <v>55</v>
      </c>
      <c r="B233" s="3"/>
      <c r="C233" s="4" t="s">
        <v>10</v>
      </c>
      <c r="E233" s="3">
        <v>37.1</v>
      </c>
      <c r="F233" s="3">
        <v>10713.64</v>
      </c>
      <c r="H233" s="4" t="s">
        <v>8</v>
      </c>
    </row>
    <row r="234" spans="1:8" ht="14.5">
      <c r="A234" s="3">
        <v>55</v>
      </c>
      <c r="B234" s="3"/>
      <c r="C234" s="4" t="s">
        <v>10</v>
      </c>
      <c r="E234" s="3">
        <v>40.799999999999997</v>
      </c>
      <c r="F234" s="3">
        <v>12485.8</v>
      </c>
      <c r="H234" s="4" t="s">
        <v>8</v>
      </c>
    </row>
    <row r="235" spans="1:8" ht="14.5">
      <c r="A235" s="3">
        <v>55</v>
      </c>
      <c r="B235" s="3"/>
      <c r="C235" s="4" t="s">
        <v>7</v>
      </c>
      <c r="E235" s="3">
        <v>32.799999999999997</v>
      </c>
      <c r="F235" s="3">
        <v>10601.63</v>
      </c>
      <c r="H235" s="4" t="s">
        <v>8</v>
      </c>
    </row>
    <row r="236" spans="1:8" ht="14.5">
      <c r="A236" s="3">
        <v>55</v>
      </c>
      <c r="B236" s="3"/>
      <c r="C236" s="4" t="s">
        <v>10</v>
      </c>
      <c r="E236" s="3">
        <v>33.5</v>
      </c>
      <c r="F236" s="3">
        <v>12269.69</v>
      </c>
      <c r="H236" s="4" t="s">
        <v>8</v>
      </c>
    </row>
    <row r="237" spans="1:8" ht="14.5">
      <c r="A237" s="3">
        <v>55</v>
      </c>
      <c r="B237" s="3"/>
      <c r="C237" s="4" t="s">
        <v>10</v>
      </c>
      <c r="E237" s="3">
        <v>35.200000000000003</v>
      </c>
      <c r="F237" s="3">
        <v>44423.8</v>
      </c>
      <c r="H237" s="4" t="s">
        <v>11</v>
      </c>
    </row>
    <row r="238" spans="1:8" ht="14.5">
      <c r="A238" s="3">
        <v>55</v>
      </c>
      <c r="B238" s="3"/>
      <c r="C238" s="4" t="s">
        <v>7</v>
      </c>
      <c r="E238" s="3">
        <v>35.200000000000003</v>
      </c>
      <c r="F238" s="3">
        <v>11394.07</v>
      </c>
      <c r="H238" s="4" t="s">
        <v>8</v>
      </c>
    </row>
    <row r="239" spans="1:8" ht="14.5">
      <c r="A239" s="3">
        <v>55</v>
      </c>
      <c r="B239" s="3"/>
      <c r="C239" s="4" t="s">
        <v>7</v>
      </c>
      <c r="E239" s="3">
        <v>27.6</v>
      </c>
      <c r="F239" s="3">
        <v>10594.5</v>
      </c>
      <c r="H239" s="4" t="s">
        <v>8</v>
      </c>
    </row>
    <row r="240" spans="1:8" ht="14.5">
      <c r="A240" s="3">
        <v>55</v>
      </c>
      <c r="B240" s="3"/>
      <c r="C240" s="4" t="s">
        <v>7</v>
      </c>
      <c r="E240" s="3">
        <v>29</v>
      </c>
      <c r="F240" s="3">
        <v>10796.35</v>
      </c>
      <c r="H240" s="4" t="s">
        <v>8</v>
      </c>
    </row>
    <row r="241" spans="1:8" ht="14.5">
      <c r="A241" s="3">
        <v>55</v>
      </c>
      <c r="B241" s="3"/>
      <c r="C241" s="4" t="s">
        <v>10</v>
      </c>
      <c r="E241" s="3">
        <v>29.8</v>
      </c>
      <c r="F241" s="3">
        <v>11286.54</v>
      </c>
      <c r="H241" s="4" t="s">
        <v>8</v>
      </c>
    </row>
    <row r="242" spans="1:8" ht="14.5">
      <c r="A242" s="3">
        <v>55</v>
      </c>
      <c r="B242" s="3"/>
      <c r="C242" s="4" t="s">
        <v>7</v>
      </c>
      <c r="E242" s="3">
        <v>32.700000000000003</v>
      </c>
      <c r="F242" s="3">
        <v>10807.49</v>
      </c>
      <c r="H242" s="4" t="s">
        <v>8</v>
      </c>
    </row>
    <row r="243" spans="1:8" ht="14.5">
      <c r="A243" s="3">
        <v>55</v>
      </c>
      <c r="B243" s="3"/>
      <c r="C243" s="4" t="s">
        <v>7</v>
      </c>
      <c r="E243" s="3">
        <v>29.9</v>
      </c>
      <c r="F243" s="3">
        <v>10214.64</v>
      </c>
      <c r="H243" s="4" t="s">
        <v>8</v>
      </c>
    </row>
    <row r="244" spans="1:8" ht="14.5">
      <c r="A244" s="3">
        <v>55</v>
      </c>
      <c r="B244" s="3"/>
      <c r="C244" s="4" t="s">
        <v>7</v>
      </c>
      <c r="E244" s="3">
        <v>21.5</v>
      </c>
      <c r="F244" s="3">
        <v>10791.96</v>
      </c>
      <c r="H244" s="4" t="s">
        <v>8</v>
      </c>
    </row>
    <row r="245" spans="1:8" ht="14.5">
      <c r="A245" s="3">
        <v>55</v>
      </c>
      <c r="B245" s="3"/>
      <c r="C245" s="4" t="s">
        <v>7</v>
      </c>
      <c r="E245" s="3">
        <v>37.700000000000003</v>
      </c>
      <c r="F245" s="3">
        <v>30063.58</v>
      </c>
      <c r="H245" s="4" t="s">
        <v>8</v>
      </c>
    </row>
    <row r="246" spans="1:8" ht="14.5">
      <c r="A246" s="3">
        <v>55</v>
      </c>
      <c r="B246" s="3"/>
      <c r="C246" s="4" t="s">
        <v>10</v>
      </c>
      <c r="E246" s="3">
        <v>30.5</v>
      </c>
      <c r="F246" s="3">
        <v>10704.47</v>
      </c>
      <c r="H246" s="4" t="s">
        <v>8</v>
      </c>
    </row>
    <row r="247" spans="1:8" ht="14.5">
      <c r="A247" s="3">
        <v>54</v>
      </c>
      <c r="B247" s="3"/>
      <c r="C247" s="4" t="s">
        <v>10</v>
      </c>
      <c r="E247" s="3">
        <v>30.8</v>
      </c>
      <c r="F247" s="3">
        <v>12105.32</v>
      </c>
      <c r="H247" s="4" t="s">
        <v>8</v>
      </c>
    </row>
    <row r="248" spans="1:8" ht="14.5">
      <c r="A248" s="3">
        <v>54</v>
      </c>
      <c r="B248" s="3"/>
      <c r="C248" s="4" t="s">
        <v>7</v>
      </c>
      <c r="E248" s="3">
        <v>33.6</v>
      </c>
      <c r="F248" s="3">
        <v>10825.25</v>
      </c>
      <c r="H248" s="4" t="s">
        <v>8</v>
      </c>
    </row>
    <row r="249" spans="1:8" ht="14.5">
      <c r="A249" s="3">
        <v>54</v>
      </c>
      <c r="B249" s="3"/>
      <c r="C249" s="4" t="s">
        <v>10</v>
      </c>
      <c r="E249" s="3">
        <v>31.9</v>
      </c>
      <c r="F249" s="3">
        <v>27322.73</v>
      </c>
      <c r="H249" s="4" t="s">
        <v>8</v>
      </c>
    </row>
    <row r="250" spans="1:8" ht="14.5">
      <c r="A250" s="3">
        <v>54</v>
      </c>
      <c r="B250" s="3"/>
      <c r="C250" s="4" t="s">
        <v>7</v>
      </c>
      <c r="E250" s="3">
        <v>39.6</v>
      </c>
      <c r="F250" s="3">
        <v>10450.549999999999</v>
      </c>
      <c r="H250" s="4" t="s">
        <v>8</v>
      </c>
    </row>
    <row r="251" spans="1:8" ht="14.5">
      <c r="A251" s="3">
        <v>54</v>
      </c>
      <c r="B251" s="3"/>
      <c r="C251" s="4" t="s">
        <v>7</v>
      </c>
      <c r="E251" s="3">
        <v>29.2</v>
      </c>
      <c r="F251" s="3">
        <v>10436.1</v>
      </c>
      <c r="H251" s="4" t="s">
        <v>8</v>
      </c>
    </row>
    <row r="252" spans="1:8" ht="14.5">
      <c r="A252" s="3">
        <v>54</v>
      </c>
      <c r="B252" s="3"/>
      <c r="C252" s="4" t="s">
        <v>7</v>
      </c>
      <c r="E252" s="3">
        <v>30</v>
      </c>
      <c r="F252" s="3">
        <v>24476.48</v>
      </c>
      <c r="H252" s="4" t="s">
        <v>8</v>
      </c>
    </row>
    <row r="253" spans="1:8" ht="14.5">
      <c r="A253" s="3">
        <v>54</v>
      </c>
      <c r="B253" s="3"/>
      <c r="C253" s="4" t="s">
        <v>7</v>
      </c>
      <c r="E253" s="3">
        <v>34.200000000000003</v>
      </c>
      <c r="F253" s="3">
        <v>44260.75</v>
      </c>
      <c r="H253" s="4" t="s">
        <v>11</v>
      </c>
    </row>
    <row r="254" spans="1:8" ht="14.5">
      <c r="A254" s="3">
        <v>54</v>
      </c>
      <c r="B254" s="3"/>
      <c r="C254" s="4" t="s">
        <v>7</v>
      </c>
      <c r="E254" s="3">
        <v>40.6</v>
      </c>
      <c r="F254" s="3">
        <v>48549.18</v>
      </c>
      <c r="H254" s="4" t="s">
        <v>11</v>
      </c>
    </row>
    <row r="255" spans="1:8" ht="14.5">
      <c r="A255" s="3">
        <v>54</v>
      </c>
      <c r="B255" s="3"/>
      <c r="C255" s="4" t="s">
        <v>7</v>
      </c>
      <c r="E255" s="3">
        <v>32.799999999999997</v>
      </c>
      <c r="F255" s="3">
        <v>10435.07</v>
      </c>
      <c r="H255" s="4" t="s">
        <v>8</v>
      </c>
    </row>
    <row r="256" spans="1:8" ht="14.5">
      <c r="A256" s="3">
        <v>54</v>
      </c>
      <c r="B256" s="3"/>
      <c r="C256" s="4" t="s">
        <v>7</v>
      </c>
      <c r="E256" s="3">
        <v>25.1</v>
      </c>
      <c r="F256" s="3">
        <v>25382.3</v>
      </c>
      <c r="H256" s="4" t="s">
        <v>11</v>
      </c>
    </row>
    <row r="257" spans="1:8" ht="14.5">
      <c r="A257" s="3">
        <v>54</v>
      </c>
      <c r="B257" s="3"/>
      <c r="C257" s="4" t="s">
        <v>10</v>
      </c>
      <c r="E257" s="3">
        <v>21.5</v>
      </c>
      <c r="F257" s="3">
        <v>12475.35</v>
      </c>
      <c r="H257" s="4" t="s">
        <v>8</v>
      </c>
    </row>
    <row r="258" spans="1:8" ht="14.5">
      <c r="A258" s="3">
        <v>54</v>
      </c>
      <c r="B258" s="3"/>
      <c r="C258" s="4" t="s">
        <v>10</v>
      </c>
      <c r="E258" s="3">
        <v>47.4</v>
      </c>
      <c r="F258" s="3">
        <v>63770.43</v>
      </c>
      <c r="H258" s="4" t="s">
        <v>11</v>
      </c>
    </row>
    <row r="259" spans="1:8" ht="14.5">
      <c r="A259" s="3">
        <v>54</v>
      </c>
      <c r="B259" s="3"/>
      <c r="C259" s="4" t="s">
        <v>7</v>
      </c>
      <c r="E259" s="3">
        <v>30.2</v>
      </c>
      <c r="F259" s="3">
        <v>10231.5</v>
      </c>
      <c r="H259" s="4" t="s">
        <v>8</v>
      </c>
    </row>
    <row r="260" spans="1:8" ht="14.5">
      <c r="A260" s="3">
        <v>54</v>
      </c>
      <c r="B260" s="3"/>
      <c r="C260" s="4" t="s">
        <v>10</v>
      </c>
      <c r="E260" s="3">
        <v>46.7</v>
      </c>
      <c r="F260" s="3">
        <v>11538.42</v>
      </c>
      <c r="H260" s="4" t="s">
        <v>8</v>
      </c>
    </row>
    <row r="261" spans="1:8" ht="14.5">
      <c r="A261" s="3">
        <v>54</v>
      </c>
      <c r="B261" s="3"/>
      <c r="C261" s="4" t="s">
        <v>10</v>
      </c>
      <c r="E261" s="3">
        <v>32.700000000000003</v>
      </c>
      <c r="F261" s="3">
        <v>10923.93</v>
      </c>
      <c r="H261" s="4" t="s">
        <v>8</v>
      </c>
    </row>
    <row r="262" spans="1:8" ht="14.5">
      <c r="A262" s="3">
        <v>54</v>
      </c>
      <c r="B262" s="3"/>
      <c r="C262" s="4" t="s">
        <v>7</v>
      </c>
      <c r="E262" s="3">
        <v>21</v>
      </c>
      <c r="F262" s="3">
        <v>11013.71</v>
      </c>
      <c r="H262" s="4" t="s">
        <v>8</v>
      </c>
    </row>
    <row r="263" spans="1:8" ht="14.5">
      <c r="A263" s="3">
        <v>54</v>
      </c>
      <c r="B263" s="3"/>
      <c r="C263" s="4" t="s">
        <v>7</v>
      </c>
      <c r="E263" s="3">
        <v>24</v>
      </c>
      <c r="F263" s="3">
        <v>10422.92</v>
      </c>
      <c r="H263" s="4" t="s">
        <v>8</v>
      </c>
    </row>
    <row r="264" spans="1:8" ht="14.5">
      <c r="A264" s="3">
        <v>54</v>
      </c>
      <c r="B264" s="3"/>
      <c r="C264" s="4" t="s">
        <v>7</v>
      </c>
      <c r="E264" s="3">
        <v>30.8</v>
      </c>
      <c r="F264" s="3">
        <v>41999.519999999997</v>
      </c>
      <c r="H264" s="4" t="s">
        <v>11</v>
      </c>
    </row>
    <row r="265" spans="1:8" ht="14.5">
      <c r="A265" s="3">
        <v>54</v>
      </c>
      <c r="B265" s="3"/>
      <c r="C265" s="4" t="s">
        <v>7</v>
      </c>
      <c r="E265" s="3">
        <v>25.5</v>
      </c>
      <c r="F265" s="3">
        <v>25517.11</v>
      </c>
      <c r="H265" s="4" t="s">
        <v>8</v>
      </c>
    </row>
    <row r="266" spans="1:8" ht="14.5">
      <c r="A266" s="3">
        <v>54</v>
      </c>
      <c r="B266" s="3"/>
      <c r="C266" s="4" t="s">
        <v>10</v>
      </c>
      <c r="E266" s="3">
        <v>35.799999999999997</v>
      </c>
      <c r="F266" s="3">
        <v>12495.29</v>
      </c>
      <c r="H266" s="4" t="s">
        <v>8</v>
      </c>
    </row>
    <row r="267" spans="1:8" ht="14.5">
      <c r="A267" s="3">
        <v>54</v>
      </c>
      <c r="B267" s="3"/>
      <c r="C267" s="4" t="s">
        <v>7</v>
      </c>
      <c r="E267" s="3">
        <v>31.6</v>
      </c>
      <c r="F267" s="3">
        <v>9850.43</v>
      </c>
      <c r="H267" s="4" t="s">
        <v>8</v>
      </c>
    </row>
    <row r="268" spans="1:8" ht="14.5">
      <c r="A268" s="3">
        <v>54</v>
      </c>
      <c r="B268" s="3"/>
      <c r="C268" s="4" t="s">
        <v>10</v>
      </c>
      <c r="E268" s="3">
        <v>23</v>
      </c>
      <c r="F268" s="3">
        <v>12094.48</v>
      </c>
      <c r="H268" s="4" t="s">
        <v>8</v>
      </c>
    </row>
    <row r="269" spans="1:8" ht="14.5">
      <c r="A269" s="3">
        <v>54</v>
      </c>
      <c r="B269" s="3"/>
      <c r="C269" s="4" t="s">
        <v>10</v>
      </c>
      <c r="E269" s="3">
        <v>31.9</v>
      </c>
      <c r="F269" s="3">
        <v>10928.85</v>
      </c>
      <c r="H269" s="4" t="s">
        <v>8</v>
      </c>
    </row>
    <row r="270" spans="1:8" ht="14.5">
      <c r="A270" s="3">
        <v>54</v>
      </c>
      <c r="B270" s="3"/>
      <c r="C270" s="4" t="s">
        <v>10</v>
      </c>
      <c r="E270" s="3">
        <v>28.9</v>
      </c>
      <c r="F270" s="3">
        <v>12096.65</v>
      </c>
      <c r="H270" s="4" t="s">
        <v>8</v>
      </c>
    </row>
    <row r="271" spans="1:8" ht="14.5">
      <c r="A271" s="3">
        <v>54</v>
      </c>
      <c r="B271" s="3"/>
      <c r="C271" s="4" t="s">
        <v>10</v>
      </c>
      <c r="E271" s="3">
        <v>31.2</v>
      </c>
      <c r="F271" s="3">
        <v>10338.93</v>
      </c>
      <c r="H271" s="4" t="s">
        <v>8</v>
      </c>
    </row>
    <row r="272" spans="1:8" ht="14.5">
      <c r="A272" s="3">
        <v>54</v>
      </c>
      <c r="B272" s="3"/>
      <c r="C272" s="4" t="s">
        <v>10</v>
      </c>
      <c r="E272" s="3">
        <v>32.299999999999997</v>
      </c>
      <c r="F272" s="3">
        <v>11512.41</v>
      </c>
      <c r="H272" s="4" t="s">
        <v>8</v>
      </c>
    </row>
    <row r="273" spans="1:8" ht="14.5">
      <c r="A273" s="3">
        <v>54</v>
      </c>
      <c r="B273" s="3"/>
      <c r="C273" s="4" t="s">
        <v>10</v>
      </c>
      <c r="E273" s="3">
        <v>24.6</v>
      </c>
      <c r="F273" s="3">
        <v>12479.71</v>
      </c>
      <c r="H273" s="4" t="s">
        <v>8</v>
      </c>
    </row>
    <row r="274" spans="1:8" ht="14.5">
      <c r="A274" s="3">
        <v>54</v>
      </c>
      <c r="B274" s="3"/>
      <c r="C274" s="4" t="s">
        <v>10</v>
      </c>
      <c r="E274" s="3">
        <v>27.6</v>
      </c>
      <c r="F274" s="3">
        <v>11305.93</v>
      </c>
      <c r="H274" s="4" t="s">
        <v>8</v>
      </c>
    </row>
    <row r="275" spans="1:8" ht="14.5">
      <c r="A275" s="3">
        <v>53</v>
      </c>
      <c r="B275" s="3"/>
      <c r="C275" s="4" t="s">
        <v>10</v>
      </c>
      <c r="E275" s="3">
        <v>22.9</v>
      </c>
      <c r="F275" s="3">
        <v>23244.79</v>
      </c>
      <c r="H275" s="4" t="s">
        <v>11</v>
      </c>
    </row>
    <row r="276" spans="1:8" ht="14.5">
      <c r="A276" s="3">
        <v>53</v>
      </c>
      <c r="B276" s="3"/>
      <c r="C276" s="4" t="s">
        <v>10</v>
      </c>
      <c r="E276" s="3">
        <v>28.1</v>
      </c>
      <c r="F276" s="3">
        <v>11741.73</v>
      </c>
      <c r="H276" s="4" t="s">
        <v>8</v>
      </c>
    </row>
    <row r="277" spans="1:8" ht="14.5">
      <c r="A277" s="3">
        <v>53</v>
      </c>
      <c r="B277" s="3"/>
      <c r="C277" s="4" t="s">
        <v>10</v>
      </c>
      <c r="E277" s="3">
        <v>24.8</v>
      </c>
      <c r="F277" s="3">
        <v>10942.13</v>
      </c>
      <c r="H277" s="4" t="s">
        <v>8</v>
      </c>
    </row>
    <row r="278" spans="1:8" ht="14.5">
      <c r="A278" s="3">
        <v>53</v>
      </c>
      <c r="B278" s="3"/>
      <c r="C278" s="4" t="s">
        <v>10</v>
      </c>
      <c r="E278" s="3">
        <v>35.9</v>
      </c>
      <c r="F278" s="3">
        <v>11163.57</v>
      </c>
      <c r="H278" s="4" t="s">
        <v>8</v>
      </c>
    </row>
    <row r="279" spans="1:8" ht="14.5">
      <c r="A279" s="3">
        <v>53</v>
      </c>
      <c r="B279" s="3"/>
      <c r="C279" s="4" t="s">
        <v>10</v>
      </c>
      <c r="E279" s="3">
        <v>37.4</v>
      </c>
      <c r="F279" s="3">
        <v>10959.69</v>
      </c>
      <c r="H279" s="4" t="s">
        <v>8</v>
      </c>
    </row>
    <row r="280" spans="1:8" ht="14.5">
      <c r="A280" s="3">
        <v>53</v>
      </c>
      <c r="B280" s="3"/>
      <c r="C280" s="4" t="s">
        <v>10</v>
      </c>
      <c r="E280" s="3">
        <v>26.6</v>
      </c>
      <c r="F280" s="3">
        <v>10355.64</v>
      </c>
      <c r="H280" s="4" t="s">
        <v>8</v>
      </c>
    </row>
    <row r="281" spans="1:8" ht="14.5">
      <c r="A281" s="3">
        <v>53</v>
      </c>
      <c r="B281" s="3"/>
      <c r="C281" s="4" t="s">
        <v>10</v>
      </c>
      <c r="E281" s="3">
        <v>33.299999999999997</v>
      </c>
      <c r="F281" s="3">
        <v>10564.88</v>
      </c>
      <c r="H281" s="4" t="s">
        <v>8</v>
      </c>
    </row>
    <row r="282" spans="1:8" ht="14.5">
      <c r="A282" s="3">
        <v>53</v>
      </c>
      <c r="B282" s="3"/>
      <c r="C282" s="4" t="s">
        <v>10</v>
      </c>
      <c r="E282" s="3">
        <v>38.1</v>
      </c>
      <c r="F282" s="3">
        <v>20463</v>
      </c>
      <c r="H282" s="4" t="s">
        <v>8</v>
      </c>
    </row>
    <row r="283" spans="1:8" ht="14.5">
      <c r="A283" s="3">
        <v>53</v>
      </c>
      <c r="B283" s="3"/>
      <c r="C283" s="4" t="s">
        <v>10</v>
      </c>
      <c r="E283" s="3">
        <v>22.6</v>
      </c>
      <c r="F283" s="3">
        <v>24873.38</v>
      </c>
      <c r="H283" s="4" t="s">
        <v>11</v>
      </c>
    </row>
    <row r="284" spans="1:8" ht="14.5">
      <c r="A284" s="3">
        <v>53</v>
      </c>
      <c r="B284" s="3"/>
      <c r="C284" s="4" t="s">
        <v>7</v>
      </c>
      <c r="E284" s="3">
        <v>31.2</v>
      </c>
      <c r="F284" s="3">
        <v>10461.98</v>
      </c>
      <c r="H284" s="4" t="s">
        <v>8</v>
      </c>
    </row>
    <row r="285" spans="1:8" ht="14.5">
      <c r="A285" s="3">
        <v>53</v>
      </c>
      <c r="B285" s="3"/>
      <c r="C285" s="4" t="s">
        <v>7</v>
      </c>
      <c r="E285" s="3">
        <v>31.4</v>
      </c>
      <c r="F285" s="3">
        <v>27346.04</v>
      </c>
      <c r="H285" s="4" t="s">
        <v>8</v>
      </c>
    </row>
    <row r="286" spans="1:8" ht="14.5">
      <c r="A286" s="3">
        <v>53</v>
      </c>
      <c r="B286" s="3"/>
      <c r="C286" s="4" t="s">
        <v>7</v>
      </c>
      <c r="E286" s="3">
        <v>36.1</v>
      </c>
      <c r="F286" s="3">
        <v>10085.85</v>
      </c>
      <c r="H286" s="4" t="s">
        <v>8</v>
      </c>
    </row>
    <row r="287" spans="1:8" ht="14.5">
      <c r="A287" s="3">
        <v>53</v>
      </c>
      <c r="B287" s="3"/>
      <c r="C287" s="4" t="s">
        <v>10</v>
      </c>
      <c r="E287" s="3">
        <v>39.6</v>
      </c>
      <c r="F287" s="3">
        <v>10579.71</v>
      </c>
      <c r="H287" s="4" t="s">
        <v>8</v>
      </c>
    </row>
    <row r="288" spans="1:8" ht="14.5">
      <c r="A288" s="3">
        <v>53</v>
      </c>
      <c r="B288" s="3"/>
      <c r="C288" s="4" t="s">
        <v>7</v>
      </c>
      <c r="E288" s="3">
        <v>24.3</v>
      </c>
      <c r="F288" s="3">
        <v>9863.4699999999993</v>
      </c>
      <c r="H288" s="4" t="s">
        <v>8</v>
      </c>
    </row>
    <row r="289" spans="1:8" ht="14.5">
      <c r="A289" s="3">
        <v>53</v>
      </c>
      <c r="B289" s="3"/>
      <c r="C289" s="4" t="s">
        <v>7</v>
      </c>
      <c r="E289" s="3">
        <v>26.4</v>
      </c>
      <c r="F289" s="3">
        <v>11244.38</v>
      </c>
      <c r="H289" s="4" t="s">
        <v>8</v>
      </c>
    </row>
    <row r="290" spans="1:8" ht="14.5">
      <c r="A290" s="3">
        <v>53</v>
      </c>
      <c r="B290" s="3"/>
      <c r="C290" s="4" t="s">
        <v>10</v>
      </c>
      <c r="E290" s="3">
        <v>32.299999999999997</v>
      </c>
      <c r="F290" s="3">
        <v>29186.48</v>
      </c>
      <c r="H290" s="4" t="s">
        <v>8</v>
      </c>
    </row>
    <row r="291" spans="1:8" ht="14.5">
      <c r="A291" s="3">
        <v>53</v>
      </c>
      <c r="B291" s="3"/>
      <c r="C291" s="4" t="s">
        <v>7</v>
      </c>
      <c r="E291" s="3">
        <v>41.5</v>
      </c>
      <c r="F291" s="3">
        <v>9504.31</v>
      </c>
      <c r="H291" s="4" t="s">
        <v>8</v>
      </c>
    </row>
    <row r="292" spans="1:8" ht="14.5">
      <c r="A292" s="3">
        <v>53</v>
      </c>
      <c r="B292" s="3"/>
      <c r="C292" s="4" t="s">
        <v>7</v>
      </c>
      <c r="E292" s="3">
        <v>36.6</v>
      </c>
      <c r="F292" s="3">
        <v>11264.54</v>
      </c>
      <c r="H292" s="4" t="s">
        <v>8</v>
      </c>
    </row>
    <row r="293" spans="1:8" ht="14.5">
      <c r="A293" s="3">
        <v>53</v>
      </c>
      <c r="B293" s="3"/>
      <c r="C293" s="4" t="s">
        <v>7</v>
      </c>
      <c r="E293" s="3">
        <v>21.4</v>
      </c>
      <c r="F293" s="3">
        <v>10065.41</v>
      </c>
      <c r="H293" s="4" t="s">
        <v>8</v>
      </c>
    </row>
    <row r="294" spans="1:8" ht="14.5">
      <c r="A294" s="3">
        <v>53</v>
      </c>
      <c r="B294" s="3"/>
      <c r="C294" s="4" t="s">
        <v>7</v>
      </c>
      <c r="E294" s="3">
        <v>34.1</v>
      </c>
      <c r="F294" s="3">
        <v>43254.42</v>
      </c>
      <c r="H294" s="4" t="s">
        <v>11</v>
      </c>
    </row>
    <row r="295" spans="1:8" ht="14.5">
      <c r="A295" s="3">
        <v>53</v>
      </c>
      <c r="B295" s="3"/>
      <c r="C295" s="4" t="s">
        <v>10</v>
      </c>
      <c r="E295" s="3">
        <v>26.7</v>
      </c>
      <c r="F295" s="3">
        <v>11150.78</v>
      </c>
      <c r="H295" s="4" t="s">
        <v>8</v>
      </c>
    </row>
    <row r="296" spans="1:8" ht="14.5">
      <c r="A296" s="3">
        <v>53</v>
      </c>
      <c r="B296" s="3"/>
      <c r="C296" s="4" t="s">
        <v>7</v>
      </c>
      <c r="E296" s="3">
        <v>28.9</v>
      </c>
      <c r="F296" s="3">
        <v>9869.81</v>
      </c>
      <c r="H296" s="4" t="s">
        <v>8</v>
      </c>
    </row>
    <row r="297" spans="1:8" ht="14.5">
      <c r="A297" s="3">
        <v>53</v>
      </c>
      <c r="B297" s="3"/>
      <c r="C297" s="4" t="s">
        <v>7</v>
      </c>
      <c r="E297" s="3">
        <v>20.9</v>
      </c>
      <c r="F297" s="3">
        <v>21195.82</v>
      </c>
      <c r="H297" s="4" t="s">
        <v>11</v>
      </c>
    </row>
    <row r="298" spans="1:8" ht="14.5">
      <c r="A298" s="3">
        <v>53</v>
      </c>
      <c r="B298" s="3"/>
      <c r="C298" s="4" t="s">
        <v>7</v>
      </c>
      <c r="E298" s="3">
        <v>30.5</v>
      </c>
      <c r="F298" s="3">
        <v>10072.06</v>
      </c>
      <c r="H298" s="4" t="s">
        <v>8</v>
      </c>
    </row>
    <row r="299" spans="1:8" ht="14.5">
      <c r="A299" s="3">
        <v>53</v>
      </c>
      <c r="B299" s="3"/>
      <c r="C299" s="4" t="s">
        <v>10</v>
      </c>
      <c r="E299" s="3">
        <v>23.8</v>
      </c>
      <c r="F299" s="3">
        <v>11729.68</v>
      </c>
      <c r="H299" s="4" t="s">
        <v>8</v>
      </c>
    </row>
    <row r="300" spans="1:8" ht="14.5">
      <c r="A300" s="3">
        <v>53</v>
      </c>
      <c r="B300" s="3"/>
      <c r="C300" s="4" t="s">
        <v>7</v>
      </c>
      <c r="E300" s="3">
        <v>29.5</v>
      </c>
      <c r="F300" s="3">
        <v>9487.64</v>
      </c>
      <c r="H300" s="4" t="s">
        <v>8</v>
      </c>
    </row>
    <row r="301" spans="1:8" ht="14.5">
      <c r="A301" s="3">
        <v>53</v>
      </c>
      <c r="B301" s="3"/>
      <c r="C301" s="4" t="s">
        <v>7</v>
      </c>
      <c r="E301" s="3">
        <v>28.6</v>
      </c>
      <c r="F301" s="3">
        <v>11253.42</v>
      </c>
      <c r="H301" s="4" t="s">
        <v>8</v>
      </c>
    </row>
    <row r="302" spans="1:8" ht="14.5">
      <c r="A302" s="3">
        <v>53</v>
      </c>
      <c r="B302" s="3"/>
      <c r="C302" s="4" t="s">
        <v>10</v>
      </c>
      <c r="E302" s="3">
        <v>36.9</v>
      </c>
      <c r="F302" s="3">
        <v>46661.440000000002</v>
      </c>
      <c r="H302" s="4" t="s">
        <v>11</v>
      </c>
    </row>
    <row r="303" spans="1:8" ht="14.5">
      <c r="A303" s="3">
        <v>52</v>
      </c>
      <c r="B303" s="3"/>
      <c r="C303" s="4" t="s">
        <v>10</v>
      </c>
      <c r="E303" s="3">
        <v>30.8</v>
      </c>
      <c r="F303" s="3">
        <v>10797.34</v>
      </c>
      <c r="H303" s="4" t="s">
        <v>8</v>
      </c>
    </row>
    <row r="304" spans="1:8" ht="14.5">
      <c r="A304" s="3">
        <v>52</v>
      </c>
      <c r="B304" s="3"/>
      <c r="C304" s="4" t="s">
        <v>7</v>
      </c>
      <c r="E304" s="3">
        <v>32.200000000000003</v>
      </c>
      <c r="F304" s="3">
        <v>11488.32</v>
      </c>
      <c r="H304" s="4" t="s">
        <v>8</v>
      </c>
    </row>
    <row r="305" spans="1:8" ht="14.5">
      <c r="A305" s="3">
        <v>52</v>
      </c>
      <c r="B305" s="3"/>
      <c r="C305" s="4" t="s">
        <v>10</v>
      </c>
      <c r="E305" s="3">
        <v>37.4</v>
      </c>
      <c r="F305" s="3">
        <v>9634.5400000000009</v>
      </c>
      <c r="H305" s="4" t="s">
        <v>8</v>
      </c>
    </row>
    <row r="306" spans="1:8" ht="14.5">
      <c r="A306" s="3">
        <v>52</v>
      </c>
      <c r="B306" s="3"/>
      <c r="C306" s="4" t="s">
        <v>7</v>
      </c>
      <c r="E306" s="3">
        <v>24.3</v>
      </c>
      <c r="F306" s="3">
        <v>24869.84</v>
      </c>
      <c r="H306" s="4" t="s">
        <v>11</v>
      </c>
    </row>
    <row r="307" spans="1:8" ht="14.5">
      <c r="A307" s="3">
        <v>52</v>
      </c>
      <c r="B307" s="3"/>
      <c r="C307" s="4" t="s">
        <v>10</v>
      </c>
      <c r="E307" s="3">
        <v>31.2</v>
      </c>
      <c r="F307" s="3">
        <v>9625.92</v>
      </c>
      <c r="H307" s="4" t="s">
        <v>8</v>
      </c>
    </row>
    <row r="308" spans="1:8" ht="14.5">
      <c r="A308" s="3">
        <v>52</v>
      </c>
      <c r="B308" s="3"/>
      <c r="C308" s="4" t="s">
        <v>7</v>
      </c>
      <c r="E308" s="3">
        <v>26.4</v>
      </c>
      <c r="F308" s="3">
        <v>25992.82</v>
      </c>
      <c r="H308" s="4" t="s">
        <v>8</v>
      </c>
    </row>
    <row r="309" spans="1:8" ht="14.5">
      <c r="A309" s="3">
        <v>52</v>
      </c>
      <c r="B309" s="3"/>
      <c r="C309" s="4" t="s">
        <v>7</v>
      </c>
      <c r="E309" s="3">
        <v>33.299999999999997</v>
      </c>
      <c r="F309" s="3">
        <v>9722.77</v>
      </c>
      <c r="H309" s="4" t="s">
        <v>8</v>
      </c>
    </row>
    <row r="310" spans="1:8" ht="14.5">
      <c r="A310" s="3">
        <v>52</v>
      </c>
      <c r="B310" s="3"/>
      <c r="C310" s="4" t="s">
        <v>7</v>
      </c>
      <c r="E310" s="3">
        <v>36.700000000000003</v>
      </c>
      <c r="F310" s="3">
        <v>9144.57</v>
      </c>
      <c r="H310" s="4" t="s">
        <v>8</v>
      </c>
    </row>
    <row r="311" spans="1:8" ht="14.5">
      <c r="A311" s="3">
        <v>52</v>
      </c>
      <c r="B311" s="3"/>
      <c r="C311" s="4" t="s">
        <v>7</v>
      </c>
      <c r="E311" s="3">
        <v>27.4</v>
      </c>
      <c r="F311" s="3">
        <v>24393.62</v>
      </c>
      <c r="H311" s="4" t="s">
        <v>11</v>
      </c>
    </row>
    <row r="312" spans="1:8" ht="14.5">
      <c r="A312" s="3">
        <v>52</v>
      </c>
      <c r="B312" s="3"/>
      <c r="C312" s="4" t="s">
        <v>10</v>
      </c>
      <c r="E312" s="3">
        <v>38.4</v>
      </c>
      <c r="F312" s="3">
        <v>11396.9</v>
      </c>
      <c r="H312" s="4" t="s">
        <v>8</v>
      </c>
    </row>
    <row r="313" spans="1:8" ht="14.5">
      <c r="A313" s="3">
        <v>52</v>
      </c>
      <c r="B313" s="3"/>
      <c r="C313" s="4" t="s">
        <v>7</v>
      </c>
      <c r="E313" s="3">
        <v>34.1</v>
      </c>
      <c r="F313" s="3">
        <v>9140.9500000000007</v>
      </c>
      <c r="H313" s="4" t="s">
        <v>8</v>
      </c>
    </row>
    <row r="314" spans="1:8" ht="14.5">
      <c r="A314" s="3">
        <v>52</v>
      </c>
      <c r="B314" s="3"/>
      <c r="C314" s="4" t="s">
        <v>10</v>
      </c>
      <c r="E314" s="3">
        <v>46.8</v>
      </c>
      <c r="F314" s="3">
        <v>12592.53</v>
      </c>
      <c r="H314" s="4" t="s">
        <v>8</v>
      </c>
    </row>
    <row r="315" spans="1:8" ht="14.5">
      <c r="A315" s="3">
        <v>52</v>
      </c>
      <c r="B315" s="3"/>
      <c r="C315" s="4" t="s">
        <v>10</v>
      </c>
      <c r="E315" s="3">
        <v>31.7</v>
      </c>
      <c r="F315" s="3">
        <v>11187.66</v>
      </c>
      <c r="H315" s="4" t="s">
        <v>8</v>
      </c>
    </row>
    <row r="316" spans="1:8" ht="14.5">
      <c r="A316" s="3">
        <v>52</v>
      </c>
      <c r="B316" s="3"/>
      <c r="C316" s="4" t="s">
        <v>7</v>
      </c>
      <c r="E316" s="3">
        <v>30.2</v>
      </c>
      <c r="F316" s="3">
        <v>9724.5300000000007</v>
      </c>
      <c r="H316" s="4" t="s">
        <v>8</v>
      </c>
    </row>
    <row r="317" spans="1:8" ht="14.5">
      <c r="A317" s="3">
        <v>52</v>
      </c>
      <c r="B317" s="3"/>
      <c r="C317" s="4" t="s">
        <v>10</v>
      </c>
      <c r="E317" s="3">
        <v>37.5</v>
      </c>
      <c r="F317" s="3">
        <v>33471.97</v>
      </c>
      <c r="H317" s="4" t="s">
        <v>8</v>
      </c>
    </row>
    <row r="318" spans="1:8" ht="14.5">
      <c r="A318" s="3">
        <v>52</v>
      </c>
      <c r="B318" s="3"/>
      <c r="C318" s="4" t="s">
        <v>10</v>
      </c>
      <c r="E318" s="3">
        <v>25.3</v>
      </c>
      <c r="F318" s="3">
        <v>24667.42</v>
      </c>
      <c r="H318" s="4" t="s">
        <v>11</v>
      </c>
    </row>
    <row r="319" spans="1:8" ht="14.5">
      <c r="A319" s="3">
        <v>52</v>
      </c>
      <c r="B319" s="3"/>
      <c r="C319" s="4" t="s">
        <v>7</v>
      </c>
      <c r="E319" s="3">
        <v>36.799999999999997</v>
      </c>
      <c r="F319" s="3">
        <v>26467.1</v>
      </c>
      <c r="H319" s="4" t="s">
        <v>8</v>
      </c>
    </row>
    <row r="320" spans="1:8" ht="14.5">
      <c r="A320" s="3">
        <v>52</v>
      </c>
      <c r="B320" s="3"/>
      <c r="C320" s="4" t="s">
        <v>7</v>
      </c>
      <c r="E320" s="3">
        <v>47.7</v>
      </c>
      <c r="F320" s="3">
        <v>9748.91</v>
      </c>
      <c r="H320" s="4" t="s">
        <v>8</v>
      </c>
    </row>
    <row r="321" spans="1:8" ht="14.5">
      <c r="A321" s="3">
        <v>52</v>
      </c>
      <c r="B321" s="3"/>
      <c r="C321" s="4" t="s">
        <v>10</v>
      </c>
      <c r="E321" s="3">
        <v>30.9</v>
      </c>
      <c r="F321" s="3">
        <v>23045.57</v>
      </c>
      <c r="H321" s="4" t="s">
        <v>8</v>
      </c>
    </row>
    <row r="322" spans="1:8" ht="14.5">
      <c r="A322" s="3">
        <v>52</v>
      </c>
      <c r="B322" s="3"/>
      <c r="C322" s="4" t="s">
        <v>10</v>
      </c>
      <c r="E322" s="3">
        <v>18.3</v>
      </c>
      <c r="F322" s="3">
        <v>9991.0400000000009</v>
      </c>
      <c r="H322" s="4" t="s">
        <v>8</v>
      </c>
    </row>
    <row r="323" spans="1:8" ht="14.5">
      <c r="A323" s="3">
        <v>52</v>
      </c>
      <c r="B323" s="3"/>
      <c r="C323" s="4" t="s">
        <v>10</v>
      </c>
      <c r="E323" s="3">
        <v>24.9</v>
      </c>
      <c r="F323" s="3">
        <v>27117.99</v>
      </c>
      <c r="H323" s="4" t="s">
        <v>8</v>
      </c>
    </row>
    <row r="324" spans="1:8" ht="14.5">
      <c r="A324" s="3">
        <v>52</v>
      </c>
      <c r="B324" s="3"/>
      <c r="C324" s="4" t="s">
        <v>7</v>
      </c>
      <c r="E324" s="3">
        <v>32.799999999999997</v>
      </c>
      <c r="F324" s="3">
        <v>11289.11</v>
      </c>
      <c r="H324" s="4" t="s">
        <v>8</v>
      </c>
    </row>
    <row r="325" spans="1:8" ht="14.5">
      <c r="A325" s="3">
        <v>52</v>
      </c>
      <c r="B325" s="3"/>
      <c r="C325" s="4" t="s">
        <v>10</v>
      </c>
      <c r="E325" s="3">
        <v>24.1</v>
      </c>
      <c r="F325" s="3">
        <v>23887.66</v>
      </c>
      <c r="H325" s="4" t="s">
        <v>11</v>
      </c>
    </row>
    <row r="326" spans="1:8" ht="14.5">
      <c r="A326" s="3">
        <v>52</v>
      </c>
      <c r="B326" s="3"/>
      <c r="C326" s="4" t="s">
        <v>10</v>
      </c>
      <c r="E326" s="3">
        <v>33.299999999999997</v>
      </c>
      <c r="F326" s="3">
        <v>10806.84</v>
      </c>
      <c r="H326" s="4" t="s">
        <v>8</v>
      </c>
    </row>
    <row r="327" spans="1:8" ht="14.5">
      <c r="A327" s="3">
        <v>52</v>
      </c>
      <c r="B327" s="3"/>
      <c r="C327" s="4" t="s">
        <v>7</v>
      </c>
      <c r="E327" s="3">
        <v>34.5</v>
      </c>
      <c r="F327" s="3">
        <v>60021.4</v>
      </c>
      <c r="H327" s="4" t="s">
        <v>11</v>
      </c>
    </row>
    <row r="328" spans="1:8" ht="14.5">
      <c r="A328" s="3">
        <v>52</v>
      </c>
      <c r="B328" s="3"/>
      <c r="C328" s="4" t="s">
        <v>7</v>
      </c>
      <c r="E328" s="3">
        <v>41.8</v>
      </c>
      <c r="F328" s="3">
        <v>47269.85</v>
      </c>
      <c r="H328" s="4" t="s">
        <v>11</v>
      </c>
    </row>
    <row r="329" spans="1:8" ht="14.5">
      <c r="A329" s="3">
        <v>52</v>
      </c>
      <c r="B329" s="3"/>
      <c r="C329" s="4" t="s">
        <v>10</v>
      </c>
      <c r="E329" s="3">
        <v>23.2</v>
      </c>
      <c r="F329" s="3">
        <v>10197.77</v>
      </c>
      <c r="H329" s="4" t="s">
        <v>8</v>
      </c>
    </row>
    <row r="330" spans="1:8" ht="14.5">
      <c r="A330" s="3">
        <v>52</v>
      </c>
      <c r="B330" s="3"/>
      <c r="C330" s="4" t="s">
        <v>7</v>
      </c>
      <c r="E330" s="3">
        <v>38.6</v>
      </c>
      <c r="F330" s="3">
        <v>10325.209999999999</v>
      </c>
      <c r="H330" s="4" t="s">
        <v>8</v>
      </c>
    </row>
    <row r="331" spans="1:8" ht="14.5">
      <c r="A331" s="3">
        <v>52</v>
      </c>
      <c r="B331" s="3"/>
      <c r="C331" s="4" t="s">
        <v>10</v>
      </c>
      <c r="E331" s="3">
        <v>44.7</v>
      </c>
      <c r="F331" s="3">
        <v>11411.69</v>
      </c>
      <c r="H331" s="4" t="s">
        <v>8</v>
      </c>
    </row>
    <row r="332" spans="1:8" ht="14.5">
      <c r="A332" s="3">
        <v>51</v>
      </c>
      <c r="B332" s="3"/>
      <c r="C332" s="4" t="s">
        <v>10</v>
      </c>
      <c r="E332" s="3">
        <v>37.700000000000003</v>
      </c>
      <c r="F332" s="3">
        <v>9877.61</v>
      </c>
      <c r="H332" s="4" t="s">
        <v>8</v>
      </c>
    </row>
    <row r="333" spans="1:8" ht="14.5">
      <c r="A333" s="3">
        <v>51</v>
      </c>
      <c r="B333" s="3"/>
      <c r="C333" s="4" t="s">
        <v>10</v>
      </c>
      <c r="E333" s="3">
        <v>18.100000000000001</v>
      </c>
      <c r="F333" s="3">
        <v>9644.25</v>
      </c>
      <c r="H333" s="4" t="s">
        <v>8</v>
      </c>
    </row>
    <row r="334" spans="1:8" ht="14.5">
      <c r="A334" s="3">
        <v>51</v>
      </c>
      <c r="B334" s="3"/>
      <c r="C334" s="4" t="s">
        <v>7</v>
      </c>
      <c r="E334" s="3">
        <v>24.4</v>
      </c>
      <c r="F334" s="3">
        <v>11520.1</v>
      </c>
      <c r="H334" s="4" t="s">
        <v>8</v>
      </c>
    </row>
    <row r="335" spans="1:8" ht="14.5">
      <c r="A335" s="3">
        <v>51</v>
      </c>
      <c r="B335" s="3"/>
      <c r="C335" s="4" t="s">
        <v>10</v>
      </c>
      <c r="E335" s="3">
        <v>21.6</v>
      </c>
      <c r="F335" s="3">
        <v>9855.1299999999992</v>
      </c>
      <c r="H335" s="4" t="s">
        <v>8</v>
      </c>
    </row>
    <row r="336" spans="1:8" ht="14.5">
      <c r="A336" s="3">
        <v>51</v>
      </c>
      <c r="B336" s="3"/>
      <c r="C336" s="4" t="s">
        <v>10</v>
      </c>
      <c r="E336" s="3">
        <v>20.6</v>
      </c>
      <c r="F336" s="3">
        <v>9264.7999999999993</v>
      </c>
      <c r="H336" s="4" t="s">
        <v>8</v>
      </c>
    </row>
    <row r="337" spans="1:8" ht="14.5">
      <c r="A337" s="3">
        <v>51</v>
      </c>
      <c r="B337" s="3"/>
      <c r="C337" s="4" t="s">
        <v>10</v>
      </c>
      <c r="E337" s="3">
        <v>39.5</v>
      </c>
      <c r="F337" s="3">
        <v>9880.07</v>
      </c>
      <c r="H337" s="4" t="s">
        <v>8</v>
      </c>
    </row>
    <row r="338" spans="1:8" ht="14.5">
      <c r="A338" s="3">
        <v>51</v>
      </c>
      <c r="B338" s="3"/>
      <c r="C338" s="4" t="s">
        <v>7</v>
      </c>
      <c r="E338" s="3">
        <v>23.2</v>
      </c>
      <c r="F338" s="3">
        <v>22218.11</v>
      </c>
      <c r="H338" s="4" t="s">
        <v>11</v>
      </c>
    </row>
    <row r="339" spans="1:8" ht="14.5">
      <c r="A339" s="3">
        <v>51</v>
      </c>
      <c r="B339" s="3"/>
      <c r="C339" s="4" t="s">
        <v>7</v>
      </c>
      <c r="E339" s="3">
        <v>22.4</v>
      </c>
      <c r="F339" s="3">
        <v>9361.33</v>
      </c>
      <c r="H339" s="4" t="s">
        <v>8</v>
      </c>
    </row>
    <row r="340" spans="1:8" ht="14.5">
      <c r="A340" s="3">
        <v>51</v>
      </c>
      <c r="B340" s="3"/>
      <c r="C340" s="4" t="s">
        <v>10</v>
      </c>
      <c r="E340" s="3">
        <v>33.9</v>
      </c>
      <c r="F340" s="3">
        <v>9866.2999999999993</v>
      </c>
      <c r="H340" s="4" t="s">
        <v>8</v>
      </c>
    </row>
    <row r="341" spans="1:8" ht="14.5">
      <c r="A341" s="3">
        <v>51</v>
      </c>
      <c r="B341" s="3"/>
      <c r="C341" s="4" t="s">
        <v>10</v>
      </c>
      <c r="E341" s="3">
        <v>25.8</v>
      </c>
      <c r="F341" s="3">
        <v>9861.0300000000007</v>
      </c>
      <c r="H341" s="4" t="s">
        <v>8</v>
      </c>
    </row>
    <row r="342" spans="1:8" ht="14.5">
      <c r="A342" s="3">
        <v>51</v>
      </c>
      <c r="B342" s="3"/>
      <c r="C342" s="4" t="s">
        <v>7</v>
      </c>
      <c r="E342" s="3">
        <v>31.6</v>
      </c>
      <c r="F342" s="3">
        <v>9174.14</v>
      </c>
      <c r="H342" s="4" t="s">
        <v>8</v>
      </c>
    </row>
    <row r="343" spans="1:8" ht="14.5">
      <c r="A343" s="3">
        <v>51</v>
      </c>
      <c r="B343" s="3"/>
      <c r="C343" s="4" t="s">
        <v>10</v>
      </c>
      <c r="E343" s="3">
        <v>34.1</v>
      </c>
      <c r="F343" s="3">
        <v>9283.56</v>
      </c>
      <c r="H343" s="4" t="s">
        <v>8</v>
      </c>
    </row>
    <row r="344" spans="1:8" ht="14.5">
      <c r="A344" s="3">
        <v>51</v>
      </c>
      <c r="B344" s="3"/>
      <c r="C344" s="4" t="s">
        <v>7</v>
      </c>
      <c r="E344" s="3">
        <v>39.700000000000003</v>
      </c>
      <c r="F344" s="3">
        <v>9391.35</v>
      </c>
      <c r="H344" s="4" t="s">
        <v>8</v>
      </c>
    </row>
    <row r="345" spans="1:8" ht="14.5">
      <c r="A345" s="3">
        <v>51</v>
      </c>
      <c r="B345" s="3"/>
      <c r="C345" s="4" t="s">
        <v>10</v>
      </c>
      <c r="E345" s="3">
        <v>38.1</v>
      </c>
      <c r="F345" s="3">
        <v>44400.41</v>
      </c>
      <c r="H345" s="4" t="s">
        <v>11</v>
      </c>
    </row>
    <row r="346" spans="1:8" ht="14.5">
      <c r="A346" s="3">
        <v>51</v>
      </c>
      <c r="B346" s="3"/>
      <c r="C346" s="4" t="s">
        <v>10</v>
      </c>
      <c r="E346" s="3">
        <v>36.700000000000003</v>
      </c>
      <c r="F346" s="3">
        <v>10848.13</v>
      </c>
      <c r="H346" s="4" t="s">
        <v>8</v>
      </c>
    </row>
    <row r="347" spans="1:8" ht="14.5">
      <c r="A347" s="3">
        <v>51</v>
      </c>
      <c r="B347" s="3"/>
      <c r="C347" s="4" t="s">
        <v>10</v>
      </c>
      <c r="E347" s="3">
        <v>40.700000000000003</v>
      </c>
      <c r="F347" s="3">
        <v>9875.68</v>
      </c>
      <c r="H347" s="4" t="s">
        <v>8</v>
      </c>
    </row>
    <row r="348" spans="1:8" ht="14.5">
      <c r="A348" s="3">
        <v>51</v>
      </c>
      <c r="B348" s="3"/>
      <c r="C348" s="4" t="s">
        <v>7</v>
      </c>
      <c r="E348" s="3">
        <v>33.299999999999997</v>
      </c>
      <c r="F348" s="3">
        <v>10560.49</v>
      </c>
      <c r="H348" s="4" t="s">
        <v>8</v>
      </c>
    </row>
    <row r="349" spans="1:8" ht="14.5">
      <c r="A349" s="3">
        <v>51</v>
      </c>
      <c r="B349" s="3"/>
      <c r="C349" s="4" t="s">
        <v>7</v>
      </c>
      <c r="E349" s="3">
        <v>36</v>
      </c>
      <c r="F349" s="3">
        <v>9386.16</v>
      </c>
      <c r="H349" s="4" t="s">
        <v>8</v>
      </c>
    </row>
    <row r="350" spans="1:8" ht="14.5">
      <c r="A350" s="3">
        <v>51</v>
      </c>
      <c r="B350" s="3"/>
      <c r="C350" s="4" t="s">
        <v>10</v>
      </c>
      <c r="E350" s="3">
        <v>34.200000000000003</v>
      </c>
      <c r="F350" s="3">
        <v>9872.7000000000007</v>
      </c>
      <c r="H350" s="4" t="s">
        <v>8</v>
      </c>
    </row>
    <row r="351" spans="1:8" ht="14.5">
      <c r="A351" s="3">
        <v>51</v>
      </c>
      <c r="B351" s="3"/>
      <c r="C351" s="4" t="s">
        <v>7</v>
      </c>
      <c r="E351" s="3">
        <v>25.4</v>
      </c>
      <c r="F351" s="3">
        <v>8782.4699999999993</v>
      </c>
      <c r="H351" s="4" t="s">
        <v>8</v>
      </c>
    </row>
    <row r="352" spans="1:8" ht="14.5">
      <c r="A352" s="3">
        <v>51</v>
      </c>
      <c r="B352" s="3"/>
      <c r="C352" s="4" t="s">
        <v>10</v>
      </c>
      <c r="E352" s="3">
        <v>37.1</v>
      </c>
      <c r="F352" s="3">
        <v>46255.11</v>
      </c>
      <c r="H352" s="4" t="s">
        <v>11</v>
      </c>
    </row>
    <row r="353" spans="1:8" ht="14.5">
      <c r="A353" s="3">
        <v>51</v>
      </c>
      <c r="B353" s="3"/>
      <c r="C353" s="4" t="s">
        <v>7</v>
      </c>
      <c r="E353" s="3">
        <v>42.9</v>
      </c>
      <c r="F353" s="3">
        <v>47462.89</v>
      </c>
      <c r="H353" s="4" t="s">
        <v>11</v>
      </c>
    </row>
    <row r="354" spans="1:8" ht="14.5">
      <c r="A354" s="3">
        <v>51</v>
      </c>
      <c r="B354" s="3"/>
      <c r="C354" s="4" t="s">
        <v>7</v>
      </c>
      <c r="E354" s="3">
        <v>24.8</v>
      </c>
      <c r="F354" s="3">
        <v>23967.38</v>
      </c>
      <c r="H354" s="4" t="s">
        <v>11</v>
      </c>
    </row>
    <row r="355" spans="1:8" ht="14.5">
      <c r="A355" s="3">
        <v>51</v>
      </c>
      <c r="B355" s="3"/>
      <c r="C355" s="4" t="s">
        <v>7</v>
      </c>
      <c r="E355" s="3">
        <v>27.7</v>
      </c>
      <c r="F355" s="3">
        <v>9957.7199999999993</v>
      </c>
      <c r="H355" s="4" t="s">
        <v>8</v>
      </c>
    </row>
    <row r="356" spans="1:8" ht="14.5">
      <c r="A356" s="3">
        <v>51</v>
      </c>
      <c r="B356" s="3"/>
      <c r="C356" s="4" t="s">
        <v>7</v>
      </c>
      <c r="E356" s="3">
        <v>37</v>
      </c>
      <c r="F356" s="3">
        <v>8798.59</v>
      </c>
      <c r="H356" s="4" t="s">
        <v>8</v>
      </c>
    </row>
    <row r="357" spans="1:8" ht="14.5">
      <c r="A357" s="3">
        <v>51</v>
      </c>
      <c r="B357" s="3"/>
      <c r="C357" s="4" t="s">
        <v>10</v>
      </c>
      <c r="E357" s="3">
        <v>35</v>
      </c>
      <c r="F357" s="3">
        <v>44641.2</v>
      </c>
      <c r="H357" s="4" t="s">
        <v>11</v>
      </c>
    </row>
    <row r="358" spans="1:8" ht="14.5">
      <c r="A358" s="3">
        <v>51</v>
      </c>
      <c r="B358" s="3"/>
      <c r="C358" s="4" t="s">
        <v>7</v>
      </c>
      <c r="E358" s="3">
        <v>32.299999999999997</v>
      </c>
      <c r="F358" s="3">
        <v>9964.06</v>
      </c>
      <c r="H358" s="4" t="s">
        <v>8</v>
      </c>
    </row>
    <row r="359" spans="1:8" ht="14.5">
      <c r="A359" s="3">
        <v>51</v>
      </c>
      <c r="B359" s="3"/>
      <c r="C359" s="4" t="s">
        <v>10</v>
      </c>
      <c r="E359" s="3">
        <v>36.4</v>
      </c>
      <c r="F359" s="3">
        <v>11436.74</v>
      </c>
      <c r="H359" s="4" t="s">
        <v>8</v>
      </c>
    </row>
    <row r="360" spans="1:8" ht="14.5">
      <c r="A360" s="3">
        <v>51</v>
      </c>
      <c r="B360" s="3"/>
      <c r="C360" s="4" t="s">
        <v>7</v>
      </c>
      <c r="E360" s="3">
        <v>30</v>
      </c>
      <c r="F360" s="3">
        <v>9377.9</v>
      </c>
      <c r="H360" s="4" t="s">
        <v>8</v>
      </c>
    </row>
    <row r="361" spans="1:8" ht="14.5">
      <c r="A361" s="3">
        <v>50</v>
      </c>
      <c r="B361" s="3"/>
      <c r="C361" s="4" t="s">
        <v>10</v>
      </c>
      <c r="E361" s="3">
        <v>27.8</v>
      </c>
      <c r="F361" s="3">
        <v>19749.38</v>
      </c>
      <c r="H361" s="4" t="s">
        <v>8</v>
      </c>
    </row>
    <row r="362" spans="1:8" ht="14.5">
      <c r="A362" s="3">
        <v>50</v>
      </c>
      <c r="B362" s="3"/>
      <c r="C362" s="4" t="s">
        <v>7</v>
      </c>
      <c r="E362" s="3">
        <v>31.8</v>
      </c>
      <c r="F362" s="3">
        <v>41097.160000000003</v>
      </c>
      <c r="H362" s="4" t="s">
        <v>11</v>
      </c>
    </row>
    <row r="363" spans="1:8" ht="14.5">
      <c r="A363" s="3">
        <v>50</v>
      </c>
      <c r="B363" s="3"/>
      <c r="C363" s="4" t="s">
        <v>7</v>
      </c>
      <c r="E363" s="3">
        <v>34.200000000000003</v>
      </c>
      <c r="F363" s="3">
        <v>42856.84</v>
      </c>
      <c r="H363" s="4" t="s">
        <v>11</v>
      </c>
    </row>
    <row r="364" spans="1:8" ht="14.5">
      <c r="A364" s="3">
        <v>50</v>
      </c>
      <c r="B364" s="3"/>
      <c r="C364" s="4" t="s">
        <v>7</v>
      </c>
      <c r="E364" s="3">
        <v>27.5</v>
      </c>
      <c r="F364" s="3">
        <v>9617.66</v>
      </c>
      <c r="H364" s="4" t="s">
        <v>8</v>
      </c>
    </row>
    <row r="365" spans="1:8" ht="14.5">
      <c r="A365" s="3">
        <v>50</v>
      </c>
      <c r="B365" s="3"/>
      <c r="C365" s="4" t="s">
        <v>7</v>
      </c>
      <c r="E365" s="3">
        <v>26.6</v>
      </c>
      <c r="F365" s="3">
        <v>8444.4699999999993</v>
      </c>
      <c r="H365" s="4" t="s">
        <v>8</v>
      </c>
    </row>
    <row r="366" spans="1:8" ht="14.5">
      <c r="A366" s="3">
        <v>50</v>
      </c>
      <c r="B366" s="3"/>
      <c r="C366" s="4" t="s">
        <v>7</v>
      </c>
      <c r="E366" s="3">
        <v>32.200000000000003</v>
      </c>
      <c r="F366" s="3">
        <v>8835.26</v>
      </c>
      <c r="H366" s="4" t="s">
        <v>8</v>
      </c>
    </row>
    <row r="367" spans="1:8" ht="14.5">
      <c r="A367" s="3">
        <v>50</v>
      </c>
      <c r="B367" s="3"/>
      <c r="C367" s="4" t="s">
        <v>7</v>
      </c>
      <c r="E367" s="3">
        <v>32.299999999999997</v>
      </c>
      <c r="F367" s="3">
        <v>41919.1</v>
      </c>
      <c r="H367" s="4" t="s">
        <v>11</v>
      </c>
    </row>
    <row r="368" spans="1:8" ht="14.5">
      <c r="A368" s="3">
        <v>50</v>
      </c>
      <c r="B368" s="3"/>
      <c r="C368" s="4" t="s">
        <v>10</v>
      </c>
      <c r="E368" s="3">
        <v>25.6</v>
      </c>
      <c r="F368" s="3">
        <v>8932.08</v>
      </c>
      <c r="H368" s="4" t="s">
        <v>8</v>
      </c>
    </row>
    <row r="369" spans="1:8" ht="14.5">
      <c r="A369" s="3">
        <v>50</v>
      </c>
      <c r="B369" s="3"/>
      <c r="C369" s="4" t="s">
        <v>7</v>
      </c>
      <c r="E369" s="3">
        <v>25.4</v>
      </c>
      <c r="F369" s="3">
        <v>30284.639999999999</v>
      </c>
      <c r="H369" s="4" t="s">
        <v>8</v>
      </c>
    </row>
    <row r="370" spans="1:8" ht="14.5">
      <c r="A370" s="3">
        <v>50</v>
      </c>
      <c r="B370" s="3"/>
      <c r="C370" s="4" t="s">
        <v>10</v>
      </c>
      <c r="E370" s="3">
        <v>27.4</v>
      </c>
      <c r="F370" s="3">
        <v>25656.58</v>
      </c>
      <c r="H370" s="4" t="s">
        <v>8</v>
      </c>
    </row>
    <row r="371" spans="1:8" ht="14.5">
      <c r="A371" s="3">
        <v>50</v>
      </c>
      <c r="B371" s="3"/>
      <c r="C371" s="4" t="s">
        <v>7</v>
      </c>
      <c r="E371" s="3">
        <v>44.8</v>
      </c>
      <c r="F371" s="3">
        <v>9058.73</v>
      </c>
      <c r="H371" s="4" t="s">
        <v>8</v>
      </c>
    </row>
    <row r="372" spans="1:8" ht="14.5">
      <c r="A372" s="3">
        <v>50</v>
      </c>
      <c r="B372" s="3"/>
      <c r="C372" s="4" t="s">
        <v>10</v>
      </c>
      <c r="E372" s="3">
        <v>44.7</v>
      </c>
      <c r="F372" s="3">
        <v>9541.7000000000007</v>
      </c>
      <c r="H372" s="4" t="s">
        <v>8</v>
      </c>
    </row>
    <row r="373" spans="1:8" ht="14.5">
      <c r="A373" s="3">
        <v>50</v>
      </c>
      <c r="B373" s="3"/>
      <c r="C373" s="4" t="s">
        <v>10</v>
      </c>
      <c r="E373" s="3">
        <v>23.5</v>
      </c>
      <c r="F373" s="3">
        <v>10107.219999999999</v>
      </c>
      <c r="H373" s="4" t="s">
        <v>8</v>
      </c>
    </row>
    <row r="374" spans="1:8" ht="14.5">
      <c r="A374" s="3">
        <v>50</v>
      </c>
      <c r="B374" s="3"/>
      <c r="C374" s="4" t="s">
        <v>10</v>
      </c>
      <c r="E374" s="3">
        <v>27.1</v>
      </c>
      <c r="F374" s="3">
        <v>10106.129999999999</v>
      </c>
      <c r="H374" s="4" t="s">
        <v>8</v>
      </c>
    </row>
    <row r="375" spans="1:8" ht="14.5">
      <c r="A375" s="3">
        <v>50</v>
      </c>
      <c r="B375" s="3"/>
      <c r="C375" s="4" t="s">
        <v>7</v>
      </c>
      <c r="E375" s="3">
        <v>26.4</v>
      </c>
      <c r="F375" s="3">
        <v>8827.2099999999991</v>
      </c>
      <c r="H375" s="4" t="s">
        <v>8</v>
      </c>
    </row>
    <row r="376" spans="1:8" ht="14.5">
      <c r="A376" s="3">
        <v>50</v>
      </c>
      <c r="B376" s="3"/>
      <c r="C376" s="4" t="s">
        <v>10</v>
      </c>
      <c r="E376" s="3">
        <v>30.1</v>
      </c>
      <c r="F376" s="3">
        <v>9910.36</v>
      </c>
      <c r="H376" s="4" t="s">
        <v>8</v>
      </c>
    </row>
    <row r="377" spans="1:8" ht="14.5">
      <c r="A377" s="3">
        <v>50</v>
      </c>
      <c r="B377" s="3"/>
      <c r="C377" s="4" t="s">
        <v>10</v>
      </c>
      <c r="E377" s="3">
        <v>27.6</v>
      </c>
      <c r="F377" s="3">
        <v>24520.26</v>
      </c>
      <c r="H377" s="4" t="s">
        <v>11</v>
      </c>
    </row>
    <row r="378" spans="1:8" ht="14.5">
      <c r="A378" s="3">
        <v>50</v>
      </c>
      <c r="B378" s="3"/>
      <c r="C378" s="4" t="s">
        <v>7</v>
      </c>
      <c r="E378" s="3">
        <v>36.200000000000003</v>
      </c>
      <c r="F378" s="3">
        <v>8457.82</v>
      </c>
      <c r="H378" s="4" t="s">
        <v>8</v>
      </c>
    </row>
    <row r="379" spans="1:8" ht="14.5">
      <c r="A379" s="3">
        <v>50</v>
      </c>
      <c r="B379" s="3"/>
      <c r="C379" s="4" t="s">
        <v>7</v>
      </c>
      <c r="E379" s="3">
        <v>32.1</v>
      </c>
      <c r="F379" s="3">
        <v>25333.33</v>
      </c>
      <c r="H379" s="4" t="s">
        <v>8</v>
      </c>
    </row>
    <row r="380" spans="1:8" ht="14.5">
      <c r="A380" s="3">
        <v>50</v>
      </c>
      <c r="B380" s="3"/>
      <c r="C380" s="4" t="s">
        <v>10</v>
      </c>
      <c r="E380" s="3">
        <v>46.1</v>
      </c>
      <c r="F380" s="3">
        <v>9549.57</v>
      </c>
      <c r="H380" s="4" t="s">
        <v>8</v>
      </c>
    </row>
    <row r="381" spans="1:8" ht="14.5">
      <c r="A381" s="3">
        <v>50</v>
      </c>
      <c r="B381" s="3"/>
      <c r="C381" s="4" t="s">
        <v>10</v>
      </c>
      <c r="E381" s="3">
        <v>28.2</v>
      </c>
      <c r="F381" s="3">
        <v>10702.64</v>
      </c>
      <c r="H381" s="4" t="s">
        <v>8</v>
      </c>
    </row>
    <row r="382" spans="1:8" ht="14.5">
      <c r="A382" s="3">
        <v>50</v>
      </c>
      <c r="B382" s="3"/>
      <c r="C382" s="4" t="s">
        <v>10</v>
      </c>
      <c r="E382" s="3">
        <v>31.6</v>
      </c>
      <c r="F382" s="3">
        <v>10118.42</v>
      </c>
      <c r="H382" s="4" t="s">
        <v>8</v>
      </c>
    </row>
    <row r="383" spans="1:8" ht="14.5">
      <c r="A383" s="3">
        <v>50</v>
      </c>
      <c r="B383" s="3"/>
      <c r="C383" s="4" t="s">
        <v>10</v>
      </c>
      <c r="E383" s="3">
        <v>33.700000000000003</v>
      </c>
      <c r="F383" s="3">
        <v>11299.34</v>
      </c>
      <c r="H383" s="4" t="s">
        <v>8</v>
      </c>
    </row>
    <row r="384" spans="1:8" ht="14.5">
      <c r="A384" s="3">
        <v>50</v>
      </c>
      <c r="B384" s="3"/>
      <c r="C384" s="4" t="s">
        <v>10</v>
      </c>
      <c r="E384" s="3">
        <v>26.2</v>
      </c>
      <c r="F384" s="3">
        <v>10493.95</v>
      </c>
      <c r="H384" s="4" t="s">
        <v>8</v>
      </c>
    </row>
    <row r="385" spans="1:8" ht="14.5">
      <c r="A385" s="3">
        <v>50</v>
      </c>
      <c r="B385" s="3"/>
      <c r="C385" s="4" t="s">
        <v>10</v>
      </c>
      <c r="E385" s="3">
        <v>28.1</v>
      </c>
      <c r="F385" s="3">
        <v>11085.59</v>
      </c>
      <c r="H385" s="4" t="s">
        <v>8</v>
      </c>
    </row>
    <row r="386" spans="1:8" ht="14.5">
      <c r="A386" s="3">
        <v>50</v>
      </c>
      <c r="B386" s="3"/>
      <c r="C386" s="4" t="s">
        <v>7</v>
      </c>
      <c r="E386" s="3">
        <v>37.1</v>
      </c>
      <c r="F386" s="3">
        <v>9048.0300000000007</v>
      </c>
      <c r="H386" s="4" t="s">
        <v>8</v>
      </c>
    </row>
    <row r="387" spans="1:8" ht="14.5">
      <c r="A387" s="3">
        <v>50</v>
      </c>
      <c r="B387" s="3"/>
      <c r="C387" s="4" t="s">
        <v>7</v>
      </c>
      <c r="E387" s="3">
        <v>32.299999999999997</v>
      </c>
      <c r="F387" s="3">
        <v>9630.4</v>
      </c>
      <c r="H387" s="4" t="s">
        <v>8</v>
      </c>
    </row>
    <row r="388" spans="1:8" ht="14.5">
      <c r="A388" s="3">
        <v>50</v>
      </c>
      <c r="B388" s="3"/>
      <c r="C388" s="4" t="s">
        <v>7</v>
      </c>
      <c r="E388" s="3">
        <v>25.3</v>
      </c>
      <c r="F388" s="3">
        <v>8442.67</v>
      </c>
      <c r="H388" s="4" t="s">
        <v>8</v>
      </c>
    </row>
    <row r="389" spans="1:8" ht="14.5">
      <c r="A389" s="3">
        <v>50</v>
      </c>
      <c r="B389" s="3"/>
      <c r="C389" s="4" t="s">
        <v>7</v>
      </c>
      <c r="E389" s="3">
        <v>31</v>
      </c>
      <c r="F389" s="3">
        <v>10600.55</v>
      </c>
      <c r="H389" s="4" t="s">
        <v>8</v>
      </c>
    </row>
    <row r="390" spans="1:8" ht="14.5">
      <c r="A390" s="3">
        <v>49</v>
      </c>
      <c r="B390" s="3"/>
      <c r="C390" s="4" t="s">
        <v>10</v>
      </c>
      <c r="E390" s="3">
        <v>27.2</v>
      </c>
      <c r="F390" s="3">
        <v>8601.33</v>
      </c>
      <c r="H390" s="4" t="s">
        <v>8</v>
      </c>
    </row>
    <row r="391" spans="1:8" ht="14.5">
      <c r="A391" s="3">
        <v>49</v>
      </c>
      <c r="B391" s="3"/>
      <c r="C391" s="4" t="s">
        <v>7</v>
      </c>
      <c r="E391" s="3">
        <v>30.3</v>
      </c>
      <c r="F391" s="3">
        <v>8116.68</v>
      </c>
      <c r="H391" s="4" t="s">
        <v>8</v>
      </c>
    </row>
    <row r="392" spans="1:8" ht="14.5">
      <c r="A392" s="3">
        <v>49</v>
      </c>
      <c r="B392" s="3"/>
      <c r="C392" s="4" t="s">
        <v>7</v>
      </c>
      <c r="E392" s="3">
        <v>25.8</v>
      </c>
      <c r="F392" s="3">
        <v>9282.48</v>
      </c>
      <c r="H392" s="4" t="s">
        <v>8</v>
      </c>
    </row>
    <row r="393" spans="1:8" ht="14.5">
      <c r="A393" s="3">
        <v>49</v>
      </c>
      <c r="B393" s="3"/>
      <c r="C393" s="4" t="s">
        <v>7</v>
      </c>
      <c r="E393" s="3">
        <v>35.9</v>
      </c>
      <c r="F393" s="3">
        <v>8124.41</v>
      </c>
      <c r="H393" s="4" t="s">
        <v>8</v>
      </c>
    </row>
    <row r="394" spans="1:8" ht="14.5">
      <c r="A394" s="3">
        <v>49</v>
      </c>
      <c r="B394" s="3"/>
      <c r="C394" s="4" t="s">
        <v>10</v>
      </c>
      <c r="E394" s="3">
        <v>41.5</v>
      </c>
      <c r="F394" s="3">
        <v>10977.21</v>
      </c>
      <c r="H394" s="4" t="s">
        <v>8</v>
      </c>
    </row>
    <row r="395" spans="1:8" ht="14.5">
      <c r="A395" s="3">
        <v>49</v>
      </c>
      <c r="B395" s="3"/>
      <c r="C395" s="4" t="s">
        <v>10</v>
      </c>
      <c r="E395" s="3">
        <v>30.8</v>
      </c>
      <c r="F395" s="3">
        <v>9778.35</v>
      </c>
      <c r="H395" s="4" t="s">
        <v>8</v>
      </c>
    </row>
    <row r="396" spans="1:8" ht="14.5">
      <c r="A396" s="3">
        <v>49</v>
      </c>
      <c r="B396" s="3"/>
      <c r="C396" s="4" t="s">
        <v>7</v>
      </c>
      <c r="E396" s="3">
        <v>31.4</v>
      </c>
      <c r="F396" s="3">
        <v>9290.14</v>
      </c>
      <c r="H396" s="4" t="s">
        <v>8</v>
      </c>
    </row>
    <row r="397" spans="1:8" ht="14.5">
      <c r="A397" s="3">
        <v>49</v>
      </c>
      <c r="B397" s="3"/>
      <c r="C397" s="4" t="s">
        <v>7</v>
      </c>
      <c r="E397" s="3">
        <v>32.299999999999997</v>
      </c>
      <c r="F397" s="3">
        <v>10269.459999999999</v>
      </c>
      <c r="H397" s="4" t="s">
        <v>8</v>
      </c>
    </row>
    <row r="398" spans="1:8" ht="14.5">
      <c r="A398" s="3">
        <v>49</v>
      </c>
      <c r="B398" s="3"/>
      <c r="C398" s="4" t="s">
        <v>10</v>
      </c>
      <c r="E398" s="3">
        <v>36.6</v>
      </c>
      <c r="F398" s="3">
        <v>10381.48</v>
      </c>
      <c r="H398" s="4" t="s">
        <v>8</v>
      </c>
    </row>
    <row r="399" spans="1:8" ht="14.5">
      <c r="A399" s="3">
        <v>49</v>
      </c>
      <c r="B399" s="3"/>
      <c r="C399" s="4" t="s">
        <v>7</v>
      </c>
      <c r="E399" s="3">
        <v>37.5</v>
      </c>
      <c r="F399" s="3">
        <v>9304.7000000000007</v>
      </c>
      <c r="H399" s="4" t="s">
        <v>8</v>
      </c>
    </row>
    <row r="400" spans="1:8" ht="14.5">
      <c r="A400" s="3">
        <v>49</v>
      </c>
      <c r="B400" s="3"/>
      <c r="C400" s="4" t="s">
        <v>7</v>
      </c>
      <c r="E400" s="3">
        <v>25.8</v>
      </c>
      <c r="F400" s="3">
        <v>23807.24</v>
      </c>
      <c r="H400" s="4" t="s">
        <v>11</v>
      </c>
    </row>
    <row r="401" spans="1:8" ht="14.5">
      <c r="A401" s="3">
        <v>49</v>
      </c>
      <c r="B401" s="3"/>
      <c r="C401" s="4" t="s">
        <v>10</v>
      </c>
      <c r="E401" s="3">
        <v>31.9</v>
      </c>
      <c r="F401" s="3">
        <v>11552.9</v>
      </c>
      <c r="H401" s="4" t="s">
        <v>8</v>
      </c>
    </row>
    <row r="402" spans="1:8" ht="14.5">
      <c r="A402" s="3">
        <v>49</v>
      </c>
      <c r="B402" s="3"/>
      <c r="C402" s="4" t="s">
        <v>7</v>
      </c>
      <c r="E402" s="3">
        <v>25.6</v>
      </c>
      <c r="F402" s="3">
        <v>23306.55</v>
      </c>
      <c r="H402" s="4" t="s">
        <v>11</v>
      </c>
    </row>
    <row r="403" spans="1:8" ht="14.5">
      <c r="A403" s="3">
        <v>49</v>
      </c>
      <c r="B403" s="3"/>
      <c r="C403" s="4" t="s">
        <v>10</v>
      </c>
      <c r="E403" s="3">
        <v>21.3</v>
      </c>
      <c r="F403" s="3">
        <v>9182.17</v>
      </c>
      <c r="H403" s="4" t="s">
        <v>8</v>
      </c>
    </row>
    <row r="404" spans="1:8" ht="14.5">
      <c r="A404" s="3">
        <v>49</v>
      </c>
      <c r="B404" s="3"/>
      <c r="C404" s="4" t="s">
        <v>10</v>
      </c>
      <c r="E404" s="3">
        <v>42.7</v>
      </c>
      <c r="F404" s="3">
        <v>9800.89</v>
      </c>
      <c r="H404" s="4" t="s">
        <v>8</v>
      </c>
    </row>
    <row r="405" spans="1:8" ht="14.5">
      <c r="A405" s="3">
        <v>49</v>
      </c>
      <c r="B405" s="3"/>
      <c r="C405" s="4" t="s">
        <v>7</v>
      </c>
      <c r="E405" s="3">
        <v>28.7</v>
      </c>
      <c r="F405" s="3">
        <v>8703.4599999999991</v>
      </c>
      <c r="H405" s="4" t="s">
        <v>8</v>
      </c>
    </row>
    <row r="406" spans="1:8" ht="14.5">
      <c r="A406" s="3">
        <v>49</v>
      </c>
      <c r="B406" s="3"/>
      <c r="C406" s="4" t="s">
        <v>10</v>
      </c>
      <c r="E406" s="3">
        <v>23.2</v>
      </c>
      <c r="F406" s="3">
        <v>10156.780000000001</v>
      </c>
      <c r="H406" s="4" t="s">
        <v>8</v>
      </c>
    </row>
    <row r="407" spans="1:8" ht="14.5">
      <c r="A407" s="3">
        <v>49</v>
      </c>
      <c r="B407" s="3"/>
      <c r="C407" s="4" t="s">
        <v>7</v>
      </c>
      <c r="E407" s="3">
        <v>28.7</v>
      </c>
      <c r="F407" s="3">
        <v>10264.44</v>
      </c>
      <c r="H407" s="4" t="s">
        <v>8</v>
      </c>
    </row>
    <row r="408" spans="1:8" ht="14.5">
      <c r="A408" s="3">
        <v>49</v>
      </c>
      <c r="B408" s="3"/>
      <c r="C408" s="4" t="s">
        <v>10</v>
      </c>
      <c r="E408" s="3">
        <v>22.6</v>
      </c>
      <c r="F408" s="3">
        <v>9566.99</v>
      </c>
      <c r="H408" s="4" t="s">
        <v>8</v>
      </c>
    </row>
    <row r="409" spans="1:8" ht="14.5">
      <c r="A409" s="3">
        <v>49</v>
      </c>
      <c r="B409" s="3"/>
      <c r="C409" s="4" t="s">
        <v>10</v>
      </c>
      <c r="E409" s="3">
        <v>34.799999999999997</v>
      </c>
      <c r="F409" s="3">
        <v>9583.89</v>
      </c>
      <c r="H409" s="4" t="s">
        <v>8</v>
      </c>
    </row>
    <row r="410" spans="1:8" ht="14.5">
      <c r="A410" s="3">
        <v>49</v>
      </c>
      <c r="B410" s="3"/>
      <c r="C410" s="4" t="s">
        <v>10</v>
      </c>
      <c r="E410" s="3">
        <v>23.8</v>
      </c>
      <c r="F410" s="3">
        <v>24106.91</v>
      </c>
      <c r="H410" s="4" t="s">
        <v>11</v>
      </c>
    </row>
    <row r="411" spans="1:8" ht="14.5">
      <c r="A411" s="3">
        <v>49</v>
      </c>
      <c r="B411" s="3"/>
      <c r="C411" s="4" t="s">
        <v>10</v>
      </c>
      <c r="E411" s="3">
        <v>27.1</v>
      </c>
      <c r="F411" s="3">
        <v>26140.36</v>
      </c>
      <c r="H411" s="4" t="s">
        <v>8</v>
      </c>
    </row>
    <row r="412" spans="1:8" ht="14.5">
      <c r="A412" s="3">
        <v>49</v>
      </c>
      <c r="B412" s="3"/>
      <c r="C412" s="4" t="s">
        <v>7</v>
      </c>
      <c r="E412" s="3">
        <v>22.5</v>
      </c>
      <c r="F412" s="3">
        <v>8688.86</v>
      </c>
      <c r="H412" s="4" t="s">
        <v>8</v>
      </c>
    </row>
    <row r="413" spans="1:8" ht="14.5">
      <c r="A413" s="3">
        <v>49</v>
      </c>
      <c r="B413" s="3"/>
      <c r="C413" s="4" t="s">
        <v>7</v>
      </c>
      <c r="E413" s="3">
        <v>36.9</v>
      </c>
      <c r="F413" s="3">
        <v>8125.78</v>
      </c>
      <c r="H413" s="4" t="s">
        <v>8</v>
      </c>
    </row>
    <row r="414" spans="1:8" ht="14.5">
      <c r="A414" s="3">
        <v>49</v>
      </c>
      <c r="B414" s="3"/>
      <c r="C414" s="4" t="s">
        <v>7</v>
      </c>
      <c r="E414" s="3">
        <v>30.9</v>
      </c>
      <c r="F414" s="3">
        <v>39727.61</v>
      </c>
      <c r="H414" s="4" t="s">
        <v>11</v>
      </c>
    </row>
    <row r="415" spans="1:8" ht="14.5">
      <c r="A415" s="3">
        <v>49</v>
      </c>
      <c r="B415" s="3"/>
      <c r="C415" s="4" t="s">
        <v>7</v>
      </c>
      <c r="E415" s="3">
        <v>29.8</v>
      </c>
      <c r="F415" s="3">
        <v>9288.0300000000007</v>
      </c>
      <c r="H415" s="4" t="s">
        <v>8</v>
      </c>
    </row>
    <row r="416" spans="1:8" ht="14.5">
      <c r="A416" s="3">
        <v>49</v>
      </c>
      <c r="B416" s="3"/>
      <c r="C416" s="4" t="s">
        <v>10</v>
      </c>
      <c r="E416" s="3">
        <v>29.9</v>
      </c>
      <c r="F416" s="3">
        <v>8988.16</v>
      </c>
      <c r="H416" s="4" t="s">
        <v>8</v>
      </c>
    </row>
    <row r="417" spans="1:8" ht="14.5">
      <c r="A417" s="3">
        <v>49</v>
      </c>
      <c r="B417" s="3"/>
      <c r="C417" s="4" t="s">
        <v>10</v>
      </c>
      <c r="E417" s="3">
        <v>33.299999999999997</v>
      </c>
      <c r="F417" s="3">
        <v>10370.91</v>
      </c>
      <c r="H417" s="4" t="s">
        <v>8</v>
      </c>
    </row>
    <row r="418" spans="1:8" ht="14.5">
      <c r="A418" s="3">
        <v>48</v>
      </c>
      <c r="B418" s="3"/>
      <c r="C418" s="4" t="s">
        <v>7</v>
      </c>
      <c r="E418" s="3">
        <v>28</v>
      </c>
      <c r="F418" s="3">
        <v>23568.27</v>
      </c>
      <c r="H418" s="4" t="s">
        <v>11</v>
      </c>
    </row>
    <row r="419" spans="1:8" ht="14.5">
      <c r="A419" s="3">
        <v>48</v>
      </c>
      <c r="B419" s="3"/>
      <c r="C419" s="4" t="s">
        <v>10</v>
      </c>
      <c r="E419" s="3">
        <v>41.2</v>
      </c>
      <c r="F419" s="3">
        <v>11033.66</v>
      </c>
      <c r="H419" s="4" t="s">
        <v>8</v>
      </c>
    </row>
    <row r="420" spans="1:8" ht="14.5">
      <c r="A420" s="3">
        <v>48</v>
      </c>
      <c r="B420" s="3"/>
      <c r="C420" s="4" t="s">
        <v>7</v>
      </c>
      <c r="E420" s="3">
        <v>29.7</v>
      </c>
      <c r="F420" s="3">
        <v>7789.64</v>
      </c>
      <c r="H420" s="4" t="s">
        <v>8</v>
      </c>
    </row>
    <row r="421" spans="1:8" ht="14.5">
      <c r="A421" s="3">
        <v>48</v>
      </c>
      <c r="B421" s="3"/>
      <c r="C421" s="4" t="s">
        <v>7</v>
      </c>
      <c r="E421" s="3">
        <v>24.4</v>
      </c>
      <c r="F421" s="3">
        <v>21223.68</v>
      </c>
      <c r="H421" s="4" t="s">
        <v>11</v>
      </c>
    </row>
    <row r="422" spans="1:8" ht="14.5">
      <c r="A422" s="3">
        <v>48</v>
      </c>
      <c r="B422" s="3"/>
      <c r="C422" s="4" t="s">
        <v>10</v>
      </c>
      <c r="E422" s="3">
        <v>32.200000000000003</v>
      </c>
      <c r="F422" s="3">
        <v>8871.15</v>
      </c>
      <c r="H422" s="4" t="s">
        <v>8</v>
      </c>
    </row>
    <row r="423" spans="1:8" ht="14.5">
      <c r="A423" s="3">
        <v>48</v>
      </c>
      <c r="B423" s="3"/>
      <c r="C423" s="4" t="s">
        <v>10</v>
      </c>
      <c r="E423" s="3">
        <v>28.9</v>
      </c>
      <c r="F423" s="3">
        <v>9249.5</v>
      </c>
      <c r="H423" s="4" t="s">
        <v>8</v>
      </c>
    </row>
    <row r="424" spans="1:8" ht="14.5">
      <c r="A424" s="3">
        <v>48</v>
      </c>
      <c r="B424" s="3"/>
      <c r="C424" s="4" t="s">
        <v>10</v>
      </c>
      <c r="E424" s="3">
        <v>32.299999999999997</v>
      </c>
      <c r="F424" s="3">
        <v>10043.25</v>
      </c>
      <c r="H424" s="4" t="s">
        <v>8</v>
      </c>
    </row>
    <row r="425" spans="1:8" ht="14.5">
      <c r="A425" s="3">
        <v>48</v>
      </c>
      <c r="B425" s="3"/>
      <c r="C425" s="4" t="s">
        <v>7</v>
      </c>
      <c r="E425" s="3">
        <v>35.6</v>
      </c>
      <c r="F425" s="3">
        <v>10736.87</v>
      </c>
      <c r="H425" s="4" t="s">
        <v>8</v>
      </c>
    </row>
    <row r="426" spans="1:8" ht="14.5">
      <c r="A426" s="3">
        <v>48</v>
      </c>
      <c r="B426" s="3"/>
      <c r="C426" s="4" t="s">
        <v>7</v>
      </c>
      <c r="E426" s="3">
        <v>31.4</v>
      </c>
      <c r="F426" s="3">
        <v>8964.06</v>
      </c>
      <c r="H426" s="4" t="s">
        <v>8</v>
      </c>
    </row>
    <row r="427" spans="1:8" ht="14.5">
      <c r="A427" s="3">
        <v>48</v>
      </c>
      <c r="B427" s="3"/>
      <c r="C427" s="4" t="s">
        <v>7</v>
      </c>
      <c r="E427" s="3">
        <v>30.2</v>
      </c>
      <c r="F427" s="3">
        <v>8968.33</v>
      </c>
      <c r="H427" s="4" t="s">
        <v>8</v>
      </c>
    </row>
    <row r="428" spans="1:8" ht="14.5">
      <c r="A428" s="3">
        <v>48</v>
      </c>
      <c r="B428" s="3"/>
      <c r="C428" s="4" t="s">
        <v>7</v>
      </c>
      <c r="E428" s="3">
        <v>34.299999999999997</v>
      </c>
      <c r="F428" s="3">
        <v>9563.0300000000007</v>
      </c>
      <c r="H428" s="4" t="s">
        <v>8</v>
      </c>
    </row>
    <row r="429" spans="1:8" ht="14.5">
      <c r="A429" s="3">
        <v>48</v>
      </c>
      <c r="B429" s="3"/>
      <c r="C429" s="4" t="s">
        <v>7</v>
      </c>
      <c r="E429" s="3">
        <v>40.6</v>
      </c>
      <c r="F429" s="3">
        <v>45702.02</v>
      </c>
      <c r="H429" s="4" t="s">
        <v>11</v>
      </c>
    </row>
    <row r="430" spans="1:8" ht="14.5">
      <c r="A430" s="3">
        <v>48</v>
      </c>
      <c r="B430" s="3"/>
      <c r="C430" s="4" t="s">
        <v>7</v>
      </c>
      <c r="E430" s="3">
        <v>30.8</v>
      </c>
      <c r="F430" s="3">
        <v>10141.14</v>
      </c>
      <c r="H430" s="4" t="s">
        <v>8</v>
      </c>
    </row>
    <row r="431" spans="1:8" ht="14.5">
      <c r="A431" s="3">
        <v>48</v>
      </c>
      <c r="B431" s="3"/>
      <c r="C431" s="4" t="s">
        <v>10</v>
      </c>
      <c r="E431" s="3">
        <v>31.1</v>
      </c>
      <c r="F431" s="3">
        <v>8280.6200000000008</v>
      </c>
      <c r="H431" s="4" t="s">
        <v>8</v>
      </c>
    </row>
    <row r="432" spans="1:8" ht="14.5">
      <c r="A432" s="3">
        <v>48</v>
      </c>
      <c r="B432" s="3"/>
      <c r="C432" s="4" t="s">
        <v>10</v>
      </c>
      <c r="E432" s="3">
        <v>35.9</v>
      </c>
      <c r="F432" s="3">
        <v>26392.26</v>
      </c>
      <c r="H432" s="4" t="s">
        <v>8</v>
      </c>
    </row>
    <row r="433" spans="1:8" ht="14.5">
      <c r="A433" s="3">
        <v>48</v>
      </c>
      <c r="B433" s="3"/>
      <c r="C433" s="4" t="s">
        <v>10</v>
      </c>
      <c r="E433" s="3">
        <v>27.3</v>
      </c>
      <c r="F433" s="3">
        <v>9447.25</v>
      </c>
      <c r="H433" s="4" t="s">
        <v>8</v>
      </c>
    </row>
    <row r="434" spans="1:8" ht="14.5">
      <c r="A434" s="3">
        <v>48</v>
      </c>
      <c r="B434" s="3"/>
      <c r="C434" s="4" t="s">
        <v>10</v>
      </c>
      <c r="E434" s="3">
        <v>33.1</v>
      </c>
      <c r="F434" s="3">
        <v>40974.160000000003</v>
      </c>
      <c r="H434" s="4" t="s">
        <v>11</v>
      </c>
    </row>
    <row r="435" spans="1:8" ht="14.5">
      <c r="A435" s="3">
        <v>48</v>
      </c>
      <c r="B435" s="3"/>
      <c r="C435" s="4" t="s">
        <v>7</v>
      </c>
      <c r="E435" s="3">
        <v>36.700000000000003</v>
      </c>
      <c r="F435" s="3">
        <v>28468.92</v>
      </c>
      <c r="H435" s="4" t="s">
        <v>8</v>
      </c>
    </row>
    <row r="436" spans="1:8" ht="14.5">
      <c r="A436" s="3">
        <v>48</v>
      </c>
      <c r="B436" s="3"/>
      <c r="C436" s="4" t="s">
        <v>7</v>
      </c>
      <c r="E436" s="3">
        <v>40.200000000000003</v>
      </c>
      <c r="F436" s="3">
        <v>7804.16</v>
      </c>
      <c r="H436" s="4" t="s">
        <v>8</v>
      </c>
    </row>
    <row r="437" spans="1:8" ht="14.5">
      <c r="A437" s="3">
        <v>48</v>
      </c>
      <c r="B437" s="3"/>
      <c r="C437" s="4" t="s">
        <v>7</v>
      </c>
      <c r="E437" s="3">
        <v>29.6</v>
      </c>
      <c r="F437" s="3">
        <v>21232.18</v>
      </c>
      <c r="H437" s="4" t="s">
        <v>8</v>
      </c>
    </row>
    <row r="438" spans="1:8" ht="14.5">
      <c r="A438" s="3">
        <v>48</v>
      </c>
      <c r="B438" s="3"/>
      <c r="C438" s="4" t="s">
        <v>10</v>
      </c>
      <c r="E438" s="3">
        <v>22.8</v>
      </c>
      <c r="F438" s="3">
        <v>8269.0400000000009</v>
      </c>
      <c r="H438" s="4" t="s">
        <v>8</v>
      </c>
    </row>
    <row r="439" spans="1:8" ht="14.5">
      <c r="A439" s="3">
        <v>48</v>
      </c>
      <c r="B439" s="3"/>
      <c r="C439" s="4" t="s">
        <v>7</v>
      </c>
      <c r="E439" s="3">
        <v>32.299999999999997</v>
      </c>
      <c r="F439" s="3">
        <v>8765.25</v>
      </c>
      <c r="H439" s="4" t="s">
        <v>8</v>
      </c>
    </row>
    <row r="440" spans="1:8" ht="14.5">
      <c r="A440" s="3">
        <v>48</v>
      </c>
      <c r="B440" s="3"/>
      <c r="C440" s="4" t="s">
        <v>10</v>
      </c>
      <c r="E440" s="3">
        <v>28.9</v>
      </c>
      <c r="F440" s="3">
        <v>8277.52</v>
      </c>
      <c r="H440" s="4" t="s">
        <v>8</v>
      </c>
    </row>
    <row r="441" spans="1:8" ht="14.5">
      <c r="A441" s="3">
        <v>48</v>
      </c>
      <c r="B441" s="3"/>
      <c r="C441" s="4" t="s">
        <v>7</v>
      </c>
      <c r="E441" s="3">
        <v>37.299999999999997</v>
      </c>
      <c r="F441" s="3">
        <v>8978.19</v>
      </c>
      <c r="H441" s="4" t="s">
        <v>8</v>
      </c>
    </row>
    <row r="442" spans="1:8" ht="14.5">
      <c r="A442" s="3">
        <v>48</v>
      </c>
      <c r="B442" s="3"/>
      <c r="C442" s="4" t="s">
        <v>10</v>
      </c>
      <c r="E442" s="3">
        <v>25.9</v>
      </c>
      <c r="F442" s="3">
        <v>24180.93</v>
      </c>
      <c r="H442" s="4" t="s">
        <v>11</v>
      </c>
    </row>
    <row r="443" spans="1:8" ht="14.5">
      <c r="A443" s="3">
        <v>48</v>
      </c>
      <c r="B443" s="3"/>
      <c r="C443" s="4" t="s">
        <v>10</v>
      </c>
      <c r="E443" s="3">
        <v>27.9</v>
      </c>
      <c r="F443" s="3">
        <v>11015.17</v>
      </c>
      <c r="H443" s="4" t="s">
        <v>8</v>
      </c>
    </row>
    <row r="444" spans="1:8" ht="14.5">
      <c r="A444" s="3">
        <v>48</v>
      </c>
      <c r="B444" s="3"/>
      <c r="C444" s="4" t="s">
        <v>10</v>
      </c>
      <c r="E444" s="3">
        <v>27.4</v>
      </c>
      <c r="F444" s="3">
        <v>9447.3799999999992</v>
      </c>
      <c r="H444" s="4" t="s">
        <v>8</v>
      </c>
    </row>
    <row r="445" spans="1:8" ht="14.5">
      <c r="A445" s="3">
        <v>48</v>
      </c>
      <c r="B445" s="3"/>
      <c r="C445" s="4" t="s">
        <v>10</v>
      </c>
      <c r="E445" s="3">
        <v>36.6</v>
      </c>
      <c r="F445" s="3">
        <v>8671.19</v>
      </c>
      <c r="H445" s="4" t="s">
        <v>8</v>
      </c>
    </row>
    <row r="446" spans="1:8" ht="14.5">
      <c r="A446" s="3">
        <v>48</v>
      </c>
      <c r="B446" s="3"/>
      <c r="C446" s="4" t="s">
        <v>10</v>
      </c>
      <c r="E446" s="3">
        <v>33.299999999999997</v>
      </c>
      <c r="F446" s="3">
        <v>8283.68</v>
      </c>
      <c r="H446" s="4" t="s">
        <v>8</v>
      </c>
    </row>
    <row r="447" spans="1:8" ht="14.5">
      <c r="A447" s="3">
        <v>47</v>
      </c>
      <c r="B447" s="3"/>
      <c r="C447" s="4" t="s">
        <v>10</v>
      </c>
      <c r="E447" s="3">
        <v>33.9</v>
      </c>
      <c r="F447" s="3">
        <v>10115.01</v>
      </c>
      <c r="H447" s="4" t="s">
        <v>8</v>
      </c>
    </row>
    <row r="448" spans="1:8" ht="14.5">
      <c r="A448" s="3">
        <v>47</v>
      </c>
      <c r="B448" s="3"/>
      <c r="C448" s="4" t="s">
        <v>7</v>
      </c>
      <c r="E448" s="3">
        <v>28.2</v>
      </c>
      <c r="F448" s="3">
        <v>10407.09</v>
      </c>
      <c r="H448" s="4" t="s">
        <v>8</v>
      </c>
    </row>
    <row r="449" spans="1:8" ht="14.5">
      <c r="A449" s="3">
        <v>47</v>
      </c>
      <c r="B449" s="3"/>
      <c r="C449" s="4" t="s">
        <v>7</v>
      </c>
      <c r="E449" s="3">
        <v>25.5</v>
      </c>
      <c r="F449" s="3">
        <v>9225.26</v>
      </c>
      <c r="H449" s="4" t="s">
        <v>8</v>
      </c>
    </row>
    <row r="450" spans="1:8" ht="14.5">
      <c r="A450" s="3">
        <v>47</v>
      </c>
      <c r="B450" s="3"/>
      <c r="C450" s="4" t="s">
        <v>10</v>
      </c>
      <c r="E450" s="3">
        <v>26.6</v>
      </c>
      <c r="F450" s="3">
        <v>9715.84</v>
      </c>
      <c r="H450" s="4" t="s">
        <v>8</v>
      </c>
    </row>
    <row r="451" spans="1:8" ht="14.5">
      <c r="A451" s="3">
        <v>47</v>
      </c>
      <c r="B451" s="3"/>
      <c r="C451" s="4" t="s">
        <v>7</v>
      </c>
      <c r="E451" s="3">
        <v>25.4</v>
      </c>
      <c r="F451" s="3">
        <v>21978.68</v>
      </c>
      <c r="H451" s="4" t="s">
        <v>11</v>
      </c>
    </row>
    <row r="452" spans="1:8" ht="14.5">
      <c r="A452" s="3">
        <v>47</v>
      </c>
      <c r="B452" s="3"/>
      <c r="C452" s="4" t="s">
        <v>7</v>
      </c>
      <c r="E452" s="3">
        <v>29.8</v>
      </c>
      <c r="F452" s="3">
        <v>9620.33</v>
      </c>
      <c r="H452" s="4" t="s">
        <v>8</v>
      </c>
    </row>
    <row r="453" spans="1:8" ht="14.5">
      <c r="A453" s="3">
        <v>47</v>
      </c>
      <c r="B453" s="3"/>
      <c r="C453" s="4" t="s">
        <v>7</v>
      </c>
      <c r="E453" s="3">
        <v>47.5</v>
      </c>
      <c r="F453" s="3">
        <v>8083.92</v>
      </c>
      <c r="H453" s="4" t="s">
        <v>8</v>
      </c>
    </row>
    <row r="454" spans="1:8" ht="14.5">
      <c r="A454" s="3">
        <v>47</v>
      </c>
      <c r="B454" s="3"/>
      <c r="C454" s="4" t="s">
        <v>10</v>
      </c>
      <c r="E454" s="3">
        <v>23.6</v>
      </c>
      <c r="F454" s="3">
        <v>8539.67</v>
      </c>
      <c r="H454" s="4" t="s">
        <v>8</v>
      </c>
    </row>
    <row r="455" spans="1:8" ht="14.5">
      <c r="A455" s="3">
        <v>47</v>
      </c>
      <c r="B455" s="3"/>
      <c r="C455" s="4" t="s">
        <v>10</v>
      </c>
      <c r="E455" s="3">
        <v>33.299999999999997</v>
      </c>
      <c r="F455" s="3">
        <v>20878.78</v>
      </c>
      <c r="H455" s="4" t="s">
        <v>8</v>
      </c>
    </row>
    <row r="456" spans="1:8" ht="14.5">
      <c r="A456" s="3">
        <v>47</v>
      </c>
      <c r="B456" s="3"/>
      <c r="C456" s="4" t="s">
        <v>7</v>
      </c>
      <c r="E456" s="3">
        <v>19.600000000000001</v>
      </c>
      <c r="F456" s="3">
        <v>8428.07</v>
      </c>
      <c r="H456" s="4" t="s">
        <v>8</v>
      </c>
    </row>
    <row r="457" spans="1:8" ht="14.5">
      <c r="A457" s="3">
        <v>47</v>
      </c>
      <c r="B457" s="3"/>
      <c r="C457" s="4" t="s">
        <v>10</v>
      </c>
      <c r="E457" s="3">
        <v>29.4</v>
      </c>
      <c r="F457" s="3">
        <v>8547.69</v>
      </c>
      <c r="H457" s="4" t="s">
        <v>8</v>
      </c>
    </row>
    <row r="458" spans="1:8" ht="14.5">
      <c r="A458" s="3">
        <v>47</v>
      </c>
      <c r="B458" s="3"/>
      <c r="C458" s="4" t="s">
        <v>10</v>
      </c>
      <c r="E458" s="3">
        <v>36.6</v>
      </c>
      <c r="F458" s="3">
        <v>42969.85</v>
      </c>
      <c r="H458" s="4" t="s">
        <v>11</v>
      </c>
    </row>
    <row r="459" spans="1:8" ht="14.5">
      <c r="A459" s="3">
        <v>47</v>
      </c>
      <c r="B459" s="3"/>
      <c r="C459" s="4" t="s">
        <v>10</v>
      </c>
      <c r="E459" s="3">
        <v>24.1</v>
      </c>
      <c r="F459" s="3">
        <v>26236.58</v>
      </c>
      <c r="H459" s="4" t="s">
        <v>8</v>
      </c>
    </row>
    <row r="460" spans="1:8" ht="14.5">
      <c r="A460" s="3">
        <v>47</v>
      </c>
      <c r="B460" s="3"/>
      <c r="C460" s="4" t="s">
        <v>7</v>
      </c>
      <c r="E460" s="3">
        <v>36.200000000000003</v>
      </c>
      <c r="F460" s="3">
        <v>8068.19</v>
      </c>
      <c r="H460" s="4" t="s">
        <v>8</v>
      </c>
    </row>
    <row r="461" spans="1:8" ht="14.5">
      <c r="A461" s="3">
        <v>47</v>
      </c>
      <c r="B461" s="3"/>
      <c r="C461" s="4" t="s">
        <v>10</v>
      </c>
      <c r="E461" s="3">
        <v>29.5</v>
      </c>
      <c r="F461" s="3">
        <v>8930.93</v>
      </c>
      <c r="H461" s="4" t="s">
        <v>8</v>
      </c>
    </row>
    <row r="462" spans="1:8" ht="14.5">
      <c r="A462" s="3">
        <v>47</v>
      </c>
      <c r="B462" s="3"/>
      <c r="C462" s="4" t="s">
        <v>10</v>
      </c>
      <c r="E462" s="3">
        <v>36</v>
      </c>
      <c r="F462" s="3">
        <v>8556.91</v>
      </c>
      <c r="H462" s="4" t="s">
        <v>8</v>
      </c>
    </row>
    <row r="463" spans="1:8" ht="14.5">
      <c r="A463" s="3">
        <v>47</v>
      </c>
      <c r="B463" s="3"/>
      <c r="C463" s="4" t="s">
        <v>10</v>
      </c>
      <c r="E463" s="3">
        <v>27.8</v>
      </c>
      <c r="F463" s="3">
        <v>23065.42</v>
      </c>
      <c r="H463" s="4" t="s">
        <v>11</v>
      </c>
    </row>
    <row r="464" spans="1:8" ht="14.5">
      <c r="A464" s="3">
        <v>47</v>
      </c>
      <c r="B464" s="3"/>
      <c r="C464" s="4" t="s">
        <v>7</v>
      </c>
      <c r="E464" s="3">
        <v>32.299999999999997</v>
      </c>
      <c r="F464" s="3">
        <v>8062.76</v>
      </c>
      <c r="H464" s="4" t="s">
        <v>8</v>
      </c>
    </row>
    <row r="465" spans="1:8" ht="14.5">
      <c r="A465" s="3">
        <v>47</v>
      </c>
      <c r="B465" s="3"/>
      <c r="C465" s="4" t="s">
        <v>10</v>
      </c>
      <c r="E465" s="3">
        <v>26.1</v>
      </c>
      <c r="F465" s="3">
        <v>23401.31</v>
      </c>
      <c r="H465" s="4" t="s">
        <v>11</v>
      </c>
    </row>
    <row r="466" spans="1:8" ht="14.5">
      <c r="A466" s="3">
        <v>47</v>
      </c>
      <c r="B466" s="3"/>
      <c r="C466" s="4" t="s">
        <v>7</v>
      </c>
      <c r="E466" s="3">
        <v>38.9</v>
      </c>
      <c r="F466" s="3">
        <v>44202.65</v>
      </c>
      <c r="H466" s="4" t="s">
        <v>11</v>
      </c>
    </row>
    <row r="467" spans="1:8" ht="14.5">
      <c r="A467" s="3">
        <v>47</v>
      </c>
      <c r="B467" s="3"/>
      <c r="C467" s="4" t="s">
        <v>7</v>
      </c>
      <c r="E467" s="3">
        <v>19.2</v>
      </c>
      <c r="F467" s="3">
        <v>8627.5400000000009</v>
      </c>
      <c r="H467" s="4" t="s">
        <v>8</v>
      </c>
    </row>
    <row r="468" spans="1:8" ht="14.5">
      <c r="A468" s="3">
        <v>47</v>
      </c>
      <c r="B468" s="3"/>
      <c r="C468" s="4" t="s">
        <v>7</v>
      </c>
      <c r="E468" s="3">
        <v>28.2</v>
      </c>
      <c r="F468" s="3">
        <v>24915.22</v>
      </c>
      <c r="H468" s="4" t="s">
        <v>11</v>
      </c>
    </row>
    <row r="469" spans="1:8" ht="14.5">
      <c r="A469" s="3">
        <v>47</v>
      </c>
      <c r="B469" s="3"/>
      <c r="C469" s="4" t="s">
        <v>7</v>
      </c>
      <c r="E469" s="3">
        <v>36.1</v>
      </c>
      <c r="F469" s="3">
        <v>42211.14</v>
      </c>
      <c r="H469" s="4" t="s">
        <v>11</v>
      </c>
    </row>
    <row r="470" spans="1:8" ht="14.5">
      <c r="A470" s="3">
        <v>47</v>
      </c>
      <c r="B470" s="3"/>
      <c r="C470" s="4" t="s">
        <v>10</v>
      </c>
      <c r="E470" s="3">
        <v>45.3</v>
      </c>
      <c r="F470" s="3">
        <v>8569.86</v>
      </c>
      <c r="H470" s="4" t="s">
        <v>8</v>
      </c>
    </row>
    <row r="471" spans="1:8" ht="14.5">
      <c r="A471" s="3">
        <v>47</v>
      </c>
      <c r="B471" s="3"/>
      <c r="C471" s="4" t="s">
        <v>7</v>
      </c>
      <c r="E471" s="3">
        <v>29.8</v>
      </c>
      <c r="F471" s="3">
        <v>25309.49</v>
      </c>
      <c r="H471" s="4" t="s">
        <v>11</v>
      </c>
    </row>
    <row r="472" spans="1:8" ht="14.5">
      <c r="A472" s="3">
        <v>47</v>
      </c>
      <c r="B472" s="3"/>
      <c r="C472" s="4" t="s">
        <v>10</v>
      </c>
      <c r="E472" s="3">
        <v>32</v>
      </c>
      <c r="F472" s="3">
        <v>8551.35</v>
      </c>
      <c r="H472" s="4" t="s">
        <v>8</v>
      </c>
    </row>
    <row r="473" spans="1:8" ht="14.5">
      <c r="A473" s="3">
        <v>47</v>
      </c>
      <c r="B473" s="3"/>
      <c r="C473" s="4" t="s">
        <v>7</v>
      </c>
      <c r="E473" s="3">
        <v>36.200000000000003</v>
      </c>
      <c r="F473" s="3">
        <v>41676.080000000002</v>
      </c>
      <c r="H473" s="4" t="s">
        <v>11</v>
      </c>
    </row>
    <row r="474" spans="1:8" ht="14.5">
      <c r="A474" s="3">
        <v>47</v>
      </c>
      <c r="B474" s="3"/>
      <c r="C474" s="4" t="s">
        <v>10</v>
      </c>
      <c r="E474" s="3">
        <v>27.6</v>
      </c>
      <c r="F474" s="3">
        <v>24535.7</v>
      </c>
      <c r="H474" s="4" t="s">
        <v>11</v>
      </c>
    </row>
    <row r="475" spans="1:8" ht="14.5">
      <c r="A475" s="3">
        <v>47</v>
      </c>
      <c r="B475" s="3"/>
      <c r="C475" s="4" t="s">
        <v>10</v>
      </c>
      <c r="E475" s="3">
        <v>24.3</v>
      </c>
      <c r="F475" s="3">
        <v>8534.67</v>
      </c>
      <c r="H475" s="4" t="s">
        <v>8</v>
      </c>
    </row>
    <row r="476" spans="1:8" ht="14.5">
      <c r="A476" s="3">
        <v>46</v>
      </c>
      <c r="B476" s="3"/>
      <c r="C476" s="4" t="s">
        <v>10</v>
      </c>
      <c r="E476" s="3">
        <v>33.4</v>
      </c>
      <c r="F476" s="3">
        <v>8240.59</v>
      </c>
      <c r="H476" s="4" t="s">
        <v>8</v>
      </c>
    </row>
    <row r="477" spans="1:8" ht="14.5">
      <c r="A477" s="3">
        <v>46</v>
      </c>
      <c r="B477" s="3"/>
      <c r="C477" s="4" t="s">
        <v>10</v>
      </c>
      <c r="E477" s="3">
        <v>27.7</v>
      </c>
      <c r="F477" s="3">
        <v>8026.67</v>
      </c>
      <c r="H477" s="4" t="s">
        <v>8</v>
      </c>
    </row>
    <row r="478" spans="1:8" ht="14.5">
      <c r="A478" s="3">
        <v>46</v>
      </c>
      <c r="B478" s="3"/>
      <c r="C478" s="4" t="s">
        <v>7</v>
      </c>
      <c r="E478" s="3">
        <v>30.5</v>
      </c>
      <c r="F478" s="3">
        <v>40720.550000000003</v>
      </c>
      <c r="H478" s="4" t="s">
        <v>11</v>
      </c>
    </row>
    <row r="479" spans="1:8" ht="14.5">
      <c r="A479" s="3">
        <v>46</v>
      </c>
      <c r="B479" s="3"/>
      <c r="C479" s="4" t="s">
        <v>10</v>
      </c>
      <c r="E479" s="3">
        <v>28.9</v>
      </c>
      <c r="F479" s="3">
        <v>8823.2800000000007</v>
      </c>
      <c r="H479" s="4" t="s">
        <v>8</v>
      </c>
    </row>
    <row r="480" spans="1:8" ht="14.5">
      <c r="A480" s="3">
        <v>46</v>
      </c>
      <c r="B480" s="3"/>
      <c r="C480" s="4" t="s">
        <v>7</v>
      </c>
      <c r="E480" s="3">
        <v>22.3</v>
      </c>
      <c r="F480" s="3">
        <v>7147.11</v>
      </c>
      <c r="H480" s="4" t="s">
        <v>8</v>
      </c>
    </row>
    <row r="481" spans="1:8" ht="14.5">
      <c r="A481" s="3">
        <v>46</v>
      </c>
      <c r="B481" s="3"/>
      <c r="C481" s="4" t="s">
        <v>7</v>
      </c>
      <c r="E481" s="3">
        <v>42.4</v>
      </c>
      <c r="F481" s="3">
        <v>46151.12</v>
      </c>
      <c r="H481" s="4" t="s">
        <v>11</v>
      </c>
    </row>
    <row r="482" spans="1:8" ht="14.5">
      <c r="A482" s="3">
        <v>46</v>
      </c>
      <c r="B482" s="3"/>
      <c r="C482" s="4" t="s">
        <v>7</v>
      </c>
      <c r="E482" s="3">
        <v>26.6</v>
      </c>
      <c r="F482" s="3">
        <v>7742.11</v>
      </c>
      <c r="H482" s="4" t="s">
        <v>8</v>
      </c>
    </row>
    <row r="483" spans="1:8" ht="14.5">
      <c r="A483" s="3">
        <v>46</v>
      </c>
      <c r="B483" s="3"/>
      <c r="C483" s="4" t="s">
        <v>10</v>
      </c>
      <c r="E483" s="3">
        <v>48.1</v>
      </c>
      <c r="F483" s="3">
        <v>9432.93</v>
      </c>
      <c r="H483" s="4" t="s">
        <v>8</v>
      </c>
    </row>
    <row r="484" spans="1:8" ht="14.5">
      <c r="A484" s="3">
        <v>46</v>
      </c>
      <c r="B484" s="3"/>
      <c r="C484" s="4" t="s">
        <v>10</v>
      </c>
      <c r="E484" s="3">
        <v>27.7</v>
      </c>
      <c r="F484" s="3">
        <v>8232.64</v>
      </c>
      <c r="H484" s="4" t="s">
        <v>8</v>
      </c>
    </row>
    <row r="485" spans="1:8" ht="14.5">
      <c r="A485" s="3">
        <v>46</v>
      </c>
      <c r="B485" s="3"/>
      <c r="C485" s="4" t="s">
        <v>7</v>
      </c>
      <c r="E485" s="3">
        <v>33.299999999999997</v>
      </c>
      <c r="F485" s="3">
        <v>8334.4599999999991</v>
      </c>
      <c r="H485" s="4" t="s">
        <v>8</v>
      </c>
    </row>
    <row r="486" spans="1:8" ht="14.5">
      <c r="A486" s="3">
        <v>46</v>
      </c>
      <c r="B486" s="3"/>
      <c r="C486" s="4" t="s">
        <v>7</v>
      </c>
      <c r="E486" s="3">
        <v>27.6</v>
      </c>
      <c r="F486" s="3">
        <v>24603.05</v>
      </c>
      <c r="H486" s="4" t="s">
        <v>8</v>
      </c>
    </row>
    <row r="487" spans="1:8" ht="14.5">
      <c r="A487" s="3">
        <v>46</v>
      </c>
      <c r="B487" s="3"/>
      <c r="C487" s="4" t="s">
        <v>7</v>
      </c>
      <c r="E487" s="3">
        <v>43.9</v>
      </c>
      <c r="F487" s="3">
        <v>8944.1200000000008</v>
      </c>
      <c r="H487" s="4" t="s">
        <v>8</v>
      </c>
    </row>
    <row r="488" spans="1:8" ht="14.5">
      <c r="A488" s="3">
        <v>46</v>
      </c>
      <c r="B488" s="3"/>
      <c r="C488" s="4" t="s">
        <v>10</v>
      </c>
      <c r="E488" s="3">
        <v>32.299999999999997</v>
      </c>
      <c r="F488" s="3">
        <v>9411.01</v>
      </c>
      <c r="H488" s="4" t="s">
        <v>8</v>
      </c>
    </row>
    <row r="489" spans="1:8" ht="14.5">
      <c r="A489" s="3">
        <v>46</v>
      </c>
      <c r="B489" s="3"/>
      <c r="C489" s="4" t="s">
        <v>7</v>
      </c>
      <c r="E489" s="3">
        <v>19.899999999999999</v>
      </c>
      <c r="F489" s="3">
        <v>7526.71</v>
      </c>
      <c r="H489" s="4" t="s">
        <v>8</v>
      </c>
    </row>
    <row r="490" spans="1:8" ht="14.5">
      <c r="A490" s="3">
        <v>46</v>
      </c>
      <c r="B490" s="3"/>
      <c r="C490" s="4" t="s">
        <v>7</v>
      </c>
      <c r="E490" s="3">
        <v>39.4</v>
      </c>
      <c r="F490" s="3">
        <v>8342.91</v>
      </c>
      <c r="H490" s="4" t="s">
        <v>8</v>
      </c>
    </row>
    <row r="491" spans="1:8" ht="14.5">
      <c r="A491" s="3">
        <v>46</v>
      </c>
      <c r="B491" s="3"/>
      <c r="C491" s="4" t="s">
        <v>10</v>
      </c>
      <c r="E491" s="3">
        <v>30.2</v>
      </c>
      <c r="F491" s="3">
        <v>8825.09</v>
      </c>
      <c r="H491" s="4" t="s">
        <v>8</v>
      </c>
    </row>
    <row r="492" spans="1:8" ht="14.5">
      <c r="A492" s="3">
        <v>46</v>
      </c>
      <c r="B492" s="3"/>
      <c r="C492" s="4" t="s">
        <v>10</v>
      </c>
      <c r="E492" s="3">
        <v>28.1</v>
      </c>
      <c r="F492" s="3">
        <v>8233.1</v>
      </c>
      <c r="H492" s="4" t="s">
        <v>8</v>
      </c>
    </row>
    <row r="493" spans="1:8" ht="14.5">
      <c r="A493" s="3">
        <v>46</v>
      </c>
      <c r="B493" s="3"/>
      <c r="C493" s="4" t="s">
        <v>7</v>
      </c>
      <c r="E493" s="3">
        <v>33.4</v>
      </c>
      <c r="F493" s="3">
        <v>8334.59</v>
      </c>
      <c r="H493" s="4" t="s">
        <v>8</v>
      </c>
    </row>
    <row r="494" spans="1:8" ht="14.5">
      <c r="A494" s="3">
        <v>46</v>
      </c>
      <c r="B494" s="3"/>
      <c r="C494" s="4" t="s">
        <v>10</v>
      </c>
      <c r="E494" s="3">
        <v>20</v>
      </c>
      <c r="F494" s="3">
        <v>9193.84</v>
      </c>
      <c r="H494" s="4" t="s">
        <v>8</v>
      </c>
    </row>
    <row r="495" spans="1:8" ht="14.5">
      <c r="A495" s="3">
        <v>46</v>
      </c>
      <c r="B495" s="3"/>
      <c r="C495" s="4" t="s">
        <v>10</v>
      </c>
      <c r="E495" s="3">
        <v>33.700000000000003</v>
      </c>
      <c r="F495" s="3">
        <v>8823.99</v>
      </c>
      <c r="H495" s="4" t="s">
        <v>8</v>
      </c>
    </row>
    <row r="496" spans="1:8" ht="14.5">
      <c r="A496" s="3">
        <v>46</v>
      </c>
      <c r="B496" s="3"/>
      <c r="C496" s="4" t="s">
        <v>10</v>
      </c>
      <c r="E496" s="3">
        <v>30.8</v>
      </c>
      <c r="F496" s="3">
        <v>9414.92</v>
      </c>
      <c r="H496" s="4" t="s">
        <v>8</v>
      </c>
    </row>
    <row r="497" spans="1:8" ht="14.5">
      <c r="A497" s="3">
        <v>46</v>
      </c>
      <c r="B497" s="3"/>
      <c r="C497" s="4" t="s">
        <v>10</v>
      </c>
      <c r="E497" s="3">
        <v>35.5</v>
      </c>
      <c r="F497" s="3">
        <v>42111.66</v>
      </c>
      <c r="H497" s="4" t="s">
        <v>11</v>
      </c>
    </row>
    <row r="498" spans="1:8" ht="14.5">
      <c r="A498" s="3">
        <v>46</v>
      </c>
      <c r="B498" s="3"/>
      <c r="C498" s="4" t="s">
        <v>7</v>
      </c>
      <c r="E498" s="3">
        <v>25.8</v>
      </c>
      <c r="F498" s="3">
        <v>10096.969999999999</v>
      </c>
      <c r="H498" s="4" t="s">
        <v>8</v>
      </c>
    </row>
    <row r="499" spans="1:8" ht="14.5">
      <c r="A499" s="3">
        <v>46</v>
      </c>
      <c r="B499" s="3"/>
      <c r="C499" s="4" t="s">
        <v>7</v>
      </c>
      <c r="E499" s="3">
        <v>24.8</v>
      </c>
      <c r="F499" s="3">
        <v>9500.57</v>
      </c>
      <c r="H499" s="4" t="s">
        <v>8</v>
      </c>
    </row>
    <row r="500" spans="1:8" ht="14.5">
      <c r="A500" s="3">
        <v>46</v>
      </c>
      <c r="B500" s="3"/>
      <c r="C500" s="4" t="s">
        <v>10</v>
      </c>
      <c r="E500" s="3">
        <v>23.7</v>
      </c>
      <c r="F500" s="3">
        <v>21677.279999999999</v>
      </c>
      <c r="H500" s="4" t="s">
        <v>11</v>
      </c>
    </row>
    <row r="501" spans="1:8" ht="14.5">
      <c r="A501" s="3">
        <v>46</v>
      </c>
      <c r="B501" s="3"/>
      <c r="C501" s="4" t="s">
        <v>7</v>
      </c>
      <c r="E501" s="3">
        <v>38.200000000000003</v>
      </c>
      <c r="F501" s="3">
        <v>8347.16</v>
      </c>
      <c r="H501" s="4" t="s">
        <v>8</v>
      </c>
    </row>
    <row r="502" spans="1:8" ht="14.5">
      <c r="A502" s="3">
        <v>46</v>
      </c>
      <c r="B502" s="3"/>
      <c r="C502" s="4" t="s">
        <v>7</v>
      </c>
      <c r="E502" s="3">
        <v>40.4</v>
      </c>
      <c r="F502" s="3">
        <v>8733.23</v>
      </c>
      <c r="H502" s="4" t="s">
        <v>8</v>
      </c>
    </row>
    <row r="503" spans="1:8" ht="14.5">
      <c r="A503" s="3">
        <v>46</v>
      </c>
      <c r="B503" s="3"/>
      <c r="C503" s="4" t="s">
        <v>10</v>
      </c>
      <c r="E503" s="3">
        <v>34.6</v>
      </c>
      <c r="F503" s="3">
        <v>41661.599999999999</v>
      </c>
      <c r="H503" s="4" t="s">
        <v>11</v>
      </c>
    </row>
    <row r="504" spans="1:8" ht="14.5">
      <c r="A504" s="3">
        <v>46</v>
      </c>
      <c r="B504" s="3"/>
      <c r="C504" s="4" t="s">
        <v>7</v>
      </c>
      <c r="E504" s="3">
        <v>25.7</v>
      </c>
      <c r="F504" s="3">
        <v>9301.89</v>
      </c>
      <c r="H504" s="4" t="s">
        <v>8</v>
      </c>
    </row>
    <row r="505" spans="1:8" ht="14.5">
      <c r="A505" s="3">
        <v>45</v>
      </c>
      <c r="B505" s="3"/>
      <c r="C505" s="4" t="s">
        <v>10</v>
      </c>
      <c r="E505" s="3">
        <v>38.299999999999997</v>
      </c>
      <c r="F505" s="3">
        <v>7935.29</v>
      </c>
      <c r="H505" s="4" t="s">
        <v>8</v>
      </c>
    </row>
    <row r="506" spans="1:8" ht="14.5">
      <c r="A506" s="3">
        <v>45</v>
      </c>
      <c r="B506" s="3"/>
      <c r="C506" s="4" t="s">
        <v>7</v>
      </c>
      <c r="E506" s="3">
        <v>22.9</v>
      </c>
      <c r="F506" s="3">
        <v>21098.55</v>
      </c>
      <c r="H506" s="4" t="s">
        <v>11</v>
      </c>
    </row>
    <row r="507" spans="1:8" ht="14.5">
      <c r="A507" s="3">
        <v>45</v>
      </c>
      <c r="B507" s="3"/>
      <c r="C507" s="4" t="s">
        <v>10</v>
      </c>
      <c r="E507" s="3">
        <v>28.6</v>
      </c>
      <c r="F507" s="3">
        <v>8516.83</v>
      </c>
      <c r="H507" s="4" t="s">
        <v>8</v>
      </c>
    </row>
    <row r="508" spans="1:8" ht="14.5">
      <c r="A508" s="3">
        <v>45</v>
      </c>
      <c r="B508" s="3"/>
      <c r="C508" s="4" t="s">
        <v>10</v>
      </c>
      <c r="E508" s="3">
        <v>30.9</v>
      </c>
      <c r="F508" s="3">
        <v>8520.0300000000007</v>
      </c>
      <c r="H508" s="4" t="s">
        <v>8</v>
      </c>
    </row>
    <row r="509" spans="1:8" ht="14.5">
      <c r="A509" s="3">
        <v>45</v>
      </c>
      <c r="B509" s="3"/>
      <c r="C509" s="4" t="s">
        <v>7</v>
      </c>
      <c r="E509" s="3">
        <v>30.2</v>
      </c>
      <c r="F509" s="3">
        <v>7441.05</v>
      </c>
      <c r="H509" s="4" t="s">
        <v>8</v>
      </c>
    </row>
    <row r="510" spans="1:8" ht="14.5">
      <c r="A510" s="3">
        <v>45</v>
      </c>
      <c r="B510" s="3"/>
      <c r="C510" s="4" t="s">
        <v>7</v>
      </c>
      <c r="E510" s="3">
        <v>36.5</v>
      </c>
      <c r="F510" s="3">
        <v>42760.5</v>
      </c>
      <c r="H510" s="4" t="s">
        <v>11</v>
      </c>
    </row>
    <row r="511" spans="1:8" ht="14.5">
      <c r="A511" s="3">
        <v>45</v>
      </c>
      <c r="B511" s="3"/>
      <c r="C511" s="4" t="s">
        <v>7</v>
      </c>
      <c r="E511" s="3">
        <v>24.3</v>
      </c>
      <c r="F511" s="3">
        <v>9788.8700000000008</v>
      </c>
      <c r="H511" s="4" t="s">
        <v>8</v>
      </c>
    </row>
    <row r="512" spans="1:8" ht="14.5">
      <c r="A512" s="3">
        <v>45</v>
      </c>
      <c r="B512" s="3"/>
      <c r="C512" s="4" t="s">
        <v>10</v>
      </c>
      <c r="E512" s="3">
        <v>33.1</v>
      </c>
      <c r="F512" s="3">
        <v>7345.08</v>
      </c>
      <c r="H512" s="4" t="s">
        <v>8</v>
      </c>
    </row>
    <row r="513" spans="1:8" ht="14.5">
      <c r="A513" s="3">
        <v>45</v>
      </c>
      <c r="B513" s="3"/>
      <c r="C513" s="4" t="s">
        <v>7</v>
      </c>
      <c r="E513" s="3">
        <v>28.7</v>
      </c>
      <c r="F513" s="3">
        <v>8027.97</v>
      </c>
      <c r="H513" s="4" t="s">
        <v>8</v>
      </c>
    </row>
    <row r="514" spans="1:8" ht="14.5">
      <c r="A514" s="3">
        <v>45</v>
      </c>
      <c r="B514" s="3"/>
      <c r="C514" s="4" t="s">
        <v>7</v>
      </c>
      <c r="E514" s="3">
        <v>30.5</v>
      </c>
      <c r="F514" s="3">
        <v>8413.4599999999991</v>
      </c>
      <c r="H514" s="4" t="s">
        <v>8</v>
      </c>
    </row>
    <row r="515" spans="1:8" ht="14.5">
      <c r="A515" s="3">
        <v>45</v>
      </c>
      <c r="B515" s="3"/>
      <c r="C515" s="4" t="s">
        <v>10</v>
      </c>
      <c r="E515" s="3">
        <v>36.299999999999997</v>
      </c>
      <c r="F515" s="3">
        <v>8527.5300000000007</v>
      </c>
      <c r="H515" s="4" t="s">
        <v>8</v>
      </c>
    </row>
    <row r="516" spans="1:8" ht="14.5">
      <c r="A516" s="3">
        <v>45</v>
      </c>
      <c r="B516" s="3"/>
      <c r="C516" s="4" t="s">
        <v>7</v>
      </c>
      <c r="E516" s="3">
        <v>21.4</v>
      </c>
      <c r="F516" s="3">
        <v>7222.79</v>
      </c>
      <c r="H516" s="4" t="s">
        <v>8</v>
      </c>
    </row>
    <row r="517" spans="1:8" ht="14.5">
      <c r="A517" s="3">
        <v>45</v>
      </c>
      <c r="B517" s="3"/>
      <c r="C517" s="4" t="s">
        <v>7</v>
      </c>
      <c r="E517" s="3">
        <v>24</v>
      </c>
      <c r="F517" s="3">
        <v>8604.48</v>
      </c>
      <c r="H517" s="4" t="s">
        <v>8</v>
      </c>
    </row>
    <row r="518" spans="1:8" ht="14.5">
      <c r="A518" s="3">
        <v>45</v>
      </c>
      <c r="B518" s="3"/>
      <c r="C518" s="4" t="s">
        <v>10</v>
      </c>
      <c r="E518" s="3">
        <v>25.2</v>
      </c>
      <c r="F518" s="3">
        <v>9095.07</v>
      </c>
      <c r="H518" s="4" t="s">
        <v>8</v>
      </c>
    </row>
    <row r="519" spans="1:8" ht="14.5">
      <c r="A519" s="3">
        <v>45</v>
      </c>
      <c r="B519" s="3"/>
      <c r="C519" s="4" t="s">
        <v>7</v>
      </c>
      <c r="E519" s="3">
        <v>39.799999999999997</v>
      </c>
      <c r="F519" s="3">
        <v>7448.4</v>
      </c>
      <c r="H519" s="4" t="s">
        <v>8</v>
      </c>
    </row>
    <row r="520" spans="1:8" ht="14.5">
      <c r="A520" s="3">
        <v>45</v>
      </c>
      <c r="B520" s="3"/>
      <c r="C520" s="4" t="s">
        <v>10</v>
      </c>
      <c r="E520" s="3">
        <v>35.799999999999997</v>
      </c>
      <c r="F520" s="3">
        <v>7731.86</v>
      </c>
      <c r="H520" s="4" t="s">
        <v>8</v>
      </c>
    </row>
    <row r="521" spans="1:8" ht="14.5">
      <c r="A521" s="3">
        <v>45</v>
      </c>
      <c r="B521" s="3"/>
      <c r="C521" s="4" t="s">
        <v>7</v>
      </c>
      <c r="E521" s="3">
        <v>33.700000000000003</v>
      </c>
      <c r="F521" s="3">
        <v>7445.92</v>
      </c>
      <c r="H521" s="4" t="s">
        <v>8</v>
      </c>
    </row>
    <row r="522" spans="1:8" ht="14.5">
      <c r="A522" s="3">
        <v>45</v>
      </c>
      <c r="B522" s="3"/>
      <c r="C522" s="4" t="s">
        <v>7</v>
      </c>
      <c r="E522" s="3">
        <v>22.9</v>
      </c>
      <c r="F522" s="3">
        <v>35069.370000000003</v>
      </c>
      <c r="H522" s="4" t="s">
        <v>11</v>
      </c>
    </row>
    <row r="523" spans="1:8" ht="14.5">
      <c r="A523" s="3">
        <v>45</v>
      </c>
      <c r="B523" s="3"/>
      <c r="C523" s="4" t="s">
        <v>10</v>
      </c>
      <c r="E523" s="3">
        <v>35.299999999999997</v>
      </c>
      <c r="F523" s="3">
        <v>7348.14</v>
      </c>
      <c r="H523" s="4" t="s">
        <v>8</v>
      </c>
    </row>
    <row r="524" spans="1:8" ht="14.5">
      <c r="A524" s="3">
        <v>45</v>
      </c>
      <c r="B524" s="3"/>
      <c r="C524" s="4" t="s">
        <v>10</v>
      </c>
      <c r="E524" s="3">
        <v>40</v>
      </c>
      <c r="F524" s="3">
        <v>9704.67</v>
      </c>
      <c r="H524" s="4" t="s">
        <v>8</v>
      </c>
    </row>
    <row r="525" spans="1:8" ht="14.5">
      <c r="A525" s="3">
        <v>45</v>
      </c>
      <c r="B525" s="3"/>
      <c r="C525" s="4" t="s">
        <v>10</v>
      </c>
      <c r="E525" s="3">
        <v>27.6</v>
      </c>
      <c r="F525" s="3">
        <v>28340.19</v>
      </c>
      <c r="H525" s="4" t="s">
        <v>8</v>
      </c>
    </row>
    <row r="526" spans="1:8" ht="14.5">
      <c r="A526" s="3">
        <v>45</v>
      </c>
      <c r="B526" s="3"/>
      <c r="C526" s="4" t="s">
        <v>10</v>
      </c>
      <c r="E526" s="3">
        <v>30.5</v>
      </c>
      <c r="F526" s="3">
        <v>39725.519999999997</v>
      </c>
      <c r="H526" s="4" t="s">
        <v>11</v>
      </c>
    </row>
    <row r="527" spans="1:8" ht="14.5">
      <c r="A527" s="3">
        <v>45</v>
      </c>
      <c r="B527" s="3"/>
      <c r="C527" s="4" t="s">
        <v>10</v>
      </c>
      <c r="E527" s="3">
        <v>31.8</v>
      </c>
      <c r="F527" s="3">
        <v>17929.3</v>
      </c>
      <c r="H527" s="4" t="s">
        <v>8</v>
      </c>
    </row>
    <row r="528" spans="1:8" ht="14.5">
      <c r="A528" s="3">
        <v>45</v>
      </c>
      <c r="B528" s="3"/>
      <c r="C528" s="4" t="s">
        <v>7</v>
      </c>
      <c r="E528" s="3">
        <v>20.399999999999999</v>
      </c>
      <c r="F528" s="3">
        <v>8605.36</v>
      </c>
      <c r="H528" s="4" t="s">
        <v>8</v>
      </c>
    </row>
    <row r="529" spans="1:8" ht="14.5">
      <c r="A529" s="3">
        <v>45</v>
      </c>
      <c r="B529" s="3"/>
      <c r="C529" s="4" t="s">
        <v>7</v>
      </c>
      <c r="E529" s="3">
        <v>23.6</v>
      </c>
      <c r="F529" s="3">
        <v>8603.82</v>
      </c>
      <c r="H529" s="4" t="s">
        <v>8</v>
      </c>
    </row>
    <row r="530" spans="1:8" ht="14.5">
      <c r="A530" s="3">
        <v>45</v>
      </c>
      <c r="B530" s="3"/>
      <c r="C530" s="4" t="s">
        <v>10</v>
      </c>
      <c r="E530" s="3">
        <v>27.8</v>
      </c>
      <c r="F530" s="3">
        <v>8515.76</v>
      </c>
      <c r="H530" s="4" t="s">
        <v>8</v>
      </c>
    </row>
    <row r="531" spans="1:8" ht="14.5">
      <c r="A531" s="3">
        <v>45</v>
      </c>
      <c r="B531" s="3"/>
      <c r="C531" s="4" t="s">
        <v>10</v>
      </c>
      <c r="E531" s="3">
        <v>25.7</v>
      </c>
      <c r="F531" s="3">
        <v>9101.7999999999993</v>
      </c>
      <c r="H531" s="4" t="s">
        <v>8</v>
      </c>
    </row>
    <row r="532" spans="1:8" ht="14.5">
      <c r="A532" s="3">
        <v>45</v>
      </c>
      <c r="B532" s="3"/>
      <c r="C532" s="4" t="s">
        <v>7</v>
      </c>
      <c r="E532" s="3">
        <v>27.5</v>
      </c>
      <c r="F532" s="3">
        <v>8615.2999999999993</v>
      </c>
      <c r="H532" s="4" t="s">
        <v>8</v>
      </c>
    </row>
    <row r="533" spans="1:8" ht="14.5">
      <c r="A533" s="3">
        <v>45</v>
      </c>
      <c r="B533" s="3"/>
      <c r="C533" s="4" t="s">
        <v>7</v>
      </c>
      <c r="E533" s="3">
        <v>30.4</v>
      </c>
      <c r="F533" s="3">
        <v>62592.87</v>
      </c>
      <c r="H533" s="4" t="s">
        <v>11</v>
      </c>
    </row>
    <row r="534" spans="1:8" ht="14.5">
      <c r="A534" s="3">
        <v>44</v>
      </c>
      <c r="B534" s="3"/>
      <c r="C534" s="4" t="s">
        <v>7</v>
      </c>
      <c r="E534" s="3">
        <v>27.4</v>
      </c>
      <c r="F534" s="3">
        <v>7726.85</v>
      </c>
      <c r="H534" s="4" t="s">
        <v>8</v>
      </c>
    </row>
    <row r="535" spans="1:8" ht="14.5">
      <c r="A535" s="3">
        <v>44</v>
      </c>
      <c r="B535" s="3"/>
      <c r="C535" s="4" t="s">
        <v>7</v>
      </c>
      <c r="E535" s="3">
        <v>37.1</v>
      </c>
      <c r="F535" s="3">
        <v>7740.34</v>
      </c>
      <c r="H535" s="4" t="s">
        <v>8</v>
      </c>
    </row>
    <row r="536" spans="1:8" ht="14.5">
      <c r="A536" s="3">
        <v>44</v>
      </c>
      <c r="B536" s="3"/>
      <c r="C536" s="4" t="s">
        <v>7</v>
      </c>
      <c r="E536" s="3">
        <v>31.4</v>
      </c>
      <c r="F536" s="3">
        <v>39556.49</v>
      </c>
      <c r="H536" s="4" t="s">
        <v>11</v>
      </c>
    </row>
    <row r="537" spans="1:8" ht="14.5">
      <c r="A537" s="3">
        <v>44</v>
      </c>
      <c r="B537" s="3"/>
      <c r="C537" s="4" t="s">
        <v>7</v>
      </c>
      <c r="E537" s="3">
        <v>39.5</v>
      </c>
      <c r="F537" s="3">
        <v>6948.7</v>
      </c>
      <c r="H537" s="4" t="s">
        <v>8</v>
      </c>
    </row>
    <row r="538" spans="1:8" ht="14.5">
      <c r="A538" s="3">
        <v>44</v>
      </c>
      <c r="B538" s="3"/>
      <c r="C538" s="4" t="s">
        <v>10</v>
      </c>
      <c r="E538" s="3">
        <v>26.4</v>
      </c>
      <c r="F538" s="3">
        <v>7419.48</v>
      </c>
      <c r="H538" s="4" t="s">
        <v>8</v>
      </c>
    </row>
    <row r="539" spans="1:8" ht="14.5">
      <c r="A539" s="3">
        <v>44</v>
      </c>
      <c r="B539" s="3"/>
      <c r="C539" s="4" t="s">
        <v>7</v>
      </c>
      <c r="E539" s="3">
        <v>30.7</v>
      </c>
      <c r="F539" s="3">
        <v>7731.43</v>
      </c>
      <c r="H539" s="4" t="s">
        <v>8</v>
      </c>
    </row>
    <row r="540" spans="1:8" ht="14.5">
      <c r="A540" s="3">
        <v>44</v>
      </c>
      <c r="B540" s="3"/>
      <c r="C540" s="4" t="s">
        <v>7</v>
      </c>
      <c r="E540" s="3">
        <v>38.1</v>
      </c>
      <c r="F540" s="3">
        <v>7152.67</v>
      </c>
      <c r="H540" s="4" t="s">
        <v>8</v>
      </c>
    </row>
    <row r="541" spans="1:8" ht="14.5">
      <c r="A541" s="3">
        <v>44</v>
      </c>
      <c r="B541" s="3"/>
      <c r="C541" s="4" t="s">
        <v>10</v>
      </c>
      <c r="E541" s="3">
        <v>27.6</v>
      </c>
      <c r="F541" s="3">
        <v>7421.19</v>
      </c>
      <c r="H541" s="4" t="s">
        <v>8</v>
      </c>
    </row>
    <row r="542" spans="1:8" ht="14.5">
      <c r="A542" s="3">
        <v>44</v>
      </c>
      <c r="B542" s="3"/>
      <c r="C542" s="4" t="s">
        <v>7</v>
      </c>
      <c r="E542" s="3">
        <v>32</v>
      </c>
      <c r="F542" s="3">
        <v>8116.27</v>
      </c>
      <c r="H542" s="4" t="s">
        <v>8</v>
      </c>
    </row>
    <row r="543" spans="1:8" ht="14.5">
      <c r="A543" s="3">
        <v>44</v>
      </c>
      <c r="B543" s="3"/>
      <c r="C543" s="4" t="s">
        <v>7</v>
      </c>
      <c r="E543" s="3">
        <v>22.1</v>
      </c>
      <c r="F543" s="3">
        <v>8302.5400000000009</v>
      </c>
      <c r="H543" s="4" t="s">
        <v>8</v>
      </c>
    </row>
    <row r="544" spans="1:8" ht="14.5">
      <c r="A544" s="3">
        <v>44</v>
      </c>
      <c r="B544" s="3"/>
      <c r="C544" s="4" t="s">
        <v>10</v>
      </c>
      <c r="E544" s="3">
        <v>20.2</v>
      </c>
      <c r="F544" s="3">
        <v>19594.810000000001</v>
      </c>
      <c r="H544" s="4" t="s">
        <v>11</v>
      </c>
    </row>
    <row r="545" spans="1:8" ht="14.5">
      <c r="A545" s="3">
        <v>44</v>
      </c>
      <c r="B545" s="3"/>
      <c r="C545" s="4" t="s">
        <v>10</v>
      </c>
      <c r="E545" s="3">
        <v>38.1</v>
      </c>
      <c r="F545" s="3">
        <v>48885.14</v>
      </c>
      <c r="H545" s="4" t="s">
        <v>11</v>
      </c>
    </row>
    <row r="546" spans="1:8" ht="14.5">
      <c r="A546" s="3">
        <v>44</v>
      </c>
      <c r="B546" s="3"/>
      <c r="C546" s="4" t="s">
        <v>10</v>
      </c>
      <c r="E546" s="3">
        <v>24</v>
      </c>
      <c r="F546" s="3">
        <v>8211.1</v>
      </c>
      <c r="H546" s="4" t="s">
        <v>8</v>
      </c>
    </row>
    <row r="547" spans="1:8" ht="14.5">
      <c r="A547" s="3">
        <v>44</v>
      </c>
      <c r="B547" s="3"/>
      <c r="C547" s="4" t="s">
        <v>10</v>
      </c>
      <c r="E547" s="3">
        <v>39</v>
      </c>
      <c r="F547" s="3">
        <v>42983.46</v>
      </c>
      <c r="H547" s="4" t="s">
        <v>11</v>
      </c>
    </row>
    <row r="548" spans="1:8" ht="14.5">
      <c r="A548" s="3">
        <v>44</v>
      </c>
      <c r="B548" s="3"/>
      <c r="C548" s="4" t="s">
        <v>10</v>
      </c>
      <c r="E548" s="3">
        <v>43.9</v>
      </c>
      <c r="F548" s="3">
        <v>46200.99</v>
      </c>
      <c r="H548" s="4" t="s">
        <v>11</v>
      </c>
    </row>
    <row r="549" spans="1:8" ht="14.5">
      <c r="A549" s="3">
        <v>44</v>
      </c>
      <c r="B549" s="3"/>
      <c r="C549" s="4" t="s">
        <v>10</v>
      </c>
      <c r="E549" s="3">
        <v>36.5</v>
      </c>
      <c r="F549" s="3">
        <v>12797.21</v>
      </c>
      <c r="H549" s="4" t="s">
        <v>8</v>
      </c>
    </row>
    <row r="550" spans="1:8" ht="14.5">
      <c r="A550" s="3">
        <v>44</v>
      </c>
      <c r="B550" s="3"/>
      <c r="C550" s="4" t="s">
        <v>10</v>
      </c>
      <c r="E550" s="3">
        <v>29.8</v>
      </c>
      <c r="F550" s="3">
        <v>8219.2000000000007</v>
      </c>
      <c r="H550" s="4" t="s">
        <v>8</v>
      </c>
    </row>
    <row r="551" spans="1:8" ht="14.5">
      <c r="A551" s="3">
        <v>44</v>
      </c>
      <c r="B551" s="3"/>
      <c r="C551" s="4" t="s">
        <v>7</v>
      </c>
      <c r="E551" s="3">
        <v>21.9</v>
      </c>
      <c r="F551" s="3">
        <v>8891.14</v>
      </c>
      <c r="H551" s="4" t="s">
        <v>8</v>
      </c>
    </row>
    <row r="552" spans="1:8" ht="14.5">
      <c r="A552" s="3">
        <v>44</v>
      </c>
      <c r="B552" s="3"/>
      <c r="C552" s="4" t="s">
        <v>10</v>
      </c>
      <c r="E552" s="3">
        <v>32.299999999999997</v>
      </c>
      <c r="F552" s="3">
        <v>7633.72</v>
      </c>
      <c r="H552" s="4" t="s">
        <v>8</v>
      </c>
    </row>
    <row r="553" spans="1:8" ht="14.5">
      <c r="A553" s="3">
        <v>44</v>
      </c>
      <c r="B553" s="3"/>
      <c r="C553" s="4" t="s">
        <v>10</v>
      </c>
      <c r="E553" s="3">
        <v>27.5</v>
      </c>
      <c r="F553" s="3">
        <v>7626.99</v>
      </c>
      <c r="H553" s="4" t="s">
        <v>8</v>
      </c>
    </row>
    <row r="554" spans="1:8" ht="14.5">
      <c r="A554" s="3">
        <v>44</v>
      </c>
      <c r="B554" s="3"/>
      <c r="C554" s="4" t="s">
        <v>7</v>
      </c>
      <c r="E554" s="3">
        <v>29.7</v>
      </c>
      <c r="F554" s="3">
        <v>32108.66</v>
      </c>
      <c r="H554" s="4" t="s">
        <v>8</v>
      </c>
    </row>
    <row r="555" spans="1:8" ht="14.5">
      <c r="A555" s="3">
        <v>44</v>
      </c>
      <c r="B555" s="3"/>
      <c r="C555" s="4" t="s">
        <v>7</v>
      </c>
      <c r="E555" s="3">
        <v>30.2</v>
      </c>
      <c r="F555" s="3">
        <v>38998.550000000003</v>
      </c>
      <c r="H555" s="4" t="s">
        <v>11</v>
      </c>
    </row>
    <row r="556" spans="1:8" ht="14.5">
      <c r="A556" s="3">
        <v>44</v>
      </c>
      <c r="B556" s="3"/>
      <c r="C556" s="4" t="s">
        <v>7</v>
      </c>
      <c r="E556" s="3">
        <v>25.4</v>
      </c>
      <c r="F556" s="3">
        <v>7518.03</v>
      </c>
      <c r="H556" s="4" t="s">
        <v>8</v>
      </c>
    </row>
    <row r="557" spans="1:8" ht="14.5">
      <c r="A557" s="3">
        <v>44</v>
      </c>
      <c r="B557" s="3"/>
      <c r="C557" s="4" t="s">
        <v>10</v>
      </c>
      <c r="E557" s="3">
        <v>25.8</v>
      </c>
      <c r="F557" s="3">
        <v>7624.63</v>
      </c>
      <c r="H557" s="4" t="s">
        <v>8</v>
      </c>
    </row>
    <row r="558" spans="1:8" ht="14.5">
      <c r="A558" s="3">
        <v>44</v>
      </c>
      <c r="B558" s="3"/>
      <c r="C558" s="4" t="s">
        <v>10</v>
      </c>
      <c r="E558" s="3">
        <v>37</v>
      </c>
      <c r="F558" s="3">
        <v>8023.14</v>
      </c>
      <c r="H558" s="4" t="s">
        <v>8</v>
      </c>
    </row>
    <row r="559" spans="1:8" ht="14.5">
      <c r="A559" s="3">
        <v>44</v>
      </c>
      <c r="B559" s="3"/>
      <c r="C559" s="4" t="s">
        <v>10</v>
      </c>
      <c r="E559" s="3">
        <v>25</v>
      </c>
      <c r="F559" s="3">
        <v>7623.52</v>
      </c>
      <c r="H559" s="4" t="s">
        <v>8</v>
      </c>
    </row>
    <row r="560" spans="1:8" ht="14.5">
      <c r="A560" s="3">
        <v>44</v>
      </c>
      <c r="B560" s="3"/>
      <c r="C560" s="4" t="s">
        <v>7</v>
      </c>
      <c r="E560" s="3">
        <v>34.299999999999997</v>
      </c>
      <c r="F560" s="3">
        <v>7147.47</v>
      </c>
      <c r="H560" s="4" t="s">
        <v>8</v>
      </c>
    </row>
    <row r="561" spans="1:8" ht="14.5">
      <c r="A561" s="3">
        <v>43</v>
      </c>
      <c r="B561" s="3"/>
      <c r="C561" s="4" t="s">
        <v>7</v>
      </c>
      <c r="E561" s="3">
        <v>27.4</v>
      </c>
      <c r="F561" s="3">
        <v>8606.2199999999993</v>
      </c>
      <c r="H561" s="4" t="s">
        <v>8</v>
      </c>
    </row>
    <row r="562" spans="1:8" ht="14.5">
      <c r="A562" s="3">
        <v>43</v>
      </c>
      <c r="B562" s="3"/>
      <c r="C562" s="4" t="s">
        <v>7</v>
      </c>
      <c r="E562" s="3">
        <v>36</v>
      </c>
      <c r="F562" s="3">
        <v>42124.52</v>
      </c>
      <c r="H562" s="4" t="s">
        <v>11</v>
      </c>
    </row>
    <row r="563" spans="1:8" ht="14.5">
      <c r="A563" s="3">
        <v>43</v>
      </c>
      <c r="B563" s="3"/>
      <c r="C563" s="4" t="s">
        <v>10</v>
      </c>
      <c r="E563" s="3">
        <v>35.700000000000003</v>
      </c>
      <c r="F563" s="3">
        <v>19144.580000000002</v>
      </c>
      <c r="H563" s="4" t="s">
        <v>8</v>
      </c>
    </row>
    <row r="564" spans="1:8" ht="14.5">
      <c r="A564" s="3">
        <v>43</v>
      </c>
      <c r="B564" s="3"/>
      <c r="C564" s="4" t="s">
        <v>10</v>
      </c>
      <c r="E564" s="3">
        <v>34.4</v>
      </c>
      <c r="F564" s="3">
        <v>8522</v>
      </c>
      <c r="H564" s="4" t="s">
        <v>8</v>
      </c>
    </row>
    <row r="565" spans="1:8" ht="14.5">
      <c r="A565" s="3">
        <v>43</v>
      </c>
      <c r="B565" s="3"/>
      <c r="C565" s="4" t="s">
        <v>10</v>
      </c>
      <c r="E565" s="3">
        <v>35.6</v>
      </c>
      <c r="F565" s="3">
        <v>7345.73</v>
      </c>
      <c r="H565" s="4" t="s">
        <v>8</v>
      </c>
    </row>
    <row r="566" spans="1:8" ht="14.5">
      <c r="A566" s="3">
        <v>43</v>
      </c>
      <c r="B566" s="3"/>
      <c r="C566" s="4" t="s">
        <v>7</v>
      </c>
      <c r="E566" s="3">
        <v>26</v>
      </c>
      <c r="F566" s="3">
        <v>6837.37</v>
      </c>
      <c r="H566" s="4" t="s">
        <v>8</v>
      </c>
    </row>
    <row r="567" spans="1:8" ht="14.5">
      <c r="A567" s="3">
        <v>43</v>
      </c>
      <c r="B567" s="3"/>
      <c r="C567" s="4" t="s">
        <v>10</v>
      </c>
      <c r="E567" s="3">
        <v>46.2</v>
      </c>
      <c r="F567" s="3">
        <v>45863.21</v>
      </c>
      <c r="H567" s="4" t="s">
        <v>11</v>
      </c>
    </row>
    <row r="568" spans="1:8" ht="14.5">
      <c r="A568" s="3">
        <v>43</v>
      </c>
      <c r="B568" s="3"/>
      <c r="C568" s="4" t="s">
        <v>7</v>
      </c>
      <c r="E568" s="3">
        <v>32.6</v>
      </c>
      <c r="F568" s="3">
        <v>7441.5</v>
      </c>
      <c r="H568" s="4" t="s">
        <v>8</v>
      </c>
    </row>
    <row r="569" spans="1:8" ht="14.5">
      <c r="A569" s="3">
        <v>43</v>
      </c>
      <c r="B569" s="3"/>
      <c r="C569" s="4" t="s">
        <v>7</v>
      </c>
      <c r="E569" s="3">
        <v>35.299999999999997</v>
      </c>
      <c r="F569" s="3">
        <v>18806.150000000001</v>
      </c>
      <c r="H569" s="4" t="s">
        <v>8</v>
      </c>
    </row>
    <row r="570" spans="1:8" ht="14.5">
      <c r="A570" s="3">
        <v>43</v>
      </c>
      <c r="B570" s="3"/>
      <c r="C570" s="4" t="s">
        <v>7</v>
      </c>
      <c r="E570" s="3">
        <v>38.1</v>
      </c>
      <c r="F570" s="3">
        <v>42560.43</v>
      </c>
      <c r="H570" s="4" t="s">
        <v>11</v>
      </c>
    </row>
    <row r="571" spans="1:8" ht="14.5">
      <c r="A571" s="3">
        <v>43</v>
      </c>
      <c r="B571" s="3"/>
      <c r="C571" s="4" t="s">
        <v>10</v>
      </c>
      <c r="E571" s="3">
        <v>30.7</v>
      </c>
      <c r="F571" s="3">
        <v>8310.84</v>
      </c>
      <c r="H571" s="4" t="s">
        <v>8</v>
      </c>
    </row>
    <row r="572" spans="1:8" ht="14.5">
      <c r="A572" s="3">
        <v>43</v>
      </c>
      <c r="B572" s="3"/>
      <c r="C572" s="4" t="s">
        <v>7</v>
      </c>
      <c r="E572" s="3">
        <v>30.1</v>
      </c>
      <c r="F572" s="3">
        <v>6849.03</v>
      </c>
      <c r="H572" s="4" t="s">
        <v>8</v>
      </c>
    </row>
    <row r="573" spans="1:8" ht="14.5">
      <c r="A573" s="3">
        <v>43</v>
      </c>
      <c r="B573" s="3"/>
      <c r="C573" s="4" t="s">
        <v>10</v>
      </c>
      <c r="E573" s="3">
        <v>20</v>
      </c>
      <c r="F573" s="3">
        <v>19798.05</v>
      </c>
      <c r="H573" s="4" t="s">
        <v>11</v>
      </c>
    </row>
    <row r="574" spans="1:8" ht="14.5">
      <c r="A574" s="3">
        <v>43</v>
      </c>
      <c r="B574" s="3"/>
      <c r="C574" s="4" t="s">
        <v>10</v>
      </c>
      <c r="E574" s="3">
        <v>26.9</v>
      </c>
      <c r="F574" s="3">
        <v>21774.32</v>
      </c>
      <c r="H574" s="4" t="s">
        <v>11</v>
      </c>
    </row>
    <row r="575" spans="1:8" ht="14.5">
      <c r="A575" s="3">
        <v>43</v>
      </c>
      <c r="B575" s="3"/>
      <c r="C575" s="4" t="s">
        <v>7</v>
      </c>
      <c r="E575" s="3">
        <v>23.2</v>
      </c>
      <c r="F575" s="3">
        <v>6250.44</v>
      </c>
      <c r="H575" s="4" t="s">
        <v>8</v>
      </c>
    </row>
    <row r="576" spans="1:8" ht="14.5">
      <c r="A576" s="3">
        <v>43</v>
      </c>
      <c r="B576" s="3"/>
      <c r="C576" s="4" t="s">
        <v>7</v>
      </c>
      <c r="E576" s="3">
        <v>35</v>
      </c>
      <c r="F576" s="3">
        <v>41034.22</v>
      </c>
      <c r="H576" s="4" t="s">
        <v>11</v>
      </c>
    </row>
    <row r="577" spans="1:8" ht="14.5">
      <c r="A577" s="3">
        <v>43</v>
      </c>
      <c r="B577" s="3"/>
      <c r="C577" s="4" t="s">
        <v>7</v>
      </c>
      <c r="E577" s="3">
        <v>30.1</v>
      </c>
      <c r="F577" s="3">
        <v>8410.0499999999993</v>
      </c>
      <c r="H577" s="4" t="s">
        <v>8</v>
      </c>
    </row>
    <row r="578" spans="1:8" ht="14.5">
      <c r="A578" s="3">
        <v>43</v>
      </c>
      <c r="B578" s="3"/>
      <c r="C578" s="4" t="s">
        <v>7</v>
      </c>
      <c r="E578" s="3">
        <v>20.100000000000001</v>
      </c>
      <c r="F578" s="3">
        <v>18767.740000000002</v>
      </c>
      <c r="H578" s="4" t="s">
        <v>11</v>
      </c>
    </row>
    <row r="579" spans="1:8" ht="14.5">
      <c r="A579" s="3">
        <v>43</v>
      </c>
      <c r="B579" s="3"/>
      <c r="C579" s="4" t="s">
        <v>10</v>
      </c>
      <c r="E579" s="3">
        <v>24.7</v>
      </c>
      <c r="F579" s="3">
        <v>21880.82</v>
      </c>
      <c r="H579" s="4" t="s">
        <v>11</v>
      </c>
    </row>
    <row r="580" spans="1:8" ht="14.5">
      <c r="A580" s="3">
        <v>43</v>
      </c>
      <c r="B580" s="3"/>
      <c r="C580" s="4" t="s">
        <v>10</v>
      </c>
      <c r="E580" s="3">
        <v>25.1</v>
      </c>
      <c r="F580" s="3">
        <v>7325.05</v>
      </c>
      <c r="H580" s="4" t="s">
        <v>8</v>
      </c>
    </row>
    <row r="581" spans="1:8" ht="14.5">
      <c r="A581" s="3">
        <v>43</v>
      </c>
      <c r="B581" s="3"/>
      <c r="C581" s="4" t="s">
        <v>10</v>
      </c>
      <c r="E581" s="3">
        <v>32.6</v>
      </c>
      <c r="F581" s="3">
        <v>40941.29</v>
      </c>
      <c r="H581" s="4" t="s">
        <v>11</v>
      </c>
    </row>
    <row r="582" spans="1:8" ht="14.5">
      <c r="A582" s="3">
        <v>43</v>
      </c>
      <c r="B582" s="3"/>
      <c r="C582" s="4" t="s">
        <v>10</v>
      </c>
      <c r="E582" s="3">
        <v>34.6</v>
      </c>
      <c r="F582" s="3">
        <v>7727.25</v>
      </c>
      <c r="H582" s="4" t="s">
        <v>8</v>
      </c>
    </row>
    <row r="583" spans="1:8" ht="14.5">
      <c r="A583" s="3">
        <v>43</v>
      </c>
      <c r="B583" s="3"/>
      <c r="C583" s="4" t="s">
        <v>10</v>
      </c>
      <c r="E583" s="3">
        <v>26.7</v>
      </c>
      <c r="F583" s="3">
        <v>22478.6</v>
      </c>
      <c r="H583" s="4" t="s">
        <v>11</v>
      </c>
    </row>
    <row r="584" spans="1:8" ht="14.5">
      <c r="A584" s="3">
        <v>43</v>
      </c>
      <c r="B584" s="3"/>
      <c r="C584" s="4" t="s">
        <v>10</v>
      </c>
      <c r="E584" s="3">
        <v>25.3</v>
      </c>
      <c r="F584" s="3">
        <v>21771.34</v>
      </c>
      <c r="H584" s="4" t="s">
        <v>11</v>
      </c>
    </row>
    <row r="585" spans="1:8" ht="14.5">
      <c r="A585" s="3">
        <v>43</v>
      </c>
      <c r="B585" s="3"/>
      <c r="C585" s="4" t="s">
        <v>10</v>
      </c>
      <c r="E585" s="3">
        <v>29.9</v>
      </c>
      <c r="F585" s="3">
        <v>7337.75</v>
      </c>
      <c r="H585" s="4" t="s">
        <v>8</v>
      </c>
    </row>
    <row r="586" spans="1:8" ht="14.5">
      <c r="A586" s="3">
        <v>43</v>
      </c>
      <c r="B586" s="3"/>
      <c r="C586" s="4" t="s">
        <v>7</v>
      </c>
      <c r="E586" s="3">
        <v>25.5</v>
      </c>
      <c r="F586" s="3">
        <v>14478.33</v>
      </c>
      <c r="H586" s="4" t="s">
        <v>8</v>
      </c>
    </row>
    <row r="587" spans="1:8" ht="14.5">
      <c r="A587" s="3">
        <v>43</v>
      </c>
      <c r="B587" s="3"/>
      <c r="C587" s="4" t="s">
        <v>7</v>
      </c>
      <c r="E587" s="3">
        <v>27.8</v>
      </c>
      <c r="F587" s="3">
        <v>37829.72</v>
      </c>
      <c r="H587" s="4" t="s">
        <v>11</v>
      </c>
    </row>
    <row r="588" spans="1:8" ht="14.5">
      <c r="A588" s="3">
        <v>42</v>
      </c>
      <c r="B588" s="3"/>
      <c r="C588" s="4" t="s">
        <v>10</v>
      </c>
      <c r="E588" s="3">
        <v>23.4</v>
      </c>
      <c r="F588" s="3">
        <v>19964.75</v>
      </c>
      <c r="H588" s="4" t="s">
        <v>11</v>
      </c>
    </row>
    <row r="589" spans="1:8" ht="14.5">
      <c r="A589" s="3">
        <v>42</v>
      </c>
      <c r="B589" s="3"/>
      <c r="C589" s="4" t="s">
        <v>10</v>
      </c>
      <c r="E589" s="3">
        <v>26.6</v>
      </c>
      <c r="F589" s="3">
        <v>21348.71</v>
      </c>
      <c r="H589" s="4" t="s">
        <v>11</v>
      </c>
    </row>
    <row r="590" spans="1:8" ht="14.5">
      <c r="A590" s="3">
        <v>42</v>
      </c>
      <c r="B590" s="3"/>
      <c r="C590" s="4" t="s">
        <v>7</v>
      </c>
      <c r="E590" s="3">
        <v>24.6</v>
      </c>
      <c r="F590" s="3">
        <v>19515.54</v>
      </c>
      <c r="H590" s="4" t="s">
        <v>11</v>
      </c>
    </row>
    <row r="591" spans="1:8" ht="14.5">
      <c r="A591" s="3">
        <v>42</v>
      </c>
      <c r="B591" s="3"/>
      <c r="C591" s="4" t="s">
        <v>10</v>
      </c>
      <c r="E591" s="3">
        <v>36.200000000000003</v>
      </c>
      <c r="F591" s="3">
        <v>7443.64</v>
      </c>
      <c r="H591" s="4" t="s">
        <v>8</v>
      </c>
    </row>
    <row r="592" spans="1:8" ht="14.5">
      <c r="A592" s="3">
        <v>42</v>
      </c>
      <c r="B592" s="3"/>
      <c r="C592" s="4" t="s">
        <v>10</v>
      </c>
      <c r="E592" s="3">
        <v>25</v>
      </c>
      <c r="F592" s="3">
        <v>8017.06</v>
      </c>
      <c r="H592" s="4" t="s">
        <v>8</v>
      </c>
    </row>
    <row r="593" spans="1:8" ht="14.5">
      <c r="A593" s="3">
        <v>42</v>
      </c>
      <c r="B593" s="3"/>
      <c r="C593" s="4" t="s">
        <v>10</v>
      </c>
      <c r="E593" s="3">
        <v>33.200000000000003</v>
      </c>
      <c r="F593" s="3">
        <v>7639.42</v>
      </c>
      <c r="H593" s="4" t="s">
        <v>8</v>
      </c>
    </row>
    <row r="594" spans="1:8" ht="14.5">
      <c r="A594" s="3">
        <v>42</v>
      </c>
      <c r="B594" s="3"/>
      <c r="C594" s="4" t="s">
        <v>7</v>
      </c>
      <c r="E594" s="3">
        <v>26.9</v>
      </c>
      <c r="F594" s="3">
        <v>5969.72</v>
      </c>
      <c r="H594" s="4" t="s">
        <v>8</v>
      </c>
    </row>
    <row r="595" spans="1:8" ht="14.5">
      <c r="A595" s="3">
        <v>42</v>
      </c>
      <c r="B595" s="3"/>
      <c r="C595" s="4" t="s">
        <v>7</v>
      </c>
      <c r="E595" s="3">
        <v>30</v>
      </c>
      <c r="F595" s="3">
        <v>22144.03</v>
      </c>
      <c r="H595" s="4" t="s">
        <v>11</v>
      </c>
    </row>
    <row r="596" spans="1:8" ht="14.5">
      <c r="A596" s="3">
        <v>42</v>
      </c>
      <c r="B596" s="3"/>
      <c r="C596" s="4" t="s">
        <v>7</v>
      </c>
      <c r="E596" s="3">
        <v>26.1</v>
      </c>
      <c r="F596" s="3">
        <v>38245.589999999997</v>
      </c>
      <c r="H596" s="4" t="s">
        <v>11</v>
      </c>
    </row>
    <row r="597" spans="1:8" ht="14.5">
      <c r="A597" s="3">
        <v>42</v>
      </c>
      <c r="B597" s="3"/>
      <c r="C597" s="4" t="s">
        <v>10</v>
      </c>
      <c r="E597" s="3">
        <v>29.5</v>
      </c>
      <c r="F597" s="3">
        <v>7640.31</v>
      </c>
      <c r="H597" s="4" t="s">
        <v>8</v>
      </c>
    </row>
    <row r="598" spans="1:8" ht="14.5">
      <c r="A598" s="3">
        <v>42</v>
      </c>
      <c r="B598" s="3"/>
      <c r="C598" s="4" t="s">
        <v>7</v>
      </c>
      <c r="E598" s="3">
        <v>28.3</v>
      </c>
      <c r="F598" s="3">
        <v>32787.46</v>
      </c>
      <c r="H598" s="4" t="s">
        <v>11</v>
      </c>
    </row>
    <row r="599" spans="1:8" ht="14.5">
      <c r="A599" s="3">
        <v>42</v>
      </c>
      <c r="B599" s="3"/>
      <c r="C599" s="4" t="s">
        <v>7</v>
      </c>
      <c r="E599" s="3">
        <v>26.1</v>
      </c>
      <c r="F599" s="3">
        <v>7729.65</v>
      </c>
      <c r="H599" s="4" t="s">
        <v>8</v>
      </c>
    </row>
    <row r="600" spans="1:8" ht="14.5">
      <c r="A600" s="3">
        <v>42</v>
      </c>
      <c r="B600" s="3"/>
      <c r="C600" s="4" t="s">
        <v>10</v>
      </c>
      <c r="E600" s="3">
        <v>29</v>
      </c>
      <c r="F600" s="3">
        <v>7050.64</v>
      </c>
      <c r="H600" s="4" t="s">
        <v>8</v>
      </c>
    </row>
    <row r="601" spans="1:8" ht="14.5">
      <c r="A601" s="3">
        <v>42</v>
      </c>
      <c r="B601" s="3"/>
      <c r="C601" s="4" t="s">
        <v>10</v>
      </c>
      <c r="E601" s="3">
        <v>26.2</v>
      </c>
      <c r="F601" s="3">
        <v>7046.72</v>
      </c>
      <c r="H601" s="4" t="s">
        <v>8</v>
      </c>
    </row>
    <row r="602" spans="1:8" ht="14.5">
      <c r="A602" s="3">
        <v>42</v>
      </c>
      <c r="B602" s="3"/>
      <c r="C602" s="4" t="s">
        <v>7</v>
      </c>
      <c r="E602" s="3">
        <v>36</v>
      </c>
      <c r="F602" s="3">
        <v>7160.33</v>
      </c>
      <c r="H602" s="4" t="s">
        <v>8</v>
      </c>
    </row>
    <row r="603" spans="1:8" ht="14.5">
      <c r="A603" s="3">
        <v>42</v>
      </c>
      <c r="B603" s="3"/>
      <c r="C603" s="4" t="s">
        <v>7</v>
      </c>
      <c r="E603" s="3">
        <v>24.9</v>
      </c>
      <c r="F603" s="3">
        <v>5966.89</v>
      </c>
      <c r="H603" s="4" t="s">
        <v>8</v>
      </c>
    </row>
    <row r="604" spans="1:8" ht="14.5">
      <c r="A604" s="3">
        <v>42</v>
      </c>
      <c r="B604" s="3"/>
      <c r="C604" s="4" t="s">
        <v>7</v>
      </c>
      <c r="E604" s="3">
        <v>35.799999999999997</v>
      </c>
      <c r="F604" s="3">
        <v>7160.09</v>
      </c>
      <c r="H604" s="4" t="s">
        <v>8</v>
      </c>
    </row>
    <row r="605" spans="1:8" ht="14.5">
      <c r="A605" s="3">
        <v>42</v>
      </c>
      <c r="B605" s="3"/>
      <c r="C605" s="4" t="s">
        <v>7</v>
      </c>
      <c r="E605" s="3">
        <v>31.3</v>
      </c>
      <c r="F605" s="3">
        <v>6358.78</v>
      </c>
      <c r="H605" s="4" t="s">
        <v>8</v>
      </c>
    </row>
    <row r="606" spans="1:8" ht="14.5">
      <c r="A606" s="3">
        <v>42</v>
      </c>
      <c r="B606" s="3"/>
      <c r="C606" s="4" t="s">
        <v>10</v>
      </c>
      <c r="E606" s="3">
        <v>25.3</v>
      </c>
      <c r="F606" s="3">
        <v>7045.5</v>
      </c>
      <c r="H606" s="4" t="s">
        <v>8</v>
      </c>
    </row>
    <row r="607" spans="1:8" ht="14.5">
      <c r="A607" s="3">
        <v>42</v>
      </c>
      <c r="B607" s="3"/>
      <c r="C607" s="4" t="s">
        <v>7</v>
      </c>
      <c r="E607" s="3">
        <v>34.1</v>
      </c>
      <c r="F607" s="3">
        <v>5979.73</v>
      </c>
      <c r="H607" s="4" t="s">
        <v>8</v>
      </c>
    </row>
    <row r="608" spans="1:8" ht="14.5">
      <c r="A608" s="3">
        <v>42</v>
      </c>
      <c r="B608" s="3"/>
      <c r="C608" s="4" t="s">
        <v>10</v>
      </c>
      <c r="E608" s="3">
        <v>41.3</v>
      </c>
      <c r="F608" s="3">
        <v>7650.77</v>
      </c>
      <c r="H608" s="4" t="s">
        <v>8</v>
      </c>
    </row>
    <row r="609" spans="1:8" ht="14.5">
      <c r="A609" s="3">
        <v>42</v>
      </c>
      <c r="B609" s="3"/>
      <c r="C609" s="4" t="s">
        <v>7</v>
      </c>
      <c r="E609" s="3">
        <v>37.200000000000003</v>
      </c>
      <c r="F609" s="3">
        <v>7162.01</v>
      </c>
      <c r="H609" s="4" t="s">
        <v>8</v>
      </c>
    </row>
    <row r="610" spans="1:8" ht="14.5">
      <c r="A610" s="3">
        <v>42</v>
      </c>
      <c r="B610" s="3"/>
      <c r="C610" s="4" t="s">
        <v>10</v>
      </c>
      <c r="E610" s="3">
        <v>37.9</v>
      </c>
      <c r="F610" s="3">
        <v>6474.01</v>
      </c>
      <c r="H610" s="4" t="s">
        <v>8</v>
      </c>
    </row>
    <row r="611" spans="1:8" ht="14.5">
      <c r="A611" s="3">
        <v>42</v>
      </c>
      <c r="B611" s="3"/>
      <c r="C611" s="4" t="s">
        <v>7</v>
      </c>
      <c r="E611" s="3">
        <v>24.6</v>
      </c>
      <c r="F611" s="3">
        <v>21259.38</v>
      </c>
      <c r="H611" s="4" t="s">
        <v>11</v>
      </c>
    </row>
    <row r="612" spans="1:8" ht="14.5">
      <c r="A612" s="3">
        <v>42</v>
      </c>
      <c r="B612" s="3"/>
      <c r="C612" s="4" t="s">
        <v>7</v>
      </c>
      <c r="E612" s="3">
        <v>26.3</v>
      </c>
      <c r="F612" s="3">
        <v>6940.91</v>
      </c>
      <c r="H612" s="4" t="s">
        <v>8</v>
      </c>
    </row>
    <row r="613" spans="1:8" ht="14.5">
      <c r="A613" s="3">
        <v>42</v>
      </c>
      <c r="B613" s="3"/>
      <c r="C613" s="4" t="s">
        <v>10</v>
      </c>
      <c r="E613" s="3">
        <v>40.4</v>
      </c>
      <c r="F613" s="3">
        <v>43896.38</v>
      </c>
      <c r="H613" s="4" t="s">
        <v>11</v>
      </c>
    </row>
    <row r="614" spans="1:8" ht="14.5">
      <c r="A614" s="3">
        <v>42</v>
      </c>
      <c r="B614" s="3"/>
      <c r="C614" s="4" t="s">
        <v>10</v>
      </c>
      <c r="E614" s="3">
        <v>32.9</v>
      </c>
      <c r="F614" s="3">
        <v>7050.02</v>
      </c>
      <c r="H614" s="4" t="s">
        <v>8</v>
      </c>
    </row>
    <row r="615" spans="1:8" ht="14.5">
      <c r="A615" s="3">
        <v>41</v>
      </c>
      <c r="B615" s="3"/>
      <c r="C615" s="4" t="s">
        <v>7</v>
      </c>
      <c r="E615" s="3">
        <v>21.8</v>
      </c>
      <c r="F615" s="3">
        <v>6272.48</v>
      </c>
      <c r="H615" s="4" t="s">
        <v>8</v>
      </c>
    </row>
    <row r="616" spans="1:8" ht="14.5">
      <c r="A616" s="3">
        <v>41</v>
      </c>
      <c r="B616" s="3"/>
      <c r="C616" s="4" t="s">
        <v>10</v>
      </c>
      <c r="E616" s="3">
        <v>33</v>
      </c>
      <c r="F616" s="3">
        <v>6571.02</v>
      </c>
      <c r="H616" s="4" t="s">
        <v>8</v>
      </c>
    </row>
    <row r="617" spans="1:8" ht="14.5">
      <c r="A617" s="3">
        <v>41</v>
      </c>
      <c r="B617" s="3"/>
      <c r="C617" s="4" t="s">
        <v>10</v>
      </c>
      <c r="E617" s="3">
        <v>31.6</v>
      </c>
      <c r="F617" s="3">
        <v>6186.13</v>
      </c>
      <c r="H617" s="4" t="s">
        <v>8</v>
      </c>
    </row>
    <row r="618" spans="1:8" ht="14.5">
      <c r="A618" s="3">
        <v>41</v>
      </c>
      <c r="B618" s="3"/>
      <c r="C618" s="4" t="s">
        <v>10</v>
      </c>
      <c r="E618" s="3">
        <v>33.200000000000003</v>
      </c>
      <c r="F618" s="3">
        <v>8538.2900000000009</v>
      </c>
      <c r="H618" s="4" t="s">
        <v>8</v>
      </c>
    </row>
    <row r="619" spans="1:8" ht="14.5">
      <c r="A619" s="3">
        <v>41</v>
      </c>
      <c r="B619" s="3"/>
      <c r="C619" s="4" t="s">
        <v>10</v>
      </c>
      <c r="E619" s="3">
        <v>32.200000000000003</v>
      </c>
      <c r="F619" s="3">
        <v>6775.96</v>
      </c>
      <c r="H619" s="4" t="s">
        <v>8</v>
      </c>
    </row>
    <row r="620" spans="1:8" ht="14.5">
      <c r="A620" s="3">
        <v>41</v>
      </c>
      <c r="B620" s="3"/>
      <c r="C620" s="4" t="s">
        <v>10</v>
      </c>
      <c r="E620" s="3">
        <v>37.1</v>
      </c>
      <c r="F620" s="3">
        <v>7371.77</v>
      </c>
      <c r="H620" s="4" t="s">
        <v>8</v>
      </c>
    </row>
    <row r="621" spans="1:8" ht="14.5">
      <c r="A621" s="3">
        <v>41</v>
      </c>
      <c r="B621" s="3"/>
      <c r="C621" s="4" t="s">
        <v>10</v>
      </c>
      <c r="E621" s="3">
        <v>31.6</v>
      </c>
      <c r="F621" s="3">
        <v>7358.18</v>
      </c>
      <c r="H621" s="4" t="s">
        <v>8</v>
      </c>
    </row>
    <row r="622" spans="1:8" ht="14.5">
      <c r="A622" s="3">
        <v>41</v>
      </c>
      <c r="B622" s="3"/>
      <c r="C622" s="4" t="s">
        <v>7</v>
      </c>
      <c r="E622" s="3">
        <v>37.1</v>
      </c>
      <c r="F622" s="3">
        <v>7265.7</v>
      </c>
      <c r="H622" s="4" t="s">
        <v>8</v>
      </c>
    </row>
    <row r="623" spans="1:8" ht="14.5">
      <c r="A623" s="3">
        <v>41</v>
      </c>
      <c r="B623" s="3"/>
      <c r="C623" s="4" t="s">
        <v>10</v>
      </c>
      <c r="E623" s="3">
        <v>33.1</v>
      </c>
      <c r="F623" s="3">
        <v>7749.16</v>
      </c>
      <c r="H623" s="4" t="s">
        <v>8</v>
      </c>
    </row>
    <row r="624" spans="1:8" ht="14.5">
      <c r="A624" s="3">
        <v>41</v>
      </c>
      <c r="B624" s="3"/>
      <c r="C624" s="4" t="s">
        <v>7</v>
      </c>
      <c r="E624" s="3">
        <v>30.6</v>
      </c>
      <c r="F624" s="3">
        <v>7256.72</v>
      </c>
      <c r="H624" s="4" t="s">
        <v>8</v>
      </c>
    </row>
    <row r="625" spans="1:8" ht="14.5">
      <c r="A625" s="3">
        <v>41</v>
      </c>
      <c r="B625" s="3"/>
      <c r="C625" s="4" t="s">
        <v>7</v>
      </c>
      <c r="E625" s="3">
        <v>40.299999999999997</v>
      </c>
      <c r="F625" s="3">
        <v>5709.16</v>
      </c>
      <c r="H625" s="4" t="s">
        <v>8</v>
      </c>
    </row>
    <row r="626" spans="1:8" ht="14.5">
      <c r="A626" s="3">
        <v>41</v>
      </c>
      <c r="B626" s="3"/>
      <c r="C626" s="4" t="s">
        <v>10</v>
      </c>
      <c r="E626" s="3">
        <v>31</v>
      </c>
      <c r="F626" s="3">
        <v>6185.32</v>
      </c>
      <c r="H626" s="4" t="s">
        <v>8</v>
      </c>
    </row>
    <row r="627" spans="1:8" ht="14.5">
      <c r="A627" s="3">
        <v>41</v>
      </c>
      <c r="B627" s="3"/>
      <c r="C627" s="4" t="s">
        <v>7</v>
      </c>
      <c r="E627" s="3">
        <v>35.799999999999997</v>
      </c>
      <c r="F627" s="3">
        <v>40273.65</v>
      </c>
      <c r="H627" s="4" t="s">
        <v>11</v>
      </c>
    </row>
    <row r="628" spans="1:8" ht="14.5">
      <c r="A628" s="3">
        <v>41</v>
      </c>
      <c r="B628" s="3"/>
      <c r="C628" s="4" t="s">
        <v>7</v>
      </c>
      <c r="E628" s="3">
        <v>28.4</v>
      </c>
      <c r="F628" s="3">
        <v>6664.69</v>
      </c>
      <c r="H628" s="4" t="s">
        <v>8</v>
      </c>
    </row>
    <row r="629" spans="1:8" ht="14.5">
      <c r="A629" s="3">
        <v>41</v>
      </c>
      <c r="B629" s="3"/>
      <c r="C629" s="4" t="s">
        <v>10</v>
      </c>
      <c r="E629" s="3">
        <v>36.1</v>
      </c>
      <c r="F629" s="3">
        <v>6781.35</v>
      </c>
      <c r="H629" s="4" t="s">
        <v>8</v>
      </c>
    </row>
    <row r="630" spans="1:8" ht="14.5">
      <c r="A630" s="3">
        <v>41</v>
      </c>
      <c r="B630" s="3"/>
      <c r="C630" s="4" t="s">
        <v>7</v>
      </c>
      <c r="E630" s="3">
        <v>34.200000000000003</v>
      </c>
      <c r="F630" s="3">
        <v>7261.74</v>
      </c>
      <c r="H630" s="4" t="s">
        <v>8</v>
      </c>
    </row>
    <row r="631" spans="1:8" ht="14.5">
      <c r="A631" s="3">
        <v>41</v>
      </c>
      <c r="B631" s="3"/>
      <c r="C631" s="4" t="s">
        <v>7</v>
      </c>
      <c r="E631" s="3">
        <v>30.8</v>
      </c>
      <c r="F631" s="3">
        <v>39597.410000000003</v>
      </c>
      <c r="H631" s="4" t="s">
        <v>11</v>
      </c>
    </row>
    <row r="632" spans="1:8" ht="14.5">
      <c r="A632" s="3">
        <v>41</v>
      </c>
      <c r="B632" s="3"/>
      <c r="C632" s="4" t="s">
        <v>7</v>
      </c>
      <c r="E632" s="3">
        <v>28.8</v>
      </c>
      <c r="F632" s="3">
        <v>6282.24</v>
      </c>
      <c r="H632" s="4" t="s">
        <v>8</v>
      </c>
    </row>
    <row r="633" spans="1:8" ht="14.5">
      <c r="A633" s="3">
        <v>41</v>
      </c>
      <c r="B633" s="3"/>
      <c r="C633" s="4" t="s">
        <v>7</v>
      </c>
      <c r="E633" s="3">
        <v>34.200000000000003</v>
      </c>
      <c r="F633" s="3">
        <v>6289.75</v>
      </c>
      <c r="H633" s="4" t="s">
        <v>8</v>
      </c>
    </row>
    <row r="634" spans="1:8" ht="14.5">
      <c r="A634" s="3">
        <v>41</v>
      </c>
      <c r="B634" s="3"/>
      <c r="C634" s="4" t="s">
        <v>7</v>
      </c>
      <c r="E634" s="3">
        <v>29.6</v>
      </c>
      <c r="F634" s="3">
        <v>9222.4</v>
      </c>
      <c r="H634" s="4" t="s">
        <v>8</v>
      </c>
    </row>
    <row r="635" spans="1:8" ht="14.5">
      <c r="A635" s="3">
        <v>41</v>
      </c>
      <c r="B635" s="3"/>
      <c r="C635" s="4" t="s">
        <v>10</v>
      </c>
      <c r="E635" s="3">
        <v>32.6</v>
      </c>
      <c r="F635" s="3">
        <v>7954.52</v>
      </c>
      <c r="H635" s="4" t="s">
        <v>8</v>
      </c>
    </row>
    <row r="636" spans="1:8" ht="14.5">
      <c r="A636" s="3">
        <v>41</v>
      </c>
      <c r="B636" s="3"/>
      <c r="C636" s="4" t="s">
        <v>10</v>
      </c>
      <c r="E636" s="3">
        <v>28.3</v>
      </c>
      <c r="F636" s="3">
        <v>7153.55</v>
      </c>
      <c r="H636" s="4" t="s">
        <v>8</v>
      </c>
    </row>
    <row r="637" spans="1:8" ht="14.5">
      <c r="A637" s="3">
        <v>41</v>
      </c>
      <c r="B637" s="3"/>
      <c r="C637" s="4" t="s">
        <v>10</v>
      </c>
      <c r="E637" s="3">
        <v>21.8</v>
      </c>
      <c r="F637" s="3">
        <v>13725.47</v>
      </c>
      <c r="H637" s="4" t="s">
        <v>8</v>
      </c>
    </row>
    <row r="638" spans="1:8" ht="14.5">
      <c r="A638" s="3">
        <v>41</v>
      </c>
      <c r="B638" s="3"/>
      <c r="C638" s="4" t="s">
        <v>7</v>
      </c>
      <c r="E638" s="3">
        <v>33.6</v>
      </c>
      <c r="F638" s="3">
        <v>5699.84</v>
      </c>
      <c r="H638" s="4" t="s">
        <v>8</v>
      </c>
    </row>
    <row r="639" spans="1:8" ht="14.5">
      <c r="A639" s="3">
        <v>41</v>
      </c>
      <c r="B639" s="3"/>
      <c r="C639" s="4" t="s">
        <v>7</v>
      </c>
      <c r="E639" s="3">
        <v>23.9</v>
      </c>
      <c r="F639" s="3">
        <v>6858.48</v>
      </c>
      <c r="H639" s="4" t="s">
        <v>8</v>
      </c>
    </row>
    <row r="640" spans="1:8" ht="14.5">
      <c r="A640" s="3">
        <v>41</v>
      </c>
      <c r="B640" s="3"/>
      <c r="C640" s="4" t="s">
        <v>10</v>
      </c>
      <c r="E640" s="3">
        <v>28.1</v>
      </c>
      <c r="F640" s="3">
        <v>6770.19</v>
      </c>
      <c r="H640" s="4" t="s">
        <v>8</v>
      </c>
    </row>
    <row r="641" spans="1:8" ht="14.5">
      <c r="A641" s="3">
        <v>41</v>
      </c>
      <c r="B641" s="3"/>
      <c r="C641" s="4" t="s">
        <v>7</v>
      </c>
      <c r="E641" s="3">
        <v>32.200000000000003</v>
      </c>
      <c r="F641" s="3">
        <v>6875.96</v>
      </c>
      <c r="H641" s="4" t="s">
        <v>8</v>
      </c>
    </row>
    <row r="642" spans="1:8" ht="14.5">
      <c r="A642" s="3">
        <v>40</v>
      </c>
      <c r="B642" s="3"/>
      <c r="C642" s="4" t="s">
        <v>10</v>
      </c>
      <c r="E642" s="3">
        <v>28.7</v>
      </c>
      <c r="F642" s="3">
        <v>8059.68</v>
      </c>
      <c r="H642" s="4" t="s">
        <v>8</v>
      </c>
    </row>
    <row r="643" spans="1:8" ht="14.5">
      <c r="A643" s="3">
        <v>40</v>
      </c>
      <c r="B643" s="3"/>
      <c r="C643" s="4" t="s">
        <v>7</v>
      </c>
      <c r="E643" s="3">
        <v>26.3</v>
      </c>
      <c r="F643" s="3">
        <v>6389.38</v>
      </c>
      <c r="H643" s="4" t="s">
        <v>8</v>
      </c>
    </row>
    <row r="644" spans="1:8" ht="14.5">
      <c r="A644" s="3">
        <v>40</v>
      </c>
      <c r="B644" s="3"/>
      <c r="C644" s="4" t="s">
        <v>10</v>
      </c>
      <c r="E644" s="3">
        <v>36.200000000000003</v>
      </c>
      <c r="F644" s="3">
        <v>5920.1</v>
      </c>
      <c r="H644" s="4" t="s">
        <v>8</v>
      </c>
    </row>
    <row r="645" spans="1:8" ht="14.5">
      <c r="A645" s="3">
        <v>40</v>
      </c>
      <c r="B645" s="3"/>
      <c r="C645" s="4" t="s">
        <v>10</v>
      </c>
      <c r="E645" s="3">
        <v>25.5</v>
      </c>
      <c r="F645" s="3">
        <v>7077.19</v>
      </c>
      <c r="H645" s="4" t="s">
        <v>8</v>
      </c>
    </row>
    <row r="646" spans="1:8" ht="14.5">
      <c r="A646" s="3">
        <v>40</v>
      </c>
      <c r="B646" s="3"/>
      <c r="C646" s="4" t="s">
        <v>7</v>
      </c>
      <c r="E646" s="3">
        <v>41.2</v>
      </c>
      <c r="F646" s="3">
        <v>6610.11</v>
      </c>
      <c r="H646" s="4" t="s">
        <v>8</v>
      </c>
    </row>
    <row r="647" spans="1:8" ht="14.5">
      <c r="A647" s="3">
        <v>40</v>
      </c>
      <c r="B647" s="3"/>
      <c r="C647" s="4" t="s">
        <v>7</v>
      </c>
      <c r="E647" s="3">
        <v>30.9</v>
      </c>
      <c r="F647" s="3">
        <v>8162.72</v>
      </c>
      <c r="H647" s="4" t="s">
        <v>8</v>
      </c>
    </row>
    <row r="648" spans="1:8" ht="14.5">
      <c r="A648" s="3">
        <v>40</v>
      </c>
      <c r="B648" s="3"/>
      <c r="C648" s="4" t="s">
        <v>10</v>
      </c>
      <c r="E648" s="3">
        <v>22.2</v>
      </c>
      <c r="F648" s="3">
        <v>19444.27</v>
      </c>
      <c r="H648" s="4" t="s">
        <v>11</v>
      </c>
    </row>
    <row r="649" spans="1:8" ht="14.5">
      <c r="A649" s="3">
        <v>40</v>
      </c>
      <c r="B649" s="3"/>
      <c r="C649" s="4" t="s">
        <v>7</v>
      </c>
      <c r="E649" s="3">
        <v>35.299999999999997</v>
      </c>
      <c r="F649" s="3">
        <v>7196.87</v>
      </c>
      <c r="H649" s="4" t="s">
        <v>8</v>
      </c>
    </row>
    <row r="650" spans="1:8" ht="14.5">
      <c r="A650" s="3">
        <v>40</v>
      </c>
      <c r="B650" s="3"/>
      <c r="C650" s="4" t="s">
        <v>7</v>
      </c>
      <c r="E650" s="3">
        <v>19.8</v>
      </c>
      <c r="F650" s="3">
        <v>17179.52</v>
      </c>
      <c r="H650" s="4" t="s">
        <v>11</v>
      </c>
    </row>
    <row r="651" spans="1:8" ht="14.5">
      <c r="A651" s="3">
        <v>40</v>
      </c>
      <c r="B651" s="3"/>
      <c r="C651" s="4" t="s">
        <v>10</v>
      </c>
      <c r="E651" s="3">
        <v>28.1</v>
      </c>
      <c r="F651" s="3">
        <v>22331.57</v>
      </c>
      <c r="H651" s="4" t="s">
        <v>11</v>
      </c>
    </row>
    <row r="652" spans="1:8" ht="14.5">
      <c r="A652" s="3">
        <v>40</v>
      </c>
      <c r="B652" s="3"/>
      <c r="C652" s="4" t="s">
        <v>7</v>
      </c>
      <c r="E652" s="3">
        <v>34.1</v>
      </c>
      <c r="F652" s="3">
        <v>6600.21</v>
      </c>
      <c r="H652" s="4" t="s">
        <v>8</v>
      </c>
    </row>
    <row r="653" spans="1:8" ht="14.5">
      <c r="A653" s="3">
        <v>40</v>
      </c>
      <c r="B653" s="3"/>
      <c r="C653" s="4" t="s">
        <v>7</v>
      </c>
      <c r="E653" s="3">
        <v>32.799999999999997</v>
      </c>
      <c r="F653" s="3">
        <v>39125.33</v>
      </c>
      <c r="H653" s="4" t="s">
        <v>11</v>
      </c>
    </row>
    <row r="654" spans="1:8" ht="14.5">
      <c r="A654" s="3">
        <v>40</v>
      </c>
      <c r="B654" s="3"/>
      <c r="C654" s="4" t="s">
        <v>10</v>
      </c>
      <c r="E654" s="3">
        <v>29.6</v>
      </c>
      <c r="F654" s="3">
        <v>5910.94</v>
      </c>
      <c r="H654" s="4" t="s">
        <v>8</v>
      </c>
    </row>
    <row r="655" spans="1:8" ht="14.5">
      <c r="A655" s="3">
        <v>40</v>
      </c>
      <c r="B655" s="3"/>
      <c r="C655" s="4" t="s">
        <v>10</v>
      </c>
      <c r="E655" s="3">
        <v>33</v>
      </c>
      <c r="F655" s="3">
        <v>7682.67</v>
      </c>
      <c r="H655" s="4" t="s">
        <v>8</v>
      </c>
    </row>
    <row r="656" spans="1:8" ht="14.5">
      <c r="A656" s="3">
        <v>40</v>
      </c>
      <c r="B656" s="3"/>
      <c r="C656" s="4" t="s">
        <v>7</v>
      </c>
      <c r="E656" s="3">
        <v>22.7</v>
      </c>
      <c r="F656" s="3">
        <v>7173.36</v>
      </c>
      <c r="H656" s="4" t="s">
        <v>8</v>
      </c>
    </row>
    <row r="657" spans="1:8" ht="14.5">
      <c r="A657" s="3">
        <v>40</v>
      </c>
      <c r="B657" s="3"/>
      <c r="C657" s="4" t="s">
        <v>10</v>
      </c>
      <c r="E657" s="3">
        <v>23.4</v>
      </c>
      <c r="F657" s="3">
        <v>8252.2800000000007</v>
      </c>
      <c r="H657" s="4" t="s">
        <v>8</v>
      </c>
    </row>
    <row r="658" spans="1:8" ht="14.5">
      <c r="A658" s="3">
        <v>40</v>
      </c>
      <c r="B658" s="3"/>
      <c r="C658" s="4" t="s">
        <v>10</v>
      </c>
      <c r="E658" s="3">
        <v>32.799999999999997</v>
      </c>
      <c r="F658" s="3">
        <v>40003.33</v>
      </c>
      <c r="H658" s="4" t="s">
        <v>11</v>
      </c>
    </row>
    <row r="659" spans="1:8" ht="14.5">
      <c r="A659" s="3">
        <v>40</v>
      </c>
      <c r="B659" s="3"/>
      <c r="C659" s="4" t="s">
        <v>10</v>
      </c>
      <c r="E659" s="3">
        <v>29.8</v>
      </c>
      <c r="F659" s="3">
        <v>6500.24</v>
      </c>
      <c r="H659" s="4" t="s">
        <v>8</v>
      </c>
    </row>
    <row r="660" spans="1:8" ht="14.5">
      <c r="A660" s="3">
        <v>40</v>
      </c>
      <c r="B660" s="3"/>
      <c r="C660" s="4" t="s">
        <v>7</v>
      </c>
      <c r="E660" s="3">
        <v>41.7</v>
      </c>
      <c r="F660" s="3">
        <v>5438.75</v>
      </c>
      <c r="H660" s="4" t="s">
        <v>8</v>
      </c>
    </row>
    <row r="661" spans="1:8" ht="14.5">
      <c r="A661" s="3">
        <v>40</v>
      </c>
      <c r="B661" s="3"/>
      <c r="C661" s="4" t="s">
        <v>7</v>
      </c>
      <c r="E661" s="3">
        <v>32.299999999999997</v>
      </c>
      <c r="F661" s="3">
        <v>6986.7</v>
      </c>
      <c r="H661" s="4" t="s">
        <v>8</v>
      </c>
    </row>
    <row r="662" spans="1:8" ht="14.5">
      <c r="A662" s="3">
        <v>40</v>
      </c>
      <c r="B662" s="3"/>
      <c r="C662" s="4" t="s">
        <v>10</v>
      </c>
      <c r="E662" s="3">
        <v>41.4</v>
      </c>
      <c r="F662" s="3">
        <v>28476.73</v>
      </c>
      <c r="H662" s="4" t="s">
        <v>8</v>
      </c>
    </row>
    <row r="663" spans="1:8" ht="14.5">
      <c r="A663" s="3">
        <v>40</v>
      </c>
      <c r="B663" s="3"/>
      <c r="C663" s="4" t="s">
        <v>7</v>
      </c>
      <c r="E663" s="3">
        <v>29.9</v>
      </c>
      <c r="F663" s="3">
        <v>6600.36</v>
      </c>
      <c r="H663" s="4" t="s">
        <v>8</v>
      </c>
    </row>
    <row r="664" spans="1:8" ht="14.5">
      <c r="A664" s="3">
        <v>40</v>
      </c>
      <c r="B664" s="3"/>
      <c r="C664" s="4" t="s">
        <v>10</v>
      </c>
      <c r="E664" s="3">
        <v>27.4</v>
      </c>
      <c r="F664" s="3">
        <v>6496.89</v>
      </c>
      <c r="H664" s="4" t="s">
        <v>8</v>
      </c>
    </row>
    <row r="665" spans="1:8" ht="14.5">
      <c r="A665" s="3">
        <v>40</v>
      </c>
      <c r="B665" s="3"/>
      <c r="C665" s="4" t="s">
        <v>7</v>
      </c>
      <c r="E665" s="3">
        <v>29.4</v>
      </c>
      <c r="F665" s="3">
        <v>6393.6</v>
      </c>
      <c r="H665" s="4" t="s">
        <v>8</v>
      </c>
    </row>
    <row r="666" spans="1:8" ht="14.5">
      <c r="A666" s="3">
        <v>40</v>
      </c>
      <c r="B666" s="3"/>
      <c r="C666" s="4" t="s">
        <v>7</v>
      </c>
      <c r="E666" s="3">
        <v>25.1</v>
      </c>
      <c r="F666" s="3">
        <v>5415.66</v>
      </c>
      <c r="H666" s="4" t="s">
        <v>8</v>
      </c>
    </row>
    <row r="667" spans="1:8" ht="14.5">
      <c r="A667" s="3">
        <v>40</v>
      </c>
      <c r="B667" s="3"/>
      <c r="C667" s="4" t="s">
        <v>7</v>
      </c>
      <c r="E667" s="3">
        <v>25</v>
      </c>
      <c r="F667" s="3">
        <v>6593.51</v>
      </c>
      <c r="H667" s="4" t="s">
        <v>8</v>
      </c>
    </row>
    <row r="668" spans="1:8" ht="14.5">
      <c r="A668" s="3">
        <v>40</v>
      </c>
      <c r="B668" s="3"/>
      <c r="C668" s="4" t="s">
        <v>10</v>
      </c>
      <c r="E668" s="3">
        <v>29.3</v>
      </c>
      <c r="F668" s="3">
        <v>15828.82</v>
      </c>
      <c r="H668" s="4" t="s">
        <v>8</v>
      </c>
    </row>
    <row r="669" spans="1:8" ht="14.5">
      <c r="A669" s="3">
        <v>39</v>
      </c>
      <c r="B669" s="3"/>
      <c r="C669" s="4" t="s">
        <v>10</v>
      </c>
      <c r="E669" s="3">
        <v>32.799999999999997</v>
      </c>
      <c r="F669" s="3">
        <v>5649.72</v>
      </c>
      <c r="H669" s="4" t="s">
        <v>8</v>
      </c>
    </row>
    <row r="670" spans="1:8" ht="14.5">
      <c r="A670" s="3">
        <v>39</v>
      </c>
      <c r="B670" s="3"/>
      <c r="C670" s="4" t="s">
        <v>7</v>
      </c>
      <c r="E670" s="3">
        <v>24.5</v>
      </c>
      <c r="F670" s="3">
        <v>6710.19</v>
      </c>
      <c r="H670" s="4" t="s">
        <v>8</v>
      </c>
    </row>
    <row r="671" spans="1:8" ht="14.5">
      <c r="A671" s="3">
        <v>39</v>
      </c>
      <c r="B671" s="3"/>
      <c r="C671" s="4" t="s">
        <v>10</v>
      </c>
      <c r="E671" s="3">
        <v>24.9</v>
      </c>
      <c r="F671" s="3">
        <v>21659.93</v>
      </c>
      <c r="H671" s="4" t="s">
        <v>11</v>
      </c>
    </row>
    <row r="672" spans="1:8" ht="14.5">
      <c r="A672" s="3">
        <v>39</v>
      </c>
      <c r="B672" s="3"/>
      <c r="C672" s="4" t="s">
        <v>7</v>
      </c>
      <c r="E672" s="3">
        <v>29.6</v>
      </c>
      <c r="F672" s="3">
        <v>7512.27</v>
      </c>
      <c r="H672" s="4" t="s">
        <v>8</v>
      </c>
    </row>
    <row r="673" spans="1:8" ht="14.5">
      <c r="A673" s="3">
        <v>39</v>
      </c>
      <c r="B673" s="3"/>
      <c r="C673" s="4" t="s">
        <v>7</v>
      </c>
      <c r="E673" s="3">
        <v>28.3</v>
      </c>
      <c r="F673" s="3">
        <v>21082.16</v>
      </c>
      <c r="H673" s="4" t="s">
        <v>11</v>
      </c>
    </row>
    <row r="674" spans="1:8" ht="14.5">
      <c r="A674" s="3">
        <v>39</v>
      </c>
      <c r="B674" s="3"/>
      <c r="C674" s="4" t="s">
        <v>7</v>
      </c>
      <c r="E674" s="3">
        <v>45.4</v>
      </c>
      <c r="F674" s="3">
        <v>6356.27</v>
      </c>
      <c r="H674" s="4" t="s">
        <v>8</v>
      </c>
    </row>
    <row r="675" spans="1:8" ht="14.5">
      <c r="A675" s="3">
        <v>39</v>
      </c>
      <c r="B675" s="3"/>
      <c r="C675" s="4" t="s">
        <v>7</v>
      </c>
      <c r="E675" s="3">
        <v>26.4</v>
      </c>
      <c r="F675" s="3">
        <v>20149.32</v>
      </c>
      <c r="H675" s="4" t="s">
        <v>11</v>
      </c>
    </row>
    <row r="676" spans="1:8" ht="14.5">
      <c r="A676" s="3">
        <v>39</v>
      </c>
      <c r="B676" s="3"/>
      <c r="C676" s="4" t="s">
        <v>7</v>
      </c>
      <c r="E676" s="3">
        <v>26.2</v>
      </c>
      <c r="F676" s="3">
        <v>6123.57</v>
      </c>
      <c r="H676" s="4" t="s">
        <v>8</v>
      </c>
    </row>
    <row r="677" spans="1:8" ht="14.5">
      <c r="A677" s="3">
        <v>39</v>
      </c>
      <c r="B677" s="3"/>
      <c r="C677" s="4" t="s">
        <v>7</v>
      </c>
      <c r="E677" s="3">
        <v>35.299999999999997</v>
      </c>
      <c r="F677" s="3">
        <v>40103.89</v>
      </c>
      <c r="H677" s="4" t="s">
        <v>11</v>
      </c>
    </row>
    <row r="678" spans="1:8" ht="14.5">
      <c r="A678" s="3">
        <v>39</v>
      </c>
      <c r="B678" s="3"/>
      <c r="C678" s="4" t="s">
        <v>10</v>
      </c>
      <c r="E678" s="3">
        <v>22.8</v>
      </c>
      <c r="F678" s="3">
        <v>7985.82</v>
      </c>
      <c r="H678" s="4" t="s">
        <v>8</v>
      </c>
    </row>
    <row r="679" spans="1:8" ht="14.5">
      <c r="A679" s="3">
        <v>39</v>
      </c>
      <c r="B679" s="3"/>
      <c r="C679" s="4" t="s">
        <v>10</v>
      </c>
      <c r="E679" s="3">
        <v>41.8</v>
      </c>
      <c r="F679" s="3">
        <v>5662.23</v>
      </c>
      <c r="H679" s="4" t="s">
        <v>8</v>
      </c>
    </row>
    <row r="680" spans="1:8" ht="14.5">
      <c r="A680" s="3">
        <v>39</v>
      </c>
      <c r="B680" s="3"/>
      <c r="C680" s="4" t="s">
        <v>10</v>
      </c>
      <c r="E680" s="3">
        <v>31.9</v>
      </c>
      <c r="F680" s="3">
        <v>7209.49</v>
      </c>
      <c r="H680" s="4" t="s">
        <v>8</v>
      </c>
    </row>
    <row r="681" spans="1:8" ht="14.5">
      <c r="A681" s="3">
        <v>39</v>
      </c>
      <c r="B681" s="3"/>
      <c r="C681" s="4" t="s">
        <v>7</v>
      </c>
      <c r="E681" s="3">
        <v>21.9</v>
      </c>
      <c r="F681" s="3">
        <v>6117.49</v>
      </c>
      <c r="H681" s="4" t="s">
        <v>8</v>
      </c>
    </row>
    <row r="682" spans="1:8" ht="14.5">
      <c r="A682" s="3">
        <v>39</v>
      </c>
      <c r="B682" s="3"/>
      <c r="C682" s="4" t="s">
        <v>10</v>
      </c>
      <c r="E682" s="3">
        <v>32.5</v>
      </c>
      <c r="F682" s="3">
        <v>6238.3</v>
      </c>
      <c r="H682" s="4" t="s">
        <v>8</v>
      </c>
    </row>
    <row r="683" spans="1:8" ht="14.5">
      <c r="A683" s="3">
        <v>39</v>
      </c>
      <c r="B683" s="3"/>
      <c r="C683" s="4" t="s">
        <v>10</v>
      </c>
      <c r="E683" s="3">
        <v>24.2</v>
      </c>
      <c r="F683" s="3">
        <v>8965.7999999999993</v>
      </c>
      <c r="H683" s="4" t="s">
        <v>8</v>
      </c>
    </row>
    <row r="684" spans="1:8" ht="14.5">
      <c r="A684" s="3">
        <v>39</v>
      </c>
      <c r="B684" s="3"/>
      <c r="C684" s="4" t="s">
        <v>10</v>
      </c>
      <c r="E684" s="3">
        <v>34.299999999999997</v>
      </c>
      <c r="F684" s="3">
        <v>8596.83</v>
      </c>
      <c r="H684" s="4" t="s">
        <v>8</v>
      </c>
    </row>
    <row r="685" spans="1:8" ht="14.5">
      <c r="A685" s="3">
        <v>39</v>
      </c>
      <c r="B685" s="3"/>
      <c r="C685" s="4" t="s">
        <v>10</v>
      </c>
      <c r="E685" s="3">
        <v>23.3</v>
      </c>
      <c r="F685" s="3">
        <v>7986.48</v>
      </c>
      <c r="H685" s="4" t="s">
        <v>8</v>
      </c>
    </row>
    <row r="686" spans="1:8" ht="14.5">
      <c r="A686" s="3">
        <v>39</v>
      </c>
      <c r="B686" s="3"/>
      <c r="C686" s="4" t="s">
        <v>10</v>
      </c>
      <c r="E686" s="3">
        <v>34.1</v>
      </c>
      <c r="F686" s="3">
        <v>7418.52</v>
      </c>
      <c r="H686" s="4" t="s">
        <v>8</v>
      </c>
    </row>
    <row r="687" spans="1:8" ht="14.5">
      <c r="A687" s="3">
        <v>39</v>
      </c>
      <c r="B687" s="3"/>
      <c r="C687" s="4" t="s">
        <v>7</v>
      </c>
      <c r="E687" s="3">
        <v>42.7</v>
      </c>
      <c r="F687" s="3">
        <v>5757.41</v>
      </c>
      <c r="H687" s="4" t="s">
        <v>8</v>
      </c>
    </row>
    <row r="688" spans="1:8" ht="14.5">
      <c r="A688" s="3">
        <v>39</v>
      </c>
      <c r="B688" s="3"/>
      <c r="C688" s="4" t="s">
        <v>10</v>
      </c>
      <c r="E688" s="3">
        <v>18.3</v>
      </c>
      <c r="F688" s="3">
        <v>19023.259999999998</v>
      </c>
      <c r="H688" s="4" t="s">
        <v>11</v>
      </c>
    </row>
    <row r="689" spans="1:8" ht="14.5">
      <c r="A689" s="3">
        <v>39</v>
      </c>
      <c r="B689" s="3"/>
      <c r="C689" s="4" t="s">
        <v>10</v>
      </c>
      <c r="E689" s="3">
        <v>23.9</v>
      </c>
      <c r="F689" s="3">
        <v>8582.2999999999993</v>
      </c>
      <c r="H689" s="4" t="s">
        <v>8</v>
      </c>
    </row>
    <row r="690" spans="1:8" ht="14.5">
      <c r="A690" s="3">
        <v>39</v>
      </c>
      <c r="B690" s="3"/>
      <c r="C690" s="4" t="s">
        <v>7</v>
      </c>
      <c r="E690" s="3">
        <v>32.299999999999997</v>
      </c>
      <c r="F690" s="3">
        <v>6338.08</v>
      </c>
      <c r="H690" s="4" t="s">
        <v>8</v>
      </c>
    </row>
    <row r="691" spans="1:8" ht="14.5">
      <c r="A691" s="3">
        <v>39</v>
      </c>
      <c r="B691" s="3"/>
      <c r="C691" s="4" t="s">
        <v>7</v>
      </c>
      <c r="E691" s="3">
        <v>34.1</v>
      </c>
      <c r="F691" s="3">
        <v>23563.02</v>
      </c>
      <c r="H691" s="4" t="s">
        <v>8</v>
      </c>
    </row>
    <row r="692" spans="1:8" ht="14.5">
      <c r="A692" s="3">
        <v>39</v>
      </c>
      <c r="B692" s="3"/>
      <c r="C692" s="4" t="s">
        <v>7</v>
      </c>
      <c r="E692" s="3">
        <v>29.9</v>
      </c>
      <c r="F692" s="3">
        <v>22462.04</v>
      </c>
      <c r="H692" s="4" t="s">
        <v>11</v>
      </c>
    </row>
    <row r="693" spans="1:8" ht="14.5">
      <c r="A693" s="3">
        <v>39</v>
      </c>
      <c r="B693" s="3"/>
      <c r="C693" s="4" t="s">
        <v>10</v>
      </c>
      <c r="E693" s="3">
        <v>26.3</v>
      </c>
      <c r="F693" s="3">
        <v>7201.7</v>
      </c>
      <c r="H693" s="4" t="s">
        <v>8</v>
      </c>
    </row>
    <row r="694" spans="1:8" ht="14.5">
      <c r="A694" s="3">
        <v>38</v>
      </c>
      <c r="B694" s="3"/>
      <c r="C694" s="4" t="s">
        <v>7</v>
      </c>
      <c r="E694" s="3">
        <v>37.1</v>
      </c>
      <c r="F694" s="3">
        <v>6079.67</v>
      </c>
      <c r="H694" s="4" t="s">
        <v>8</v>
      </c>
    </row>
    <row r="695" spans="1:8" ht="14.5">
      <c r="A695" s="3">
        <v>38</v>
      </c>
      <c r="B695" s="3"/>
      <c r="C695" s="4" t="s">
        <v>7</v>
      </c>
      <c r="E695" s="3">
        <v>19.3</v>
      </c>
      <c r="F695" s="3">
        <v>15820.7</v>
      </c>
      <c r="H695" s="4" t="s">
        <v>11</v>
      </c>
    </row>
    <row r="696" spans="1:8" ht="14.5">
      <c r="A696" s="3">
        <v>38</v>
      </c>
      <c r="B696" s="3"/>
      <c r="C696" s="4" t="s">
        <v>7</v>
      </c>
      <c r="E696" s="3">
        <v>34.700000000000003</v>
      </c>
      <c r="F696" s="3">
        <v>6082.41</v>
      </c>
      <c r="H696" s="4" t="s">
        <v>8</v>
      </c>
    </row>
    <row r="697" spans="1:8" ht="14.5">
      <c r="A697" s="3">
        <v>38</v>
      </c>
      <c r="B697" s="3"/>
      <c r="C697" s="4" t="s">
        <v>7</v>
      </c>
      <c r="E697" s="3">
        <v>27.8</v>
      </c>
      <c r="F697" s="3">
        <v>6455.86</v>
      </c>
      <c r="H697" s="4" t="s">
        <v>8</v>
      </c>
    </row>
    <row r="698" spans="1:8" ht="14.5">
      <c r="A698" s="3">
        <v>38</v>
      </c>
      <c r="B698" s="3"/>
      <c r="C698" s="4" t="s">
        <v>10</v>
      </c>
      <c r="E698" s="3">
        <v>40.200000000000003</v>
      </c>
      <c r="F698" s="3">
        <v>5400.98</v>
      </c>
      <c r="H698" s="4" t="s">
        <v>8</v>
      </c>
    </row>
    <row r="699" spans="1:8" ht="14.5">
      <c r="A699" s="3">
        <v>38</v>
      </c>
      <c r="B699" s="3"/>
      <c r="C699" s="4" t="s">
        <v>7</v>
      </c>
      <c r="E699" s="3">
        <v>21.1</v>
      </c>
      <c r="F699" s="3">
        <v>6652.53</v>
      </c>
      <c r="H699" s="4" t="s">
        <v>8</v>
      </c>
    </row>
    <row r="700" spans="1:8" ht="14.5">
      <c r="A700" s="3">
        <v>38</v>
      </c>
      <c r="B700" s="3"/>
      <c r="C700" s="4" t="s">
        <v>10</v>
      </c>
      <c r="E700" s="3">
        <v>27.3</v>
      </c>
      <c r="F700" s="3">
        <v>6555.07</v>
      </c>
      <c r="H700" s="4" t="s">
        <v>8</v>
      </c>
    </row>
    <row r="701" spans="1:8" ht="14.5">
      <c r="A701" s="3">
        <v>38</v>
      </c>
      <c r="B701" s="3"/>
      <c r="C701" s="4" t="s">
        <v>10</v>
      </c>
      <c r="E701" s="3">
        <v>28.9</v>
      </c>
      <c r="F701" s="3">
        <v>5974.38</v>
      </c>
      <c r="H701" s="4" t="s">
        <v>8</v>
      </c>
    </row>
    <row r="702" spans="1:8" ht="14.5">
      <c r="A702" s="3">
        <v>38</v>
      </c>
      <c r="B702" s="3"/>
      <c r="C702" s="4" t="s">
        <v>10</v>
      </c>
      <c r="E702" s="3">
        <v>37.700000000000003</v>
      </c>
      <c r="F702" s="3">
        <v>5397.62</v>
      </c>
      <c r="H702" s="4" t="s">
        <v>8</v>
      </c>
    </row>
    <row r="703" spans="1:8" ht="14.5">
      <c r="A703" s="3">
        <v>38</v>
      </c>
      <c r="B703" s="3"/>
      <c r="C703" s="4" t="s">
        <v>7</v>
      </c>
      <c r="E703" s="3">
        <v>28</v>
      </c>
      <c r="F703" s="3">
        <v>6067.13</v>
      </c>
      <c r="H703" s="4" t="s">
        <v>8</v>
      </c>
    </row>
    <row r="704" spans="1:8" ht="14.5">
      <c r="A704" s="3">
        <v>38</v>
      </c>
      <c r="B704" s="3"/>
      <c r="C704" s="4" t="s">
        <v>10</v>
      </c>
      <c r="E704" s="3">
        <v>40.6</v>
      </c>
      <c r="F704" s="3">
        <v>6373.56</v>
      </c>
      <c r="H704" s="4" t="s">
        <v>8</v>
      </c>
    </row>
    <row r="705" spans="1:8" ht="14.5">
      <c r="A705" s="3">
        <v>38</v>
      </c>
      <c r="B705" s="3"/>
      <c r="C705" s="4" t="s">
        <v>10</v>
      </c>
      <c r="E705" s="3">
        <v>30.7</v>
      </c>
      <c r="F705" s="3">
        <v>5976.83</v>
      </c>
      <c r="H705" s="4" t="s">
        <v>8</v>
      </c>
    </row>
    <row r="706" spans="1:8" ht="14.5">
      <c r="A706" s="3">
        <v>38</v>
      </c>
      <c r="B706" s="3"/>
      <c r="C706" s="4" t="s">
        <v>10</v>
      </c>
      <c r="E706" s="3">
        <v>34.799999999999997</v>
      </c>
      <c r="F706" s="3">
        <v>6571.54</v>
      </c>
      <c r="H706" s="4" t="s">
        <v>8</v>
      </c>
    </row>
    <row r="707" spans="1:8" ht="14.5">
      <c r="A707" s="3">
        <v>38</v>
      </c>
      <c r="B707" s="3"/>
      <c r="C707" s="4" t="s">
        <v>10</v>
      </c>
      <c r="E707" s="3">
        <v>19.5</v>
      </c>
      <c r="F707" s="3">
        <v>6933.24</v>
      </c>
      <c r="H707" s="4" t="s">
        <v>8</v>
      </c>
    </row>
    <row r="708" spans="1:8" ht="14.5">
      <c r="A708" s="3">
        <v>38</v>
      </c>
      <c r="B708" s="3"/>
      <c r="C708" s="4" t="s">
        <v>10</v>
      </c>
      <c r="E708" s="3">
        <v>28</v>
      </c>
      <c r="F708" s="3">
        <v>7151.09</v>
      </c>
      <c r="H708" s="4" t="s">
        <v>8</v>
      </c>
    </row>
    <row r="709" spans="1:8" ht="14.5">
      <c r="A709" s="3">
        <v>38</v>
      </c>
      <c r="B709" s="3"/>
      <c r="C709" s="4" t="s">
        <v>7</v>
      </c>
      <c r="E709" s="3">
        <v>31</v>
      </c>
      <c r="F709" s="3">
        <v>5488.26</v>
      </c>
      <c r="H709" s="4" t="s">
        <v>8</v>
      </c>
    </row>
    <row r="710" spans="1:8" ht="14.5">
      <c r="A710" s="3">
        <v>38</v>
      </c>
      <c r="B710" s="3"/>
      <c r="C710" s="4" t="s">
        <v>10</v>
      </c>
      <c r="E710" s="3">
        <v>27.8</v>
      </c>
      <c r="F710" s="3">
        <v>7144.86</v>
      </c>
      <c r="H710" s="4" t="s">
        <v>8</v>
      </c>
    </row>
    <row r="711" spans="1:8" ht="14.5">
      <c r="A711" s="3">
        <v>38</v>
      </c>
      <c r="B711" s="3"/>
      <c r="C711" s="4" t="s">
        <v>7</v>
      </c>
      <c r="E711" s="3">
        <v>28.3</v>
      </c>
      <c r="F711" s="3">
        <v>5484.47</v>
      </c>
      <c r="H711" s="4" t="s">
        <v>8</v>
      </c>
    </row>
    <row r="712" spans="1:8" ht="14.5">
      <c r="A712" s="3">
        <v>38</v>
      </c>
      <c r="B712" s="3"/>
      <c r="C712" s="4" t="s">
        <v>10</v>
      </c>
      <c r="E712" s="3">
        <v>27.6</v>
      </c>
      <c r="F712" s="3">
        <v>5383.54</v>
      </c>
      <c r="H712" s="4" t="s">
        <v>8</v>
      </c>
    </row>
    <row r="713" spans="1:8" ht="14.5">
      <c r="A713" s="3">
        <v>38</v>
      </c>
      <c r="B713" s="3"/>
      <c r="C713" s="4" t="s">
        <v>7</v>
      </c>
      <c r="E713" s="3">
        <v>20</v>
      </c>
      <c r="F713" s="3">
        <v>5855.9</v>
      </c>
      <c r="H713" s="4" t="s">
        <v>8</v>
      </c>
    </row>
    <row r="714" spans="1:8" ht="14.5">
      <c r="A714" s="3">
        <v>38</v>
      </c>
      <c r="B714" s="3"/>
      <c r="C714" s="4" t="s">
        <v>7</v>
      </c>
      <c r="E714" s="3">
        <v>38.4</v>
      </c>
      <c r="F714" s="3">
        <v>41949.24</v>
      </c>
      <c r="H714" s="4" t="s">
        <v>11</v>
      </c>
    </row>
    <row r="715" spans="1:8" ht="14.5">
      <c r="A715" s="3">
        <v>38</v>
      </c>
      <c r="B715" s="3"/>
      <c r="C715" s="4" t="s">
        <v>7</v>
      </c>
      <c r="E715" s="3">
        <v>29.3</v>
      </c>
      <c r="F715" s="3">
        <v>6457.84</v>
      </c>
      <c r="H715" s="4" t="s">
        <v>8</v>
      </c>
    </row>
    <row r="716" spans="1:8" ht="14.5">
      <c r="A716" s="3">
        <v>38</v>
      </c>
      <c r="B716" s="3"/>
      <c r="C716" s="4" t="s">
        <v>10</v>
      </c>
      <c r="E716" s="3">
        <v>30.2</v>
      </c>
      <c r="F716" s="3">
        <v>7537.16</v>
      </c>
      <c r="H716" s="4" t="s">
        <v>8</v>
      </c>
    </row>
    <row r="717" spans="1:8" ht="14.5">
      <c r="A717" s="3">
        <v>38</v>
      </c>
      <c r="B717" s="3"/>
      <c r="C717" s="4" t="s">
        <v>7</v>
      </c>
      <c r="E717" s="3">
        <v>16.8</v>
      </c>
      <c r="F717" s="3">
        <v>6640.54</v>
      </c>
      <c r="H717" s="4" t="s">
        <v>8</v>
      </c>
    </row>
    <row r="718" spans="1:8" ht="14.5">
      <c r="A718" s="3">
        <v>38</v>
      </c>
      <c r="B718" s="3"/>
      <c r="C718" s="4" t="s">
        <v>10</v>
      </c>
      <c r="E718" s="3">
        <v>20</v>
      </c>
      <c r="F718" s="3">
        <v>7133.9</v>
      </c>
      <c r="H718" s="4" t="s">
        <v>8</v>
      </c>
    </row>
    <row r="719" spans="1:8" ht="14.5">
      <c r="A719" s="3">
        <v>37</v>
      </c>
      <c r="B719" s="3"/>
      <c r="C719" s="4" t="s">
        <v>10</v>
      </c>
      <c r="E719" s="3">
        <v>27.7</v>
      </c>
      <c r="F719" s="3">
        <v>7281.51</v>
      </c>
      <c r="H719" s="4" t="s">
        <v>8</v>
      </c>
    </row>
    <row r="720" spans="1:8" ht="14.5">
      <c r="A720" s="3">
        <v>37</v>
      </c>
      <c r="B720" s="3"/>
      <c r="C720" s="4" t="s">
        <v>7</v>
      </c>
      <c r="E720" s="3">
        <v>29.8</v>
      </c>
      <c r="F720" s="3">
        <v>6406.41</v>
      </c>
      <c r="H720" s="4" t="s">
        <v>8</v>
      </c>
    </row>
    <row r="721" spans="1:8" ht="14.5">
      <c r="A721" s="3">
        <v>37</v>
      </c>
      <c r="B721" s="3"/>
      <c r="C721" s="4" t="s">
        <v>7</v>
      </c>
      <c r="E721" s="3">
        <v>28</v>
      </c>
      <c r="F721" s="3">
        <v>6203.9</v>
      </c>
      <c r="H721" s="4" t="s">
        <v>8</v>
      </c>
    </row>
    <row r="722" spans="1:8" ht="14.5">
      <c r="A722" s="3">
        <v>37</v>
      </c>
      <c r="B722" s="3"/>
      <c r="C722" s="4" t="s">
        <v>10</v>
      </c>
      <c r="E722" s="3">
        <v>30.8</v>
      </c>
      <c r="F722" s="3">
        <v>6313.76</v>
      </c>
      <c r="H722" s="4" t="s">
        <v>8</v>
      </c>
    </row>
    <row r="723" spans="1:8" ht="14.5">
      <c r="A723" s="3">
        <v>37</v>
      </c>
      <c r="B723" s="3"/>
      <c r="C723" s="4" t="s">
        <v>10</v>
      </c>
      <c r="E723" s="3">
        <v>34.799999999999997</v>
      </c>
      <c r="F723" s="3">
        <v>39836.519999999997</v>
      </c>
      <c r="H723" s="4" t="s">
        <v>11</v>
      </c>
    </row>
    <row r="724" spans="1:8" ht="14.5">
      <c r="A724" s="3">
        <v>37</v>
      </c>
      <c r="B724" s="3"/>
      <c r="C724" s="4" t="s">
        <v>7</v>
      </c>
      <c r="E724" s="3">
        <v>30.8</v>
      </c>
      <c r="F724" s="3">
        <v>4646.76</v>
      </c>
      <c r="H724" s="4" t="s">
        <v>8</v>
      </c>
    </row>
    <row r="725" spans="1:8" ht="14.5">
      <c r="A725" s="3">
        <v>37</v>
      </c>
      <c r="B725" s="3"/>
      <c r="C725" s="4" t="s">
        <v>10</v>
      </c>
      <c r="E725" s="3">
        <v>23.4</v>
      </c>
      <c r="F725" s="3">
        <v>6686.43</v>
      </c>
      <c r="H725" s="4" t="s">
        <v>8</v>
      </c>
    </row>
    <row r="726" spans="1:8" ht="14.5">
      <c r="A726" s="3">
        <v>37</v>
      </c>
      <c r="B726" s="3"/>
      <c r="C726" s="4" t="s">
        <v>7</v>
      </c>
      <c r="E726" s="3">
        <v>29.6</v>
      </c>
      <c r="F726" s="3">
        <v>5028.1499999999996</v>
      </c>
      <c r="H726" s="4" t="s">
        <v>8</v>
      </c>
    </row>
    <row r="727" spans="1:8" ht="14.5">
      <c r="A727" s="3">
        <v>37</v>
      </c>
      <c r="B727" s="3"/>
      <c r="C727" s="4" t="s">
        <v>7</v>
      </c>
      <c r="E727" s="3">
        <v>30.9</v>
      </c>
      <c r="F727" s="3">
        <v>6796.86</v>
      </c>
      <c r="H727" s="4" t="s">
        <v>8</v>
      </c>
    </row>
    <row r="728" spans="1:8" ht="14.5">
      <c r="A728" s="3">
        <v>37</v>
      </c>
      <c r="B728" s="3"/>
      <c r="C728" s="4" t="s">
        <v>7</v>
      </c>
      <c r="E728" s="3">
        <v>36.200000000000003</v>
      </c>
      <c r="F728" s="3">
        <v>19214.71</v>
      </c>
      <c r="H728" s="4" t="s">
        <v>8</v>
      </c>
    </row>
    <row r="729" spans="1:8" ht="14.5">
      <c r="A729" s="3">
        <v>37</v>
      </c>
      <c r="B729" s="3"/>
      <c r="C729" s="4" t="s">
        <v>7</v>
      </c>
      <c r="E729" s="3">
        <v>34.1</v>
      </c>
      <c r="F729" s="3">
        <v>40182.25</v>
      </c>
      <c r="H729" s="4" t="s">
        <v>11</v>
      </c>
    </row>
    <row r="730" spans="1:8" ht="14.5">
      <c r="A730" s="3">
        <v>37</v>
      </c>
      <c r="B730" s="3"/>
      <c r="C730" s="4" t="s">
        <v>7</v>
      </c>
      <c r="E730" s="3">
        <v>46.5</v>
      </c>
      <c r="F730" s="3">
        <v>6435.62</v>
      </c>
      <c r="H730" s="4" t="s">
        <v>8</v>
      </c>
    </row>
    <row r="731" spans="1:8" ht="14.5">
      <c r="A731" s="3">
        <v>37</v>
      </c>
      <c r="B731" s="3"/>
      <c r="C731" s="4" t="s">
        <v>10</v>
      </c>
      <c r="E731" s="3">
        <v>38.4</v>
      </c>
      <c r="F731" s="3">
        <v>40419.019999999997</v>
      </c>
      <c r="H731" s="4" t="s">
        <v>11</v>
      </c>
    </row>
    <row r="732" spans="1:8" ht="14.5">
      <c r="A732" s="3">
        <v>37</v>
      </c>
      <c r="B732" s="3"/>
      <c r="C732" s="4" t="s">
        <v>10</v>
      </c>
      <c r="E732" s="3">
        <v>26.4</v>
      </c>
      <c r="F732" s="3">
        <v>19539.240000000002</v>
      </c>
      <c r="H732" s="4" t="s">
        <v>11</v>
      </c>
    </row>
    <row r="733" spans="1:8" ht="14.5">
      <c r="A733" s="3">
        <v>37</v>
      </c>
      <c r="B733" s="3"/>
      <c r="C733" s="4" t="s">
        <v>10</v>
      </c>
      <c r="E733" s="3">
        <v>30.8</v>
      </c>
      <c r="F733" s="3">
        <v>37270.15</v>
      </c>
      <c r="H733" s="4" t="s">
        <v>11</v>
      </c>
    </row>
    <row r="734" spans="1:8" ht="14.5">
      <c r="A734" s="3">
        <v>37</v>
      </c>
      <c r="B734" s="3"/>
      <c r="C734" s="4" t="s">
        <v>10</v>
      </c>
      <c r="E734" s="3">
        <v>47.6</v>
      </c>
      <c r="F734" s="3">
        <v>46113.51</v>
      </c>
      <c r="H734" s="4" t="s">
        <v>11</v>
      </c>
    </row>
    <row r="735" spans="1:8" ht="14.5">
      <c r="A735" s="3">
        <v>37</v>
      </c>
      <c r="B735" s="3"/>
      <c r="C735" s="4" t="s">
        <v>10</v>
      </c>
      <c r="E735" s="3">
        <v>29.5</v>
      </c>
      <c r="F735" s="3">
        <v>6311.95</v>
      </c>
      <c r="H735" s="4" t="s">
        <v>8</v>
      </c>
    </row>
    <row r="736" spans="1:8" ht="14.5">
      <c r="A736" s="3">
        <v>37</v>
      </c>
      <c r="B736" s="3"/>
      <c r="C736" s="4" t="s">
        <v>7</v>
      </c>
      <c r="E736" s="3">
        <v>34.200000000000003</v>
      </c>
      <c r="F736" s="3">
        <v>39047.29</v>
      </c>
      <c r="H736" s="4" t="s">
        <v>11</v>
      </c>
    </row>
    <row r="737" spans="1:8" ht="14.5">
      <c r="A737" s="3">
        <v>37</v>
      </c>
      <c r="B737" s="3"/>
      <c r="C737" s="4" t="s">
        <v>10</v>
      </c>
      <c r="E737" s="3">
        <v>17.3</v>
      </c>
      <c r="F737" s="3">
        <v>6877.98</v>
      </c>
      <c r="H737" s="4" t="s">
        <v>8</v>
      </c>
    </row>
    <row r="738" spans="1:8" ht="14.5">
      <c r="A738" s="3">
        <v>37</v>
      </c>
      <c r="B738" s="3"/>
      <c r="C738" s="4" t="s">
        <v>7</v>
      </c>
      <c r="E738" s="3">
        <v>37.1</v>
      </c>
      <c r="F738" s="3">
        <v>39871.699999999997</v>
      </c>
      <c r="H738" s="4" t="s">
        <v>11</v>
      </c>
    </row>
    <row r="739" spans="1:8" ht="14.5">
      <c r="A739" s="3">
        <v>37</v>
      </c>
      <c r="B739" s="3"/>
      <c r="C739" s="4" t="s">
        <v>7</v>
      </c>
      <c r="E739" s="3">
        <v>29.8</v>
      </c>
      <c r="F739" s="3">
        <v>20420.599999999999</v>
      </c>
      <c r="H739" s="4" t="s">
        <v>8</v>
      </c>
    </row>
    <row r="740" spans="1:8" ht="14.5">
      <c r="A740" s="3">
        <v>37</v>
      </c>
      <c r="B740" s="3"/>
      <c r="C740" s="4" t="s">
        <v>10</v>
      </c>
      <c r="E740" s="3">
        <v>34.1</v>
      </c>
      <c r="F740" s="3">
        <v>6112.35</v>
      </c>
      <c r="H740" s="4" t="s">
        <v>8</v>
      </c>
    </row>
    <row r="741" spans="1:8" ht="14.5">
      <c r="A741" s="3">
        <v>37</v>
      </c>
      <c r="B741" s="3"/>
      <c r="C741" s="4" t="s">
        <v>7</v>
      </c>
      <c r="E741" s="3">
        <v>24.3</v>
      </c>
      <c r="F741" s="3">
        <v>6198.75</v>
      </c>
      <c r="H741" s="4" t="s">
        <v>8</v>
      </c>
    </row>
    <row r="742" spans="1:8" ht="14.5">
      <c r="A742" s="3">
        <v>37</v>
      </c>
      <c r="B742" s="3"/>
      <c r="C742" s="4" t="s">
        <v>10</v>
      </c>
      <c r="E742" s="3">
        <v>25.6</v>
      </c>
      <c r="F742" s="3">
        <v>20296.86</v>
      </c>
      <c r="H742" s="4" t="s">
        <v>11</v>
      </c>
    </row>
    <row r="743" spans="1:8" ht="14.5">
      <c r="A743" s="3">
        <v>37</v>
      </c>
      <c r="B743" s="3"/>
      <c r="C743" s="4" t="s">
        <v>7</v>
      </c>
      <c r="E743" s="3">
        <v>22.7</v>
      </c>
      <c r="F743" s="3">
        <v>6985.51</v>
      </c>
      <c r="H743" s="4" t="s">
        <v>8</v>
      </c>
    </row>
    <row r="744" spans="1:8" ht="14.5">
      <c r="A744" s="3">
        <v>36</v>
      </c>
      <c r="B744" s="3"/>
      <c r="C744" s="4" t="s">
        <v>7</v>
      </c>
      <c r="E744" s="3">
        <v>35.200000000000003</v>
      </c>
      <c r="F744" s="3">
        <v>38709.18</v>
      </c>
      <c r="H744" s="4" t="s">
        <v>11</v>
      </c>
    </row>
    <row r="745" spans="1:8" ht="14.5">
      <c r="A745" s="3">
        <v>36</v>
      </c>
      <c r="B745" s="3"/>
      <c r="C745" s="4" t="s">
        <v>7</v>
      </c>
      <c r="E745" s="3">
        <v>34.4</v>
      </c>
      <c r="F745" s="3">
        <v>37742.58</v>
      </c>
      <c r="H745" s="4" t="s">
        <v>11</v>
      </c>
    </row>
    <row r="746" spans="1:8" ht="14.5">
      <c r="A746" s="3">
        <v>36</v>
      </c>
      <c r="B746" s="3"/>
      <c r="C746" s="4" t="s">
        <v>7</v>
      </c>
      <c r="E746" s="3">
        <v>41.9</v>
      </c>
      <c r="F746" s="3">
        <v>43753.34</v>
      </c>
      <c r="H746" s="4" t="s">
        <v>11</v>
      </c>
    </row>
    <row r="747" spans="1:8" ht="14.5">
      <c r="A747" s="3">
        <v>36</v>
      </c>
      <c r="B747" s="3"/>
      <c r="C747" s="4" t="s">
        <v>10</v>
      </c>
      <c r="E747" s="3">
        <v>26.2</v>
      </c>
      <c r="F747" s="3">
        <v>4883.87</v>
      </c>
      <c r="H747" s="4" t="s">
        <v>8</v>
      </c>
    </row>
    <row r="748" spans="1:8" ht="14.5">
      <c r="A748" s="3">
        <v>36</v>
      </c>
      <c r="B748" s="3"/>
      <c r="C748" s="4" t="s">
        <v>7</v>
      </c>
      <c r="E748" s="3">
        <v>27.6</v>
      </c>
      <c r="F748" s="3">
        <v>6746.74</v>
      </c>
      <c r="H748" s="4" t="s">
        <v>8</v>
      </c>
    </row>
    <row r="749" spans="1:8" ht="14.5">
      <c r="A749" s="3">
        <v>36</v>
      </c>
      <c r="B749" s="3"/>
      <c r="C749" s="4" t="s">
        <v>10</v>
      </c>
      <c r="E749" s="3">
        <v>29.9</v>
      </c>
      <c r="F749" s="3">
        <v>5478.04</v>
      </c>
      <c r="H749" s="4" t="s">
        <v>8</v>
      </c>
    </row>
    <row r="750" spans="1:8" ht="14.5">
      <c r="A750" s="3">
        <v>36</v>
      </c>
      <c r="B750" s="3"/>
      <c r="C750" s="4" t="s">
        <v>10</v>
      </c>
      <c r="E750" s="3">
        <v>22.6</v>
      </c>
      <c r="F750" s="3">
        <v>18608.259999999998</v>
      </c>
      <c r="H750" s="4" t="s">
        <v>11</v>
      </c>
    </row>
    <row r="751" spans="1:8" ht="14.5">
      <c r="A751" s="3">
        <v>36</v>
      </c>
      <c r="B751" s="3"/>
      <c r="C751" s="4" t="s">
        <v>7</v>
      </c>
      <c r="E751" s="3">
        <v>28.9</v>
      </c>
      <c r="F751" s="3">
        <v>6748.59</v>
      </c>
      <c r="H751" s="4" t="s">
        <v>8</v>
      </c>
    </row>
    <row r="752" spans="1:8" ht="14.5">
      <c r="A752" s="3">
        <v>36</v>
      </c>
      <c r="B752" s="3"/>
      <c r="C752" s="4" t="s">
        <v>7</v>
      </c>
      <c r="E752" s="3">
        <v>29.7</v>
      </c>
      <c r="F752" s="3">
        <v>4399.7299999999996</v>
      </c>
      <c r="H752" s="4" t="s">
        <v>8</v>
      </c>
    </row>
    <row r="753" spans="1:8" ht="14.5">
      <c r="A753" s="3">
        <v>36</v>
      </c>
      <c r="B753" s="3"/>
      <c r="C753" s="4" t="s">
        <v>10</v>
      </c>
      <c r="E753" s="3">
        <v>27.7</v>
      </c>
      <c r="F753" s="3">
        <v>5469.01</v>
      </c>
      <c r="H753" s="4" t="s">
        <v>8</v>
      </c>
    </row>
    <row r="754" spans="1:8" ht="14.5">
      <c r="A754" s="3">
        <v>36</v>
      </c>
      <c r="B754" s="3"/>
      <c r="C754" s="4" t="s">
        <v>7</v>
      </c>
      <c r="E754" s="3">
        <v>34.4</v>
      </c>
      <c r="F754" s="3">
        <v>5584.31</v>
      </c>
      <c r="H754" s="4" t="s">
        <v>8</v>
      </c>
    </row>
    <row r="755" spans="1:8" ht="14.5">
      <c r="A755" s="3">
        <v>36</v>
      </c>
      <c r="B755" s="3"/>
      <c r="C755" s="4" t="s">
        <v>7</v>
      </c>
      <c r="E755" s="3">
        <v>28</v>
      </c>
      <c r="F755" s="3">
        <v>20773.63</v>
      </c>
      <c r="H755" s="4" t="s">
        <v>11</v>
      </c>
    </row>
    <row r="756" spans="1:8" ht="14.5">
      <c r="A756" s="3">
        <v>36</v>
      </c>
      <c r="B756" s="3"/>
      <c r="C756" s="4" t="s">
        <v>10</v>
      </c>
      <c r="E756" s="3">
        <v>25.8</v>
      </c>
      <c r="F756" s="3">
        <v>5266.37</v>
      </c>
      <c r="H756" s="4" t="s">
        <v>8</v>
      </c>
    </row>
    <row r="757" spans="1:8" ht="14.5">
      <c r="A757" s="3">
        <v>36</v>
      </c>
      <c r="B757" s="3"/>
      <c r="C757" s="4" t="s">
        <v>7</v>
      </c>
      <c r="E757" s="3">
        <v>33.799999999999997</v>
      </c>
      <c r="F757" s="3">
        <v>5377.46</v>
      </c>
      <c r="H757" s="4" t="s">
        <v>8</v>
      </c>
    </row>
    <row r="758" spans="1:8" ht="14.5">
      <c r="A758" s="3">
        <v>36</v>
      </c>
      <c r="B758" s="3"/>
      <c r="C758" s="4" t="s">
        <v>7</v>
      </c>
      <c r="E758" s="3">
        <v>31.5</v>
      </c>
      <c r="F758" s="3">
        <v>4402.2299999999996</v>
      </c>
      <c r="H758" s="4" t="s">
        <v>8</v>
      </c>
    </row>
    <row r="759" spans="1:8" ht="14.5">
      <c r="A759" s="3">
        <v>36</v>
      </c>
      <c r="B759" s="3"/>
      <c r="C759" s="4" t="s">
        <v>10</v>
      </c>
      <c r="E759" s="3">
        <v>19.899999999999999</v>
      </c>
      <c r="F759" s="3">
        <v>5458.05</v>
      </c>
      <c r="H759" s="4" t="s">
        <v>8</v>
      </c>
    </row>
    <row r="760" spans="1:8" ht="14.5">
      <c r="A760" s="3">
        <v>36</v>
      </c>
      <c r="B760" s="3"/>
      <c r="C760" s="4" t="s">
        <v>10</v>
      </c>
      <c r="E760" s="3">
        <v>30</v>
      </c>
      <c r="F760" s="3">
        <v>5272.18</v>
      </c>
      <c r="H760" s="4" t="s">
        <v>8</v>
      </c>
    </row>
    <row r="761" spans="1:8" ht="14.5">
      <c r="A761" s="3">
        <v>36</v>
      </c>
      <c r="B761" s="3"/>
      <c r="C761" s="4" t="s">
        <v>10</v>
      </c>
      <c r="E761" s="3">
        <v>29</v>
      </c>
      <c r="F761" s="3">
        <v>7243.81</v>
      </c>
      <c r="H761" s="4" t="s">
        <v>8</v>
      </c>
    </row>
    <row r="762" spans="1:8" ht="14.5">
      <c r="A762" s="3">
        <v>36</v>
      </c>
      <c r="B762" s="3"/>
      <c r="C762" s="4" t="s">
        <v>10</v>
      </c>
      <c r="E762" s="3">
        <v>29.9</v>
      </c>
      <c r="F762" s="3">
        <v>4889.04</v>
      </c>
      <c r="H762" s="4" t="s">
        <v>8</v>
      </c>
    </row>
    <row r="763" spans="1:8" ht="14.5">
      <c r="A763" s="3">
        <v>36</v>
      </c>
      <c r="B763" s="3"/>
      <c r="C763" s="4" t="s">
        <v>10</v>
      </c>
      <c r="E763" s="3">
        <v>26.9</v>
      </c>
      <c r="F763" s="3">
        <v>5267.82</v>
      </c>
      <c r="H763" s="4" t="s">
        <v>8</v>
      </c>
    </row>
    <row r="764" spans="1:8" ht="14.5">
      <c r="A764" s="3">
        <v>36</v>
      </c>
      <c r="B764" s="3"/>
      <c r="C764" s="4" t="s">
        <v>7</v>
      </c>
      <c r="E764" s="3">
        <v>28.6</v>
      </c>
      <c r="F764" s="3">
        <v>6548.2</v>
      </c>
      <c r="H764" s="4" t="s">
        <v>8</v>
      </c>
    </row>
    <row r="765" spans="1:8" ht="14.5">
      <c r="A765" s="3">
        <v>36</v>
      </c>
      <c r="B765" s="3"/>
      <c r="C765" s="4" t="s">
        <v>10</v>
      </c>
      <c r="E765" s="3">
        <v>22.1</v>
      </c>
      <c r="F765" s="3">
        <v>7228.22</v>
      </c>
      <c r="H765" s="4" t="s">
        <v>8</v>
      </c>
    </row>
    <row r="766" spans="1:8" ht="14.5">
      <c r="A766" s="3">
        <v>36</v>
      </c>
      <c r="B766" s="3"/>
      <c r="C766" s="4" t="s">
        <v>7</v>
      </c>
      <c r="E766" s="3">
        <v>33.4</v>
      </c>
      <c r="F766" s="3">
        <v>38415.47</v>
      </c>
      <c r="H766" s="4" t="s">
        <v>11</v>
      </c>
    </row>
    <row r="767" spans="1:8" ht="14.5">
      <c r="A767" s="3">
        <v>36</v>
      </c>
      <c r="B767" s="3"/>
      <c r="C767" s="4" t="s">
        <v>7</v>
      </c>
      <c r="E767" s="3">
        <v>30.9</v>
      </c>
      <c r="F767" s="3">
        <v>5373.36</v>
      </c>
      <c r="H767" s="4" t="s">
        <v>8</v>
      </c>
    </row>
    <row r="768" spans="1:8" ht="14.5">
      <c r="A768" s="3">
        <v>36</v>
      </c>
      <c r="B768" s="3"/>
      <c r="C768" s="4" t="s">
        <v>10</v>
      </c>
      <c r="E768" s="3">
        <v>25.9</v>
      </c>
      <c r="F768" s="3">
        <v>5472.45</v>
      </c>
      <c r="H768" s="4" t="s">
        <v>8</v>
      </c>
    </row>
    <row r="769" spans="1:8" ht="14.5">
      <c r="A769" s="3">
        <v>35</v>
      </c>
      <c r="B769" s="3"/>
      <c r="C769" s="4" t="s">
        <v>7</v>
      </c>
      <c r="E769" s="3">
        <v>36.700000000000003</v>
      </c>
      <c r="F769" s="3">
        <v>39774.28</v>
      </c>
      <c r="H769" s="4" t="s">
        <v>11</v>
      </c>
    </row>
    <row r="770" spans="1:8" ht="14.5">
      <c r="A770" s="3">
        <v>35</v>
      </c>
      <c r="B770" s="3"/>
      <c r="C770" s="4" t="s">
        <v>7</v>
      </c>
      <c r="E770" s="3">
        <v>34.799999999999997</v>
      </c>
      <c r="F770" s="3">
        <v>5729.01</v>
      </c>
      <c r="H770" s="4" t="s">
        <v>8</v>
      </c>
    </row>
    <row r="771" spans="1:8" ht="14.5">
      <c r="A771" s="3">
        <v>35</v>
      </c>
      <c r="B771" s="3"/>
      <c r="C771" s="4" t="s">
        <v>7</v>
      </c>
      <c r="E771" s="3">
        <v>24.1</v>
      </c>
      <c r="F771" s="3">
        <v>5125.22</v>
      </c>
      <c r="H771" s="4" t="s">
        <v>8</v>
      </c>
    </row>
    <row r="772" spans="1:8" ht="14.5">
      <c r="A772" s="3">
        <v>35</v>
      </c>
      <c r="B772" s="3"/>
      <c r="C772" s="4" t="s">
        <v>10</v>
      </c>
      <c r="E772" s="3">
        <v>34.799999999999997</v>
      </c>
      <c r="F772" s="3">
        <v>5246.05</v>
      </c>
      <c r="H772" s="4" t="s">
        <v>8</v>
      </c>
    </row>
    <row r="773" spans="1:8" ht="14.5">
      <c r="A773" s="3">
        <v>35</v>
      </c>
      <c r="B773" s="3"/>
      <c r="C773" s="4" t="s">
        <v>7</v>
      </c>
      <c r="E773" s="3">
        <v>27.7</v>
      </c>
      <c r="F773" s="3">
        <v>20984.09</v>
      </c>
      <c r="H773" s="4" t="s">
        <v>11</v>
      </c>
    </row>
    <row r="774" spans="1:8" ht="14.5">
      <c r="A774" s="3">
        <v>35</v>
      </c>
      <c r="B774" s="3"/>
      <c r="C774" s="4" t="s">
        <v>7</v>
      </c>
      <c r="E774" s="3">
        <v>30.5</v>
      </c>
      <c r="F774" s="3">
        <v>4751.07</v>
      </c>
      <c r="H774" s="4" t="s">
        <v>8</v>
      </c>
    </row>
    <row r="775" spans="1:8" ht="14.5">
      <c r="A775" s="3">
        <v>35</v>
      </c>
      <c r="B775" s="3"/>
      <c r="C775" s="4" t="s">
        <v>10</v>
      </c>
      <c r="E775" s="3">
        <v>43.3</v>
      </c>
      <c r="F775" s="3">
        <v>5846.92</v>
      </c>
      <c r="H775" s="4" t="s">
        <v>8</v>
      </c>
    </row>
    <row r="776" spans="1:8" ht="14.5">
      <c r="A776" s="3">
        <v>35</v>
      </c>
      <c r="B776" s="3"/>
      <c r="C776" s="4" t="s">
        <v>7</v>
      </c>
      <c r="E776" s="3">
        <v>28.9</v>
      </c>
      <c r="F776" s="3">
        <v>5926.85</v>
      </c>
      <c r="H776" s="4" t="s">
        <v>8</v>
      </c>
    </row>
    <row r="777" spans="1:8" ht="14.5">
      <c r="A777" s="3">
        <v>35</v>
      </c>
      <c r="B777" s="3"/>
      <c r="C777" s="4" t="s">
        <v>7</v>
      </c>
      <c r="E777" s="3">
        <v>38.6</v>
      </c>
      <c r="F777" s="3">
        <v>4762.33</v>
      </c>
      <c r="H777" s="4" t="s">
        <v>8</v>
      </c>
    </row>
    <row r="778" spans="1:8" ht="14.5">
      <c r="A778" s="3">
        <v>35</v>
      </c>
      <c r="B778" s="3"/>
      <c r="C778" s="4" t="s">
        <v>10</v>
      </c>
      <c r="E778" s="3">
        <v>31</v>
      </c>
      <c r="F778" s="3">
        <v>5240.7700000000004</v>
      </c>
      <c r="H778" s="4" t="s">
        <v>8</v>
      </c>
    </row>
    <row r="779" spans="1:8" ht="14.5">
      <c r="A779" s="3">
        <v>35</v>
      </c>
      <c r="B779" s="3"/>
      <c r="C779" s="4" t="s">
        <v>10</v>
      </c>
      <c r="E779" s="3">
        <v>34.1</v>
      </c>
      <c r="F779" s="3">
        <v>39983.43</v>
      </c>
      <c r="H779" s="4" t="s">
        <v>11</v>
      </c>
    </row>
    <row r="780" spans="1:8" ht="14.5">
      <c r="A780" s="3">
        <v>35</v>
      </c>
      <c r="B780" s="3"/>
      <c r="C780" s="4" t="s">
        <v>10</v>
      </c>
      <c r="E780" s="3">
        <v>38.1</v>
      </c>
      <c r="F780" s="3">
        <v>24915.05</v>
      </c>
      <c r="H780" s="4" t="s">
        <v>8</v>
      </c>
    </row>
    <row r="781" spans="1:8" ht="14.5">
      <c r="A781" s="3">
        <v>35</v>
      </c>
      <c r="B781" s="3"/>
      <c r="C781" s="4" t="s">
        <v>7</v>
      </c>
      <c r="E781" s="3">
        <v>24.4</v>
      </c>
      <c r="F781" s="3">
        <v>19362</v>
      </c>
      <c r="H781" s="4" t="s">
        <v>11</v>
      </c>
    </row>
    <row r="782" spans="1:8" ht="14.5">
      <c r="A782" s="3">
        <v>35</v>
      </c>
      <c r="B782" s="3"/>
      <c r="C782" s="4" t="s">
        <v>7</v>
      </c>
      <c r="E782" s="3">
        <v>34.299999999999997</v>
      </c>
      <c r="F782" s="3">
        <v>5934.38</v>
      </c>
      <c r="H782" s="4" t="s">
        <v>8</v>
      </c>
    </row>
    <row r="783" spans="1:8" ht="14.5">
      <c r="A783" s="3">
        <v>35</v>
      </c>
      <c r="B783" s="3"/>
      <c r="C783" s="4" t="s">
        <v>10</v>
      </c>
      <c r="E783" s="3">
        <v>27.7</v>
      </c>
      <c r="F783" s="3">
        <v>6414.18</v>
      </c>
      <c r="H783" s="4" t="s">
        <v>8</v>
      </c>
    </row>
    <row r="784" spans="1:8" ht="14.5">
      <c r="A784" s="3">
        <v>35</v>
      </c>
      <c r="B784" s="3"/>
      <c r="C784" s="4" t="s">
        <v>10</v>
      </c>
      <c r="E784" s="3">
        <v>23.5</v>
      </c>
      <c r="F784" s="3">
        <v>6402.29</v>
      </c>
      <c r="H784" s="4" t="s">
        <v>8</v>
      </c>
    </row>
    <row r="785" spans="1:8" ht="14.5">
      <c r="A785" s="3">
        <v>35</v>
      </c>
      <c r="B785" s="3"/>
      <c r="C785" s="4" t="s">
        <v>10</v>
      </c>
      <c r="E785" s="3">
        <v>34.200000000000003</v>
      </c>
      <c r="F785" s="3">
        <v>5245.23</v>
      </c>
      <c r="H785" s="4" t="s">
        <v>8</v>
      </c>
    </row>
    <row r="786" spans="1:8" ht="14.5">
      <c r="A786" s="3">
        <v>35</v>
      </c>
      <c r="B786" s="3"/>
      <c r="C786" s="4" t="s">
        <v>7</v>
      </c>
      <c r="E786" s="3">
        <v>27.1</v>
      </c>
      <c r="F786" s="3">
        <v>4746.34</v>
      </c>
      <c r="H786" s="4" t="s">
        <v>8</v>
      </c>
    </row>
    <row r="787" spans="1:8" ht="14.5">
      <c r="A787" s="3">
        <v>35</v>
      </c>
      <c r="B787" s="3"/>
      <c r="C787" s="4" t="s">
        <v>10</v>
      </c>
      <c r="E787" s="3">
        <v>28</v>
      </c>
      <c r="F787" s="3">
        <v>20234.849999999999</v>
      </c>
      <c r="H787" s="4" t="s">
        <v>11</v>
      </c>
    </row>
    <row r="788" spans="1:8" ht="14.5">
      <c r="A788" s="3">
        <v>35</v>
      </c>
      <c r="B788" s="3"/>
      <c r="C788" s="4" t="s">
        <v>10</v>
      </c>
      <c r="E788" s="3">
        <v>35.9</v>
      </c>
      <c r="F788" s="3">
        <v>5836.52</v>
      </c>
      <c r="H788" s="4" t="s">
        <v>8</v>
      </c>
    </row>
    <row r="789" spans="1:8" ht="14.5">
      <c r="A789" s="3">
        <v>35</v>
      </c>
      <c r="B789" s="3"/>
      <c r="C789" s="4" t="s">
        <v>10</v>
      </c>
      <c r="E789" s="3">
        <v>35.799999999999997</v>
      </c>
      <c r="F789" s="3">
        <v>5630.46</v>
      </c>
      <c r="H789" s="4" t="s">
        <v>8</v>
      </c>
    </row>
    <row r="790" spans="1:8" ht="14.5">
      <c r="A790" s="3">
        <v>35</v>
      </c>
      <c r="B790" s="3"/>
      <c r="C790" s="4" t="s">
        <v>10</v>
      </c>
      <c r="E790" s="3">
        <v>26.1</v>
      </c>
      <c r="F790" s="3">
        <v>5227.99</v>
      </c>
      <c r="H790" s="4" t="s">
        <v>8</v>
      </c>
    </row>
    <row r="791" spans="1:8" ht="14.5">
      <c r="A791" s="3">
        <v>35</v>
      </c>
      <c r="B791" s="3"/>
      <c r="C791" s="4" t="s">
        <v>7</v>
      </c>
      <c r="E791" s="3">
        <v>17.899999999999999</v>
      </c>
      <c r="F791" s="3">
        <v>5116.5</v>
      </c>
      <c r="H791" s="4" t="s">
        <v>8</v>
      </c>
    </row>
    <row r="792" spans="1:8" ht="14.5">
      <c r="A792" s="3">
        <v>35</v>
      </c>
      <c r="B792" s="3"/>
      <c r="C792" s="4" t="s">
        <v>7</v>
      </c>
      <c r="E792" s="3">
        <v>27.6</v>
      </c>
      <c r="F792" s="3">
        <v>4747.05</v>
      </c>
      <c r="H792" s="4" t="s">
        <v>8</v>
      </c>
    </row>
    <row r="793" spans="1:8" ht="14.5">
      <c r="A793" s="3">
        <v>35</v>
      </c>
      <c r="B793" s="3"/>
      <c r="C793" s="4" t="s">
        <v>7</v>
      </c>
      <c r="E793" s="3">
        <v>39.700000000000003</v>
      </c>
      <c r="F793" s="3">
        <v>19496.72</v>
      </c>
      <c r="H793" s="4" t="s">
        <v>8</v>
      </c>
    </row>
    <row r="794" spans="1:8" ht="14.5">
      <c r="A794" s="3">
        <v>34</v>
      </c>
      <c r="B794" s="3"/>
      <c r="C794" s="4" t="s">
        <v>10</v>
      </c>
      <c r="E794" s="3">
        <v>31.9</v>
      </c>
      <c r="F794" s="3">
        <v>37701.879999999997</v>
      </c>
      <c r="H794" s="4" t="s">
        <v>11</v>
      </c>
    </row>
    <row r="795" spans="1:8" ht="14.5">
      <c r="A795" s="3">
        <v>34</v>
      </c>
      <c r="B795" s="3"/>
      <c r="C795" s="4" t="s">
        <v>10</v>
      </c>
      <c r="E795" s="3">
        <v>37.299999999999997</v>
      </c>
      <c r="F795" s="3">
        <v>5989.52</v>
      </c>
      <c r="H795" s="4" t="s">
        <v>8</v>
      </c>
    </row>
    <row r="796" spans="1:8" ht="14.5">
      <c r="A796" s="3">
        <v>34</v>
      </c>
      <c r="B796" s="3"/>
      <c r="C796" s="4" t="s">
        <v>10</v>
      </c>
      <c r="E796" s="3">
        <v>27.5</v>
      </c>
      <c r="F796" s="3">
        <v>5003.8500000000004</v>
      </c>
      <c r="H796" s="4" t="s">
        <v>8</v>
      </c>
    </row>
    <row r="797" spans="1:8" ht="14.5">
      <c r="A797" s="3">
        <v>34</v>
      </c>
      <c r="B797" s="3"/>
      <c r="C797" s="4" t="s">
        <v>7</v>
      </c>
      <c r="E797" s="3">
        <v>22.4</v>
      </c>
      <c r="F797" s="3">
        <v>27375.9</v>
      </c>
      <c r="H797" s="4" t="s">
        <v>8</v>
      </c>
    </row>
    <row r="798" spans="1:8" ht="14.5">
      <c r="A798" s="3">
        <v>34</v>
      </c>
      <c r="B798" s="3"/>
      <c r="C798" s="4" t="s">
        <v>7</v>
      </c>
      <c r="E798" s="3">
        <v>25.3</v>
      </c>
      <c r="F798" s="3">
        <v>18972.5</v>
      </c>
      <c r="H798" s="4" t="s">
        <v>11</v>
      </c>
    </row>
    <row r="799" spans="1:8" ht="14.5">
      <c r="A799" s="3">
        <v>34</v>
      </c>
      <c r="B799" s="3"/>
      <c r="C799" s="4" t="s">
        <v>10</v>
      </c>
      <c r="E799" s="3">
        <v>26.7</v>
      </c>
      <c r="F799" s="3">
        <v>5002.78</v>
      </c>
      <c r="H799" s="4" t="s">
        <v>8</v>
      </c>
    </row>
    <row r="800" spans="1:8" ht="14.5">
      <c r="A800" s="3">
        <v>34</v>
      </c>
      <c r="B800" s="3"/>
      <c r="C800" s="4" t="s">
        <v>10</v>
      </c>
      <c r="E800" s="3">
        <v>33.700000000000003</v>
      </c>
      <c r="F800" s="3">
        <v>5012.47</v>
      </c>
      <c r="H800" s="4" t="s">
        <v>8</v>
      </c>
    </row>
    <row r="801" spans="1:8" ht="14.5">
      <c r="A801" s="3">
        <v>34</v>
      </c>
      <c r="B801" s="3"/>
      <c r="C801" s="4" t="s">
        <v>7</v>
      </c>
      <c r="E801" s="3">
        <v>25.3</v>
      </c>
      <c r="F801" s="3">
        <v>4894.75</v>
      </c>
      <c r="H801" s="4" t="s">
        <v>8</v>
      </c>
    </row>
    <row r="802" spans="1:8" ht="14.5">
      <c r="A802" s="3">
        <v>34</v>
      </c>
      <c r="B802" s="3"/>
      <c r="C802" s="4" t="s">
        <v>7</v>
      </c>
      <c r="E802" s="3">
        <v>30.8</v>
      </c>
      <c r="F802" s="3">
        <v>35491.64</v>
      </c>
      <c r="H802" s="4" t="s">
        <v>11</v>
      </c>
    </row>
    <row r="803" spans="1:8" ht="14.5">
      <c r="A803" s="3">
        <v>34</v>
      </c>
      <c r="B803" s="3"/>
      <c r="C803" s="4" t="s">
        <v>10</v>
      </c>
      <c r="E803" s="3">
        <v>29.3</v>
      </c>
      <c r="F803" s="3">
        <v>6184.3</v>
      </c>
      <c r="H803" s="4" t="s">
        <v>8</v>
      </c>
    </row>
    <row r="804" spans="1:8" ht="14.5">
      <c r="A804" s="3">
        <v>34</v>
      </c>
      <c r="B804" s="3"/>
      <c r="C804" s="4" t="s">
        <v>10</v>
      </c>
      <c r="E804" s="3">
        <v>38</v>
      </c>
      <c r="F804" s="3">
        <v>6196.45</v>
      </c>
      <c r="H804" s="4" t="s">
        <v>8</v>
      </c>
    </row>
    <row r="805" spans="1:8" ht="14.5">
      <c r="A805" s="3">
        <v>34</v>
      </c>
      <c r="B805" s="3"/>
      <c r="C805" s="4" t="s">
        <v>7</v>
      </c>
      <c r="E805" s="3">
        <v>34.200000000000003</v>
      </c>
      <c r="F805" s="3">
        <v>3935.18</v>
      </c>
      <c r="H805" s="4" t="s">
        <v>8</v>
      </c>
    </row>
    <row r="806" spans="1:8" ht="14.5">
      <c r="A806" s="3">
        <v>34</v>
      </c>
      <c r="B806" s="3"/>
      <c r="C806" s="4" t="s">
        <v>10</v>
      </c>
      <c r="E806" s="3">
        <v>30.2</v>
      </c>
      <c r="F806" s="3">
        <v>43943.88</v>
      </c>
      <c r="H806" s="4" t="s">
        <v>11</v>
      </c>
    </row>
    <row r="807" spans="1:8" ht="14.5">
      <c r="A807" s="3">
        <v>34</v>
      </c>
      <c r="B807" s="3"/>
      <c r="C807" s="4" t="s">
        <v>10</v>
      </c>
      <c r="E807" s="3">
        <v>33.299999999999997</v>
      </c>
      <c r="F807" s="3">
        <v>5594.85</v>
      </c>
      <c r="H807" s="4" t="s">
        <v>8</v>
      </c>
    </row>
    <row r="808" spans="1:8" ht="14.5">
      <c r="A808" s="3">
        <v>34</v>
      </c>
      <c r="B808" s="3"/>
      <c r="C808" s="4" t="s">
        <v>10</v>
      </c>
      <c r="E808" s="3">
        <v>19</v>
      </c>
      <c r="F808" s="3">
        <v>6753.04</v>
      </c>
      <c r="H808" s="4" t="s">
        <v>8</v>
      </c>
    </row>
    <row r="809" spans="1:8" ht="14.5">
      <c r="A809" s="3">
        <v>34</v>
      </c>
      <c r="B809" s="3"/>
      <c r="C809" s="4" t="s">
        <v>10</v>
      </c>
      <c r="E809" s="3">
        <v>26.4</v>
      </c>
      <c r="F809" s="3">
        <v>5385.34</v>
      </c>
      <c r="H809" s="4" t="s">
        <v>8</v>
      </c>
    </row>
    <row r="810" spans="1:8" ht="14.5">
      <c r="A810" s="3">
        <v>34</v>
      </c>
      <c r="B810" s="3"/>
      <c r="C810" s="4" t="s">
        <v>7</v>
      </c>
      <c r="E810" s="3">
        <v>27</v>
      </c>
      <c r="F810" s="3">
        <v>11737.85</v>
      </c>
      <c r="H810" s="4" t="s">
        <v>8</v>
      </c>
    </row>
    <row r="811" spans="1:8" ht="14.5">
      <c r="A811" s="3">
        <v>34</v>
      </c>
      <c r="B811" s="3"/>
      <c r="C811" s="4" t="s">
        <v>7</v>
      </c>
      <c r="E811" s="3">
        <v>35.799999999999997</v>
      </c>
      <c r="F811" s="3">
        <v>4320.41</v>
      </c>
      <c r="H811" s="4" t="s">
        <v>8</v>
      </c>
    </row>
    <row r="812" spans="1:8" ht="14.5">
      <c r="A812" s="3">
        <v>34</v>
      </c>
      <c r="B812" s="3"/>
      <c r="C812" s="4" t="s">
        <v>7</v>
      </c>
      <c r="E812" s="3">
        <v>27.8</v>
      </c>
      <c r="F812" s="3">
        <v>20009.63</v>
      </c>
      <c r="H812" s="4" t="s">
        <v>11</v>
      </c>
    </row>
    <row r="813" spans="1:8" ht="14.5">
      <c r="A813" s="3">
        <v>34</v>
      </c>
      <c r="B813" s="3"/>
      <c r="C813" s="4" t="s">
        <v>10</v>
      </c>
      <c r="E813" s="3">
        <v>23.6</v>
      </c>
      <c r="F813" s="3">
        <v>4992.38</v>
      </c>
      <c r="H813" s="4" t="s">
        <v>8</v>
      </c>
    </row>
    <row r="814" spans="1:8" ht="14.5">
      <c r="A814" s="3">
        <v>34</v>
      </c>
      <c r="B814" s="3"/>
      <c r="C814" s="4" t="s">
        <v>7</v>
      </c>
      <c r="E814" s="3">
        <v>21.4</v>
      </c>
      <c r="F814" s="3">
        <v>4500.34</v>
      </c>
      <c r="H814" s="4" t="s">
        <v>8</v>
      </c>
    </row>
    <row r="815" spans="1:8" ht="14.5">
      <c r="A815" s="3">
        <v>34</v>
      </c>
      <c r="B815" s="3"/>
      <c r="C815" s="4" t="s">
        <v>7</v>
      </c>
      <c r="E815" s="3">
        <v>34.700000000000003</v>
      </c>
      <c r="F815" s="3">
        <v>4518.83</v>
      </c>
      <c r="H815" s="4" t="s">
        <v>8</v>
      </c>
    </row>
    <row r="816" spans="1:8" ht="14.5">
      <c r="A816" s="3">
        <v>34</v>
      </c>
      <c r="B816" s="3"/>
      <c r="C816" s="4" t="s">
        <v>7</v>
      </c>
      <c r="E816" s="3">
        <v>32.799999999999997</v>
      </c>
      <c r="F816" s="3">
        <v>14358.36</v>
      </c>
      <c r="H816" s="4" t="s">
        <v>8</v>
      </c>
    </row>
    <row r="817" spans="1:8" ht="14.5">
      <c r="A817" s="3">
        <v>34</v>
      </c>
      <c r="B817" s="3"/>
      <c r="C817" s="4" t="s">
        <v>7</v>
      </c>
      <c r="E817" s="3">
        <v>42.1</v>
      </c>
      <c r="F817" s="3">
        <v>5124.1899999999996</v>
      </c>
      <c r="H817" s="4" t="s">
        <v>8</v>
      </c>
    </row>
    <row r="818" spans="1:8" ht="14.5">
      <c r="A818" s="3">
        <v>34</v>
      </c>
      <c r="B818" s="3"/>
      <c r="C818" s="4" t="s">
        <v>10</v>
      </c>
      <c r="E818" s="3">
        <v>27.7</v>
      </c>
      <c r="F818" s="3">
        <v>4415.16</v>
      </c>
      <c r="H818" s="4" t="s">
        <v>8</v>
      </c>
    </row>
    <row r="819" spans="1:8" ht="14.5">
      <c r="A819" s="3">
        <v>34</v>
      </c>
      <c r="B819" s="3"/>
      <c r="C819" s="4" t="s">
        <v>7</v>
      </c>
      <c r="E819" s="3">
        <v>42.9</v>
      </c>
      <c r="F819" s="3">
        <v>4536.26</v>
      </c>
      <c r="H819" s="4" t="s">
        <v>8</v>
      </c>
    </row>
    <row r="820" spans="1:8" ht="14.5">
      <c r="A820" s="3">
        <v>33</v>
      </c>
      <c r="B820" s="3"/>
      <c r="C820" s="4" t="s">
        <v>7</v>
      </c>
      <c r="E820" s="3">
        <v>22.7</v>
      </c>
      <c r="F820" s="3">
        <v>21984.47</v>
      </c>
      <c r="H820" s="4" t="s">
        <v>8</v>
      </c>
    </row>
    <row r="821" spans="1:8" ht="14.5">
      <c r="A821" s="3">
        <v>33</v>
      </c>
      <c r="B821" s="3"/>
      <c r="C821" s="4" t="s">
        <v>10</v>
      </c>
      <c r="E821" s="3">
        <v>22.1</v>
      </c>
      <c r="F821" s="3">
        <v>5354.07</v>
      </c>
      <c r="H821" s="4" t="s">
        <v>8</v>
      </c>
    </row>
    <row r="822" spans="1:8" ht="14.5">
      <c r="A822" s="3">
        <v>33</v>
      </c>
      <c r="B822" s="3"/>
      <c r="C822" s="4" t="s">
        <v>7</v>
      </c>
      <c r="E822" s="3">
        <v>35.799999999999997</v>
      </c>
      <c r="F822" s="3">
        <v>4890</v>
      </c>
      <c r="H822" s="4" t="s">
        <v>8</v>
      </c>
    </row>
    <row r="823" spans="1:8" ht="14.5">
      <c r="A823" s="3">
        <v>33</v>
      </c>
      <c r="B823" s="3"/>
      <c r="C823" s="4" t="s">
        <v>7</v>
      </c>
      <c r="E823" s="3">
        <v>35.200000000000003</v>
      </c>
      <c r="F823" s="3">
        <v>12404.88</v>
      </c>
      <c r="H823" s="4" t="s">
        <v>8</v>
      </c>
    </row>
    <row r="824" spans="1:8" ht="14.5">
      <c r="A824" s="3">
        <v>33</v>
      </c>
      <c r="B824" s="3"/>
      <c r="C824" s="4" t="s">
        <v>10</v>
      </c>
      <c r="E824" s="3">
        <v>24.3</v>
      </c>
      <c r="F824" s="3">
        <v>4185.1000000000004</v>
      </c>
      <c r="H824" s="4" t="s">
        <v>8</v>
      </c>
    </row>
    <row r="825" spans="1:8" ht="14.5">
      <c r="A825" s="3">
        <v>33</v>
      </c>
      <c r="B825" s="3"/>
      <c r="C825" s="4" t="s">
        <v>10</v>
      </c>
      <c r="E825" s="3">
        <v>33.5</v>
      </c>
      <c r="F825" s="3">
        <v>37079.370000000003</v>
      </c>
      <c r="H825" s="4" t="s">
        <v>11</v>
      </c>
    </row>
    <row r="826" spans="1:8" ht="14.5">
      <c r="A826" s="3">
        <v>33</v>
      </c>
      <c r="B826" s="3"/>
      <c r="C826" s="4" t="s">
        <v>10</v>
      </c>
      <c r="E826" s="3">
        <v>38.9</v>
      </c>
      <c r="F826" s="3">
        <v>5972.38</v>
      </c>
      <c r="H826" s="4" t="s">
        <v>8</v>
      </c>
    </row>
    <row r="827" spans="1:8" ht="14.5">
      <c r="A827" s="3">
        <v>33</v>
      </c>
      <c r="B827" s="3"/>
      <c r="C827" s="4" t="s">
        <v>10</v>
      </c>
      <c r="E827" s="3">
        <v>28.3</v>
      </c>
      <c r="F827" s="3">
        <v>4779.6000000000004</v>
      </c>
      <c r="H827" s="4" t="s">
        <v>8</v>
      </c>
    </row>
    <row r="828" spans="1:8" ht="14.5">
      <c r="A828" s="3">
        <v>33</v>
      </c>
      <c r="B828" s="3"/>
      <c r="C828" s="4" t="s">
        <v>7</v>
      </c>
      <c r="E828" s="3">
        <v>42.5</v>
      </c>
      <c r="F828" s="3">
        <v>11326.71</v>
      </c>
      <c r="H828" s="4" t="s">
        <v>8</v>
      </c>
    </row>
    <row r="829" spans="1:8" ht="14.5">
      <c r="A829" s="3">
        <v>33</v>
      </c>
      <c r="B829" s="3"/>
      <c r="C829" s="4" t="s">
        <v>7</v>
      </c>
      <c r="E829" s="3">
        <v>42.4</v>
      </c>
      <c r="F829" s="3">
        <v>6666.24</v>
      </c>
      <c r="H829" s="4" t="s">
        <v>8</v>
      </c>
    </row>
    <row r="830" spans="1:8" ht="14.5">
      <c r="A830" s="3">
        <v>33</v>
      </c>
      <c r="B830" s="3"/>
      <c r="C830" s="4" t="s">
        <v>10</v>
      </c>
      <c r="E830" s="3">
        <v>18.5</v>
      </c>
      <c r="F830" s="3">
        <v>4766.0200000000004</v>
      </c>
      <c r="H830" s="4" t="s">
        <v>8</v>
      </c>
    </row>
    <row r="831" spans="1:8" ht="14.5">
      <c r="A831" s="3">
        <v>33</v>
      </c>
      <c r="B831" s="3"/>
      <c r="C831" s="4" t="s">
        <v>10</v>
      </c>
      <c r="E831" s="3">
        <v>32.9</v>
      </c>
      <c r="F831" s="3">
        <v>5375.04</v>
      </c>
      <c r="H831" s="4" t="s">
        <v>8</v>
      </c>
    </row>
    <row r="832" spans="1:8" ht="14.5">
      <c r="A832" s="3">
        <v>33</v>
      </c>
      <c r="B832" s="3"/>
      <c r="C832" s="4" t="s">
        <v>7</v>
      </c>
      <c r="E832" s="3">
        <v>27.1</v>
      </c>
      <c r="F832" s="3">
        <v>19040.88</v>
      </c>
      <c r="H832" s="4" t="s">
        <v>11</v>
      </c>
    </row>
    <row r="833" spans="1:8" ht="14.5">
      <c r="A833" s="3">
        <v>33</v>
      </c>
      <c r="B833" s="3"/>
      <c r="C833" s="4" t="s">
        <v>7</v>
      </c>
      <c r="E833" s="3">
        <v>24.8</v>
      </c>
      <c r="F833" s="3">
        <v>17904.53</v>
      </c>
      <c r="H833" s="4" t="s">
        <v>11</v>
      </c>
    </row>
    <row r="834" spans="1:8" ht="14.5">
      <c r="A834" s="3">
        <v>33</v>
      </c>
      <c r="B834" s="3"/>
      <c r="C834" s="4" t="s">
        <v>10</v>
      </c>
      <c r="E834" s="3">
        <v>42.9</v>
      </c>
      <c r="F834" s="3">
        <v>6360.99</v>
      </c>
      <c r="H834" s="4" t="s">
        <v>8</v>
      </c>
    </row>
    <row r="835" spans="1:8" ht="14.5">
      <c r="A835" s="3">
        <v>33</v>
      </c>
      <c r="B835" s="3"/>
      <c r="C835" s="4" t="s">
        <v>10</v>
      </c>
      <c r="E835" s="3">
        <v>35.5</v>
      </c>
      <c r="F835" s="3">
        <v>55135.4</v>
      </c>
      <c r="H835" s="4" t="s">
        <v>11</v>
      </c>
    </row>
    <row r="836" spans="1:8" ht="14.5">
      <c r="A836" s="3">
        <v>33</v>
      </c>
      <c r="B836" s="3"/>
      <c r="C836" s="4" t="s">
        <v>7</v>
      </c>
      <c r="E836" s="3">
        <v>33.4</v>
      </c>
      <c r="F836" s="3">
        <v>6653.79</v>
      </c>
      <c r="H836" s="4" t="s">
        <v>8</v>
      </c>
    </row>
    <row r="837" spans="1:8" ht="14.5">
      <c r="A837" s="3">
        <v>33</v>
      </c>
      <c r="B837" s="3"/>
      <c r="C837" s="4" t="s">
        <v>7</v>
      </c>
      <c r="E837" s="3">
        <v>24.6</v>
      </c>
      <c r="F837" s="3">
        <v>5257.51</v>
      </c>
      <c r="H837" s="4" t="s">
        <v>8</v>
      </c>
    </row>
    <row r="838" spans="1:8" ht="14.5">
      <c r="A838" s="3">
        <v>33</v>
      </c>
      <c r="B838" s="3"/>
      <c r="C838" s="4" t="s">
        <v>10</v>
      </c>
      <c r="E838" s="3">
        <v>36.299999999999997</v>
      </c>
      <c r="F838" s="3">
        <v>6551.75</v>
      </c>
      <c r="H838" s="4" t="s">
        <v>8</v>
      </c>
    </row>
    <row r="839" spans="1:8" ht="14.5">
      <c r="A839" s="3">
        <v>33</v>
      </c>
      <c r="B839" s="3"/>
      <c r="C839" s="4" t="s">
        <v>10</v>
      </c>
      <c r="E839" s="3">
        <v>19.100000000000001</v>
      </c>
      <c r="F839" s="3">
        <v>16776.3</v>
      </c>
      <c r="H839" s="4" t="s">
        <v>11</v>
      </c>
    </row>
    <row r="840" spans="1:8" ht="14.5">
      <c r="A840" s="3">
        <v>33</v>
      </c>
      <c r="B840" s="3"/>
      <c r="C840" s="4" t="s">
        <v>7</v>
      </c>
      <c r="E840" s="3">
        <v>35.799999999999997</v>
      </c>
      <c r="F840" s="3">
        <v>38282.75</v>
      </c>
      <c r="H840" s="4" t="s">
        <v>11</v>
      </c>
    </row>
    <row r="841" spans="1:8" ht="14.5">
      <c r="A841" s="3">
        <v>33</v>
      </c>
      <c r="B841" s="3"/>
      <c r="C841" s="4" t="s">
        <v>7</v>
      </c>
      <c r="E841" s="3">
        <v>30.3</v>
      </c>
      <c r="F841" s="3">
        <v>3704.35</v>
      </c>
      <c r="H841" s="4" t="s">
        <v>8</v>
      </c>
    </row>
    <row r="842" spans="1:8" ht="14.5">
      <c r="A842" s="3">
        <v>33</v>
      </c>
      <c r="B842" s="3"/>
      <c r="C842" s="4" t="s">
        <v>10</v>
      </c>
      <c r="E842" s="3">
        <v>39.799999999999997</v>
      </c>
      <c r="F842" s="3">
        <v>4795.66</v>
      </c>
      <c r="H842" s="4" t="s">
        <v>8</v>
      </c>
    </row>
    <row r="843" spans="1:8" ht="14.5">
      <c r="A843" s="3">
        <v>33</v>
      </c>
      <c r="B843" s="3"/>
      <c r="C843" s="4" t="s">
        <v>7</v>
      </c>
      <c r="E843" s="3">
        <v>29.4</v>
      </c>
      <c r="F843" s="3">
        <v>6059.17</v>
      </c>
      <c r="H843" s="4" t="s">
        <v>8</v>
      </c>
    </row>
    <row r="844" spans="1:8" ht="14.5">
      <c r="A844" s="3">
        <v>33</v>
      </c>
      <c r="B844" s="3"/>
      <c r="C844" s="4" t="s">
        <v>7</v>
      </c>
      <c r="E844" s="3">
        <v>27.5</v>
      </c>
      <c r="F844" s="3">
        <v>5261.47</v>
      </c>
      <c r="H844" s="4" t="s">
        <v>8</v>
      </c>
    </row>
    <row r="845" spans="1:8" ht="14.5">
      <c r="A845" s="3">
        <v>33</v>
      </c>
      <c r="B845" s="3"/>
      <c r="C845" s="4" t="s">
        <v>10</v>
      </c>
      <c r="E845" s="3">
        <v>26.7</v>
      </c>
      <c r="F845" s="3">
        <v>4571.41</v>
      </c>
      <c r="H845" s="4" t="s">
        <v>8</v>
      </c>
    </row>
    <row r="846" spans="1:8" ht="14.5">
      <c r="A846" s="3">
        <v>32</v>
      </c>
      <c r="B846" s="3"/>
      <c r="C846" s="4" t="s">
        <v>7</v>
      </c>
      <c r="E846" s="3">
        <v>28.9</v>
      </c>
      <c r="F846" s="3">
        <v>3866.86</v>
      </c>
      <c r="H846" s="4" t="s">
        <v>8</v>
      </c>
    </row>
    <row r="847" spans="1:8" ht="14.5">
      <c r="A847" s="3">
        <v>32</v>
      </c>
      <c r="B847" s="3"/>
      <c r="C847" s="4" t="s">
        <v>10</v>
      </c>
      <c r="E847" s="3">
        <v>17.8</v>
      </c>
      <c r="F847" s="3">
        <v>32734.19</v>
      </c>
      <c r="H847" s="4" t="s">
        <v>11</v>
      </c>
    </row>
    <row r="848" spans="1:8" ht="14.5">
      <c r="A848" s="3">
        <v>32</v>
      </c>
      <c r="B848" s="3"/>
      <c r="C848" s="4" t="s">
        <v>10</v>
      </c>
      <c r="E848" s="3">
        <v>37.1</v>
      </c>
      <c r="F848" s="3">
        <v>6334.34</v>
      </c>
      <c r="H848" s="4" t="s">
        <v>8</v>
      </c>
    </row>
    <row r="849" spans="1:8" ht="14.5">
      <c r="A849" s="3">
        <v>32</v>
      </c>
      <c r="B849" s="3"/>
      <c r="C849" s="4" t="s">
        <v>10</v>
      </c>
      <c r="E849" s="3">
        <v>29.8</v>
      </c>
      <c r="F849" s="3">
        <v>5152.13</v>
      </c>
      <c r="H849" s="4" t="s">
        <v>8</v>
      </c>
    </row>
    <row r="850" spans="1:8" ht="14.5">
      <c r="A850" s="3">
        <v>32</v>
      </c>
      <c r="B850" s="3"/>
      <c r="C850" s="4" t="s">
        <v>10</v>
      </c>
      <c r="E850" s="3">
        <v>33.200000000000003</v>
      </c>
      <c r="F850" s="3">
        <v>6128.8</v>
      </c>
      <c r="H850" s="4" t="s">
        <v>8</v>
      </c>
    </row>
    <row r="851" spans="1:8" ht="14.5">
      <c r="A851" s="3">
        <v>32</v>
      </c>
      <c r="B851" s="3"/>
      <c r="C851" s="4" t="s">
        <v>7</v>
      </c>
      <c r="E851" s="3">
        <v>30.8</v>
      </c>
      <c r="F851" s="3">
        <v>5253.52</v>
      </c>
      <c r="H851" s="4" t="s">
        <v>8</v>
      </c>
    </row>
    <row r="852" spans="1:8" ht="14.5">
      <c r="A852" s="3">
        <v>32</v>
      </c>
      <c r="B852" s="3"/>
      <c r="C852" s="4" t="s">
        <v>7</v>
      </c>
      <c r="E852" s="3">
        <v>37.299999999999997</v>
      </c>
      <c r="F852" s="3">
        <v>4667.6099999999997</v>
      </c>
      <c r="H852" s="4" t="s">
        <v>8</v>
      </c>
    </row>
    <row r="853" spans="1:8" ht="14.5">
      <c r="A853" s="3">
        <v>32</v>
      </c>
      <c r="B853" s="3"/>
      <c r="C853" s="4" t="s">
        <v>7</v>
      </c>
      <c r="E853" s="3">
        <v>30</v>
      </c>
      <c r="F853" s="3">
        <v>4074.45</v>
      </c>
      <c r="H853" s="4" t="s">
        <v>8</v>
      </c>
    </row>
    <row r="854" spans="1:8" ht="14.5">
      <c r="A854" s="3">
        <v>32</v>
      </c>
      <c r="B854" s="3"/>
      <c r="C854" s="4" t="s">
        <v>7</v>
      </c>
      <c r="E854" s="3">
        <v>46.5</v>
      </c>
      <c r="F854" s="3">
        <v>4686.3900000000003</v>
      </c>
      <c r="H854" s="4" t="s">
        <v>8</v>
      </c>
    </row>
    <row r="855" spans="1:8" ht="14.5">
      <c r="A855" s="3">
        <v>32</v>
      </c>
      <c r="B855" s="3"/>
      <c r="C855" s="4" t="s">
        <v>10</v>
      </c>
      <c r="E855" s="3">
        <v>44.2</v>
      </c>
      <c r="F855" s="3">
        <v>3994.18</v>
      </c>
      <c r="H855" s="4" t="s">
        <v>8</v>
      </c>
    </row>
    <row r="856" spans="1:8" ht="14.5">
      <c r="A856" s="3">
        <v>32</v>
      </c>
      <c r="B856" s="3"/>
      <c r="C856" s="4" t="s">
        <v>10</v>
      </c>
      <c r="E856" s="3">
        <v>28.9</v>
      </c>
      <c r="F856" s="3">
        <v>3972.92</v>
      </c>
      <c r="H856" s="4" t="s">
        <v>8</v>
      </c>
    </row>
    <row r="857" spans="1:8" ht="14.5">
      <c r="A857" s="3">
        <v>32</v>
      </c>
      <c r="B857" s="3"/>
      <c r="C857" s="4" t="s">
        <v>10</v>
      </c>
      <c r="E857" s="3">
        <v>23.7</v>
      </c>
      <c r="F857" s="3">
        <v>17626.240000000002</v>
      </c>
      <c r="H857" s="4" t="s">
        <v>8</v>
      </c>
    </row>
    <row r="858" spans="1:8" ht="14.5">
      <c r="A858" s="3">
        <v>32</v>
      </c>
      <c r="B858" s="3"/>
      <c r="C858" s="4" t="s">
        <v>10</v>
      </c>
      <c r="E858" s="3">
        <v>31.5</v>
      </c>
      <c r="F858" s="3">
        <v>5148.55</v>
      </c>
      <c r="H858" s="4" t="s">
        <v>8</v>
      </c>
    </row>
    <row r="859" spans="1:8" ht="14.5">
      <c r="A859" s="3">
        <v>32</v>
      </c>
      <c r="B859" s="3"/>
      <c r="C859" s="4" t="s">
        <v>7</v>
      </c>
      <c r="E859" s="3">
        <v>28.9</v>
      </c>
      <c r="F859" s="3">
        <v>19719.689999999999</v>
      </c>
      <c r="H859" s="4" t="s">
        <v>11</v>
      </c>
    </row>
    <row r="860" spans="1:8" ht="14.5">
      <c r="A860" s="3">
        <v>32</v>
      </c>
      <c r="B860" s="3"/>
      <c r="C860" s="4" t="s">
        <v>10</v>
      </c>
      <c r="E860" s="3">
        <v>24.6</v>
      </c>
      <c r="F860" s="3">
        <v>17496.310000000001</v>
      </c>
      <c r="H860" s="4" t="s">
        <v>11</v>
      </c>
    </row>
    <row r="861" spans="1:8" ht="14.5">
      <c r="A861" s="3">
        <v>32</v>
      </c>
      <c r="B861" s="3"/>
      <c r="C861" s="4" t="s">
        <v>7</v>
      </c>
      <c r="E861" s="3">
        <v>37.200000000000003</v>
      </c>
      <c r="F861" s="3">
        <v>4673.3900000000003</v>
      </c>
      <c r="H861" s="4" t="s">
        <v>8</v>
      </c>
    </row>
    <row r="862" spans="1:8" ht="14.5">
      <c r="A862" s="3">
        <v>32</v>
      </c>
      <c r="B862" s="3"/>
      <c r="C862" s="4" t="s">
        <v>7</v>
      </c>
      <c r="E862" s="3">
        <v>33.799999999999997</v>
      </c>
      <c r="F862" s="3">
        <v>4462.72</v>
      </c>
      <c r="H862" s="4" t="s">
        <v>8</v>
      </c>
    </row>
    <row r="863" spans="1:8" ht="14.5">
      <c r="A863" s="3">
        <v>32</v>
      </c>
      <c r="B863" s="3"/>
      <c r="C863" s="4" t="s">
        <v>10</v>
      </c>
      <c r="E863" s="3">
        <v>29.6</v>
      </c>
      <c r="F863" s="3">
        <v>4562.84</v>
      </c>
      <c r="H863" s="4" t="s">
        <v>8</v>
      </c>
    </row>
    <row r="864" spans="1:8" ht="14.5">
      <c r="A864" s="3">
        <v>32</v>
      </c>
      <c r="B864" s="3"/>
      <c r="C864" s="4" t="s">
        <v>7</v>
      </c>
      <c r="E864" s="3">
        <v>27.8</v>
      </c>
      <c r="F864" s="3">
        <v>4454.3999999999996</v>
      </c>
      <c r="H864" s="4" t="s">
        <v>8</v>
      </c>
    </row>
    <row r="865" spans="1:8" ht="14.5">
      <c r="A865" s="3">
        <v>32</v>
      </c>
      <c r="B865" s="3"/>
      <c r="C865" s="4" t="s">
        <v>7</v>
      </c>
      <c r="E865" s="3">
        <v>31.5</v>
      </c>
      <c r="F865" s="3">
        <v>4076.5</v>
      </c>
      <c r="H865" s="4" t="s">
        <v>8</v>
      </c>
    </row>
    <row r="866" spans="1:8" ht="14.5">
      <c r="A866" s="3">
        <v>32</v>
      </c>
      <c r="B866" s="3"/>
      <c r="C866" s="4" t="s">
        <v>10</v>
      </c>
      <c r="E866" s="3">
        <v>41.1</v>
      </c>
      <c r="F866" s="3">
        <v>3989.84</v>
      </c>
      <c r="H866" s="4" t="s">
        <v>8</v>
      </c>
    </row>
    <row r="867" spans="1:8" ht="14.5">
      <c r="A867" s="3">
        <v>32</v>
      </c>
      <c r="B867" s="3"/>
      <c r="C867" s="4" t="s">
        <v>7</v>
      </c>
      <c r="E867" s="3">
        <v>35.200000000000003</v>
      </c>
      <c r="F867" s="3">
        <v>4670.6400000000003</v>
      </c>
      <c r="H867" s="4" t="s">
        <v>8</v>
      </c>
    </row>
    <row r="868" spans="1:8" ht="14.5">
      <c r="A868" s="3">
        <v>32</v>
      </c>
      <c r="B868" s="3"/>
      <c r="C868" s="4" t="s">
        <v>7</v>
      </c>
      <c r="E868" s="3">
        <v>33.6</v>
      </c>
      <c r="F868" s="3">
        <v>37607.53</v>
      </c>
      <c r="H868" s="4" t="s">
        <v>11</v>
      </c>
    </row>
    <row r="869" spans="1:8" ht="14.5">
      <c r="A869" s="3">
        <v>32</v>
      </c>
      <c r="B869" s="3"/>
      <c r="C869" s="4" t="s">
        <v>10</v>
      </c>
      <c r="E869" s="3">
        <v>20.5</v>
      </c>
      <c r="F869" s="3">
        <v>4544.2299999999996</v>
      </c>
      <c r="H869" s="4" t="s">
        <v>8</v>
      </c>
    </row>
    <row r="870" spans="1:8" ht="14.5">
      <c r="A870" s="3">
        <v>32</v>
      </c>
      <c r="B870" s="3"/>
      <c r="C870" s="4" t="s">
        <v>10</v>
      </c>
      <c r="E870" s="3">
        <v>29.7</v>
      </c>
      <c r="F870" s="3">
        <v>4357.04</v>
      </c>
      <c r="H870" s="4" t="s">
        <v>8</v>
      </c>
    </row>
    <row r="871" spans="1:8" ht="14.5">
      <c r="A871" s="3">
        <v>32</v>
      </c>
      <c r="B871" s="3"/>
      <c r="C871" s="4" t="s">
        <v>7</v>
      </c>
      <c r="E871" s="3">
        <v>28.1</v>
      </c>
      <c r="F871" s="3">
        <v>21472.48</v>
      </c>
      <c r="H871" s="4" t="s">
        <v>11</v>
      </c>
    </row>
    <row r="872" spans="1:8" ht="14.5">
      <c r="A872" s="3">
        <v>31</v>
      </c>
      <c r="B872" s="3"/>
      <c r="C872" s="4" t="s">
        <v>10</v>
      </c>
      <c r="E872" s="3">
        <v>25.7</v>
      </c>
      <c r="F872" s="3">
        <v>3756.62</v>
      </c>
      <c r="H872" s="4" t="s">
        <v>8</v>
      </c>
    </row>
    <row r="873" spans="1:8" ht="14.5">
      <c r="A873" s="3">
        <v>31</v>
      </c>
      <c r="B873" s="3"/>
      <c r="C873" s="4" t="s">
        <v>7</v>
      </c>
      <c r="E873" s="3">
        <v>36.299999999999997</v>
      </c>
      <c r="F873" s="3">
        <v>38711</v>
      </c>
      <c r="H873" s="4" t="s">
        <v>11</v>
      </c>
    </row>
    <row r="874" spans="1:8" ht="14.5">
      <c r="A874" s="3">
        <v>31</v>
      </c>
      <c r="B874" s="3"/>
      <c r="C874" s="4" t="s">
        <v>10</v>
      </c>
      <c r="E874" s="3">
        <v>36.6</v>
      </c>
      <c r="F874" s="3">
        <v>4949.76</v>
      </c>
      <c r="H874" s="4" t="s">
        <v>8</v>
      </c>
    </row>
    <row r="875" spans="1:8" ht="14.5">
      <c r="A875" s="3">
        <v>31</v>
      </c>
      <c r="B875" s="3"/>
      <c r="C875" s="4" t="s">
        <v>7</v>
      </c>
      <c r="E875" s="3">
        <v>28.5</v>
      </c>
      <c r="F875" s="3">
        <v>6799.46</v>
      </c>
      <c r="H875" s="4" t="s">
        <v>8</v>
      </c>
    </row>
    <row r="876" spans="1:8" ht="14.5">
      <c r="A876" s="3">
        <v>31</v>
      </c>
      <c r="B876" s="3"/>
      <c r="C876" s="4" t="s">
        <v>7</v>
      </c>
      <c r="E876" s="3">
        <v>26.9</v>
      </c>
      <c r="F876" s="3">
        <v>4441.21</v>
      </c>
      <c r="H876" s="4" t="s">
        <v>8</v>
      </c>
    </row>
    <row r="877" spans="1:8" ht="14.5">
      <c r="A877" s="3">
        <v>31</v>
      </c>
      <c r="B877" s="3"/>
      <c r="C877" s="4" t="s">
        <v>7</v>
      </c>
      <c r="E877" s="3">
        <v>38.4</v>
      </c>
      <c r="F877" s="3">
        <v>4463.21</v>
      </c>
      <c r="H877" s="4" t="s">
        <v>8</v>
      </c>
    </row>
    <row r="878" spans="1:8" ht="14.5">
      <c r="A878" s="3">
        <v>31</v>
      </c>
      <c r="B878" s="3"/>
      <c r="C878" s="4" t="s">
        <v>7</v>
      </c>
      <c r="E878" s="3">
        <v>34.4</v>
      </c>
      <c r="F878" s="3">
        <v>38746.36</v>
      </c>
      <c r="H878" s="4" t="s">
        <v>11</v>
      </c>
    </row>
    <row r="879" spans="1:8" ht="14.5">
      <c r="A879" s="3">
        <v>31</v>
      </c>
      <c r="B879" s="3"/>
      <c r="C879" s="4" t="s">
        <v>7</v>
      </c>
      <c r="E879" s="3">
        <v>20.399999999999999</v>
      </c>
      <c r="F879" s="3">
        <v>3260.2</v>
      </c>
      <c r="H879" s="4" t="s">
        <v>8</v>
      </c>
    </row>
    <row r="880" spans="1:8" ht="14.5">
      <c r="A880" s="3">
        <v>31</v>
      </c>
      <c r="B880" s="3"/>
      <c r="C880" s="4" t="s">
        <v>7</v>
      </c>
      <c r="E880" s="3">
        <v>28.6</v>
      </c>
      <c r="F880" s="3">
        <v>4243.59</v>
      </c>
      <c r="H880" s="4" t="s">
        <v>8</v>
      </c>
    </row>
    <row r="881" spans="1:8" ht="14.5">
      <c r="A881" s="3">
        <v>31</v>
      </c>
      <c r="B881" s="3"/>
      <c r="C881" s="4" t="s">
        <v>10</v>
      </c>
      <c r="E881" s="3">
        <v>32.700000000000003</v>
      </c>
      <c r="F881" s="3">
        <v>4738.2700000000004</v>
      </c>
      <c r="H881" s="4" t="s">
        <v>8</v>
      </c>
    </row>
    <row r="882" spans="1:8" ht="14.5">
      <c r="A882" s="3">
        <v>31</v>
      </c>
      <c r="B882" s="3"/>
      <c r="C882" s="4" t="s">
        <v>10</v>
      </c>
      <c r="E882" s="3">
        <v>31.1</v>
      </c>
      <c r="F882" s="3">
        <v>4347.0200000000004</v>
      </c>
      <c r="H882" s="4" t="s">
        <v>8</v>
      </c>
    </row>
    <row r="883" spans="1:8" ht="14.5">
      <c r="A883" s="3">
        <v>31</v>
      </c>
      <c r="B883" s="3"/>
      <c r="C883" s="4" t="s">
        <v>10</v>
      </c>
      <c r="E883" s="3">
        <v>23.6</v>
      </c>
      <c r="F883" s="3">
        <v>4931.6499999999996</v>
      </c>
      <c r="H883" s="4" t="s">
        <v>8</v>
      </c>
    </row>
    <row r="884" spans="1:8" ht="14.5">
      <c r="A884" s="3">
        <v>31</v>
      </c>
      <c r="B884" s="3"/>
      <c r="C884" s="4" t="s">
        <v>7</v>
      </c>
      <c r="E884" s="3">
        <v>30.9</v>
      </c>
      <c r="F884" s="3">
        <v>3857.76</v>
      </c>
      <c r="H884" s="4" t="s">
        <v>8</v>
      </c>
    </row>
    <row r="885" spans="1:8" ht="14.5">
      <c r="A885" s="3">
        <v>31</v>
      </c>
      <c r="B885" s="3"/>
      <c r="C885" s="4" t="s">
        <v>10</v>
      </c>
      <c r="E885" s="3">
        <v>29.1</v>
      </c>
      <c r="F885" s="3">
        <v>3761.29</v>
      </c>
      <c r="H885" s="4" t="s">
        <v>8</v>
      </c>
    </row>
    <row r="886" spans="1:8" ht="14.5">
      <c r="A886" s="3">
        <v>31</v>
      </c>
      <c r="B886" s="3"/>
      <c r="C886" s="4" t="s">
        <v>10</v>
      </c>
      <c r="E886" s="3">
        <v>38.1</v>
      </c>
      <c r="F886" s="3">
        <v>58571.07</v>
      </c>
      <c r="H886" s="4" t="s">
        <v>11</v>
      </c>
    </row>
    <row r="887" spans="1:8" ht="14.5">
      <c r="A887" s="3">
        <v>31</v>
      </c>
      <c r="B887" s="3"/>
      <c r="C887" s="4" t="s">
        <v>10</v>
      </c>
      <c r="E887" s="3">
        <v>30.5</v>
      </c>
      <c r="F887" s="3">
        <v>6113.23</v>
      </c>
      <c r="H887" s="4" t="s">
        <v>8</v>
      </c>
    </row>
    <row r="888" spans="1:8" ht="14.5">
      <c r="A888" s="3">
        <v>31</v>
      </c>
      <c r="B888" s="3"/>
      <c r="C888" s="4" t="s">
        <v>10</v>
      </c>
      <c r="E888" s="3">
        <v>26.6</v>
      </c>
      <c r="F888" s="3">
        <v>3757.84</v>
      </c>
      <c r="H888" s="4" t="s">
        <v>8</v>
      </c>
    </row>
    <row r="889" spans="1:8" ht="14.5">
      <c r="A889" s="3">
        <v>31</v>
      </c>
      <c r="B889" s="3"/>
      <c r="C889" s="4" t="s">
        <v>7</v>
      </c>
      <c r="E889" s="3">
        <v>27.6</v>
      </c>
      <c r="F889" s="3">
        <v>5031.2700000000004</v>
      </c>
      <c r="H889" s="4" t="s">
        <v>8</v>
      </c>
    </row>
    <row r="890" spans="1:8" ht="14.5">
      <c r="A890" s="3">
        <v>31</v>
      </c>
      <c r="B890" s="3"/>
      <c r="C890" s="4" t="s">
        <v>10</v>
      </c>
      <c r="E890" s="3">
        <v>29.3</v>
      </c>
      <c r="F890" s="3">
        <v>4350.51</v>
      </c>
      <c r="H890" s="4" t="s">
        <v>8</v>
      </c>
    </row>
    <row r="891" spans="1:8" ht="14.5">
      <c r="A891" s="3">
        <v>31</v>
      </c>
      <c r="B891" s="3"/>
      <c r="C891" s="4" t="s">
        <v>7</v>
      </c>
      <c r="E891" s="3">
        <v>39.5</v>
      </c>
      <c r="F891" s="3">
        <v>3875.73</v>
      </c>
      <c r="H891" s="4" t="s">
        <v>8</v>
      </c>
    </row>
    <row r="892" spans="1:8" ht="14.5">
      <c r="A892" s="3">
        <v>31</v>
      </c>
      <c r="B892" s="3"/>
      <c r="C892" s="4" t="s">
        <v>7</v>
      </c>
      <c r="E892" s="3">
        <v>25.9</v>
      </c>
      <c r="F892" s="3">
        <v>19199.939999999999</v>
      </c>
      <c r="H892" s="4" t="s">
        <v>11</v>
      </c>
    </row>
    <row r="893" spans="1:8" ht="14.5">
      <c r="A893" s="3">
        <v>31</v>
      </c>
      <c r="B893" s="3"/>
      <c r="C893" s="4" t="s">
        <v>7</v>
      </c>
      <c r="E893" s="3">
        <v>29.8</v>
      </c>
      <c r="F893" s="3">
        <v>19350.37</v>
      </c>
      <c r="H893" s="4" t="s">
        <v>11</v>
      </c>
    </row>
    <row r="894" spans="1:8" ht="14.5">
      <c r="A894" s="3">
        <v>31</v>
      </c>
      <c r="B894" s="3"/>
      <c r="C894" s="4" t="s">
        <v>10</v>
      </c>
      <c r="E894" s="3">
        <v>32.799999999999997</v>
      </c>
      <c r="F894" s="3">
        <v>5327.4</v>
      </c>
      <c r="H894" s="4" t="s">
        <v>8</v>
      </c>
    </row>
    <row r="895" spans="1:8" ht="14.5">
      <c r="A895" s="3">
        <v>31</v>
      </c>
      <c r="B895" s="3"/>
      <c r="C895" s="4" t="s">
        <v>10</v>
      </c>
      <c r="E895" s="3">
        <v>21.8</v>
      </c>
      <c r="F895" s="3">
        <v>4134.08</v>
      </c>
      <c r="H895" s="4" t="s">
        <v>8</v>
      </c>
    </row>
    <row r="896" spans="1:8" ht="14.5">
      <c r="A896" s="3">
        <v>31</v>
      </c>
      <c r="B896" s="3"/>
      <c r="C896" s="4" t="s">
        <v>10</v>
      </c>
      <c r="E896" s="3">
        <v>25.8</v>
      </c>
      <c r="F896" s="3">
        <v>4934.71</v>
      </c>
      <c r="H896" s="4" t="s">
        <v>8</v>
      </c>
    </row>
    <row r="897" spans="1:8" ht="14.5">
      <c r="A897" s="3">
        <v>31</v>
      </c>
      <c r="B897" s="3"/>
      <c r="C897" s="4" t="s">
        <v>7</v>
      </c>
      <c r="E897" s="3">
        <v>31.1</v>
      </c>
      <c r="F897" s="3">
        <v>5425.02</v>
      </c>
      <c r="H897" s="4" t="s">
        <v>8</v>
      </c>
    </row>
    <row r="898" spans="1:8" ht="14.5">
      <c r="A898" s="3">
        <v>31</v>
      </c>
      <c r="B898" s="3"/>
      <c r="C898" s="4" t="s">
        <v>7</v>
      </c>
      <c r="E898" s="3">
        <v>25.9</v>
      </c>
      <c r="F898" s="3">
        <v>4239.8900000000003</v>
      </c>
      <c r="H898" s="4" t="s">
        <v>8</v>
      </c>
    </row>
    <row r="899" spans="1:8" ht="14.5">
      <c r="A899" s="3">
        <v>30</v>
      </c>
      <c r="B899" s="3"/>
      <c r="C899" s="4" t="s">
        <v>7</v>
      </c>
      <c r="E899" s="3">
        <v>35.299999999999997</v>
      </c>
      <c r="F899" s="3">
        <v>36837.47</v>
      </c>
      <c r="H899" s="4" t="s">
        <v>11</v>
      </c>
    </row>
    <row r="900" spans="1:8" ht="14.5">
      <c r="A900" s="3">
        <v>30</v>
      </c>
      <c r="B900" s="3"/>
      <c r="C900" s="4" t="s">
        <v>10</v>
      </c>
      <c r="E900" s="3">
        <v>32.4</v>
      </c>
      <c r="F900" s="3">
        <v>4149.74</v>
      </c>
      <c r="H900" s="4" t="s">
        <v>8</v>
      </c>
    </row>
    <row r="901" spans="1:8" ht="14.5">
      <c r="A901" s="3">
        <v>30</v>
      </c>
      <c r="B901" s="3"/>
      <c r="C901" s="4" t="s">
        <v>7</v>
      </c>
      <c r="E901" s="3">
        <v>25.5</v>
      </c>
      <c r="F901" s="3">
        <v>3645.09</v>
      </c>
      <c r="H901" s="4" t="s">
        <v>8</v>
      </c>
    </row>
    <row r="902" spans="1:8" ht="14.5">
      <c r="A902" s="3">
        <v>30</v>
      </c>
      <c r="B902" s="3"/>
      <c r="C902" s="4" t="s">
        <v>7</v>
      </c>
      <c r="E902" s="3">
        <v>28.7</v>
      </c>
      <c r="F902" s="3">
        <v>20745.990000000002</v>
      </c>
      <c r="H902" s="4" t="s">
        <v>11</v>
      </c>
    </row>
    <row r="903" spans="1:8" ht="14.5">
      <c r="A903" s="3">
        <v>30</v>
      </c>
      <c r="B903" s="3"/>
      <c r="C903" s="4" t="s">
        <v>7</v>
      </c>
      <c r="E903" s="3">
        <v>35.5</v>
      </c>
      <c r="F903" s="3">
        <v>36950.26</v>
      </c>
      <c r="H903" s="4" t="s">
        <v>11</v>
      </c>
    </row>
    <row r="904" spans="1:8" ht="14.5">
      <c r="A904" s="3">
        <v>30</v>
      </c>
      <c r="B904" s="3"/>
      <c r="C904" s="4" t="s">
        <v>10</v>
      </c>
      <c r="E904" s="3">
        <v>30.9</v>
      </c>
      <c r="F904" s="3">
        <v>5325.65</v>
      </c>
      <c r="H904" s="4" t="s">
        <v>8</v>
      </c>
    </row>
    <row r="905" spans="1:8" ht="14.5">
      <c r="A905" s="3">
        <v>30</v>
      </c>
      <c r="B905" s="3"/>
      <c r="C905" s="4" t="s">
        <v>7</v>
      </c>
      <c r="E905" s="3">
        <v>27.6</v>
      </c>
      <c r="F905" s="3">
        <v>4237.13</v>
      </c>
      <c r="H905" s="4" t="s">
        <v>8</v>
      </c>
    </row>
    <row r="906" spans="1:8" ht="14.5">
      <c r="A906" s="3">
        <v>30</v>
      </c>
      <c r="B906" s="3"/>
      <c r="C906" s="4" t="s">
        <v>10</v>
      </c>
      <c r="E906" s="3">
        <v>33.299999999999997</v>
      </c>
      <c r="F906" s="3">
        <v>4151.03</v>
      </c>
      <c r="H906" s="4" t="s">
        <v>8</v>
      </c>
    </row>
    <row r="907" spans="1:8" ht="14.5">
      <c r="A907" s="3">
        <v>30</v>
      </c>
      <c r="B907" s="3"/>
      <c r="C907" s="4" t="s">
        <v>10</v>
      </c>
      <c r="E907" s="3">
        <v>27.7</v>
      </c>
      <c r="F907" s="3">
        <v>3554.2</v>
      </c>
      <c r="H907" s="4" t="s">
        <v>8</v>
      </c>
    </row>
    <row r="908" spans="1:8" ht="14.5">
      <c r="A908" s="3">
        <v>30</v>
      </c>
      <c r="B908" s="3"/>
      <c r="C908" s="4" t="s">
        <v>7</v>
      </c>
      <c r="E908" s="3">
        <v>24.1</v>
      </c>
      <c r="F908" s="3">
        <v>4032.24</v>
      </c>
      <c r="H908" s="4" t="s">
        <v>8</v>
      </c>
    </row>
    <row r="909" spans="1:8" ht="14.5">
      <c r="A909" s="3">
        <v>30</v>
      </c>
      <c r="B909" s="3"/>
      <c r="C909" s="4" t="s">
        <v>10</v>
      </c>
      <c r="E909" s="3">
        <v>28.4</v>
      </c>
      <c r="F909" s="3">
        <v>19521.97</v>
      </c>
      <c r="H909" s="4" t="s">
        <v>11</v>
      </c>
    </row>
    <row r="910" spans="1:8" ht="14.5">
      <c r="A910" s="3">
        <v>30</v>
      </c>
      <c r="B910" s="3"/>
      <c r="C910" s="4" t="s">
        <v>10</v>
      </c>
      <c r="E910" s="3">
        <v>43.1</v>
      </c>
      <c r="F910" s="3">
        <v>4753.6400000000003</v>
      </c>
      <c r="H910" s="4" t="s">
        <v>8</v>
      </c>
    </row>
    <row r="911" spans="1:8" ht="14.5">
      <c r="A911" s="3">
        <v>30</v>
      </c>
      <c r="B911" s="3"/>
      <c r="C911" s="4" t="s">
        <v>7</v>
      </c>
      <c r="E911" s="3">
        <v>37.799999999999997</v>
      </c>
      <c r="F911" s="3">
        <v>39241.440000000002</v>
      </c>
      <c r="H911" s="4" t="s">
        <v>11</v>
      </c>
    </row>
    <row r="912" spans="1:8" ht="14.5">
      <c r="A912" s="3">
        <v>30</v>
      </c>
      <c r="B912" s="3"/>
      <c r="C912" s="4" t="s">
        <v>7</v>
      </c>
      <c r="E912" s="3">
        <v>31.4</v>
      </c>
      <c r="F912" s="3">
        <v>3659.35</v>
      </c>
      <c r="H912" s="4" t="s">
        <v>8</v>
      </c>
    </row>
    <row r="913" spans="1:8" ht="14.5">
      <c r="A913" s="3">
        <v>30</v>
      </c>
      <c r="B913" s="3"/>
      <c r="C913" s="4" t="s">
        <v>7</v>
      </c>
      <c r="E913" s="3">
        <v>31.6</v>
      </c>
      <c r="F913" s="3">
        <v>4837.58</v>
      </c>
      <c r="H913" s="4" t="s">
        <v>8</v>
      </c>
    </row>
    <row r="914" spans="1:8" ht="14.5">
      <c r="A914" s="3">
        <v>30</v>
      </c>
      <c r="B914" s="3"/>
      <c r="C914" s="4" t="s">
        <v>10</v>
      </c>
      <c r="E914" s="3">
        <v>39.1</v>
      </c>
      <c r="F914" s="3">
        <v>40932.43</v>
      </c>
      <c r="H914" s="4" t="s">
        <v>11</v>
      </c>
    </row>
    <row r="915" spans="1:8" ht="14.5">
      <c r="A915" s="3">
        <v>30</v>
      </c>
      <c r="B915" s="3"/>
      <c r="C915" s="4" t="s">
        <v>7</v>
      </c>
      <c r="E915" s="3">
        <v>37.4</v>
      </c>
      <c r="F915" s="3">
        <v>5428.73</v>
      </c>
      <c r="H915" s="4" t="s">
        <v>8</v>
      </c>
    </row>
    <row r="916" spans="1:8" ht="14.5">
      <c r="A916" s="3">
        <v>30</v>
      </c>
      <c r="B916" s="3"/>
      <c r="C916" s="4" t="s">
        <v>7</v>
      </c>
      <c r="E916" s="3">
        <v>24.4</v>
      </c>
      <c r="F916" s="3">
        <v>18259.22</v>
      </c>
      <c r="H916" s="4" t="s">
        <v>11</v>
      </c>
    </row>
    <row r="917" spans="1:8" ht="14.5">
      <c r="A917" s="3">
        <v>30</v>
      </c>
      <c r="B917" s="3"/>
      <c r="C917" s="4" t="s">
        <v>7</v>
      </c>
      <c r="E917" s="3">
        <v>44.2</v>
      </c>
      <c r="F917" s="3">
        <v>4266.17</v>
      </c>
      <c r="H917" s="4" t="s">
        <v>8</v>
      </c>
    </row>
    <row r="918" spans="1:8" ht="14.5">
      <c r="A918" s="3">
        <v>30</v>
      </c>
      <c r="B918" s="3"/>
      <c r="C918" s="4" t="s">
        <v>10</v>
      </c>
      <c r="E918" s="3">
        <v>22.9</v>
      </c>
      <c r="F918" s="3">
        <v>4719.5200000000004</v>
      </c>
      <c r="H918" s="4" t="s">
        <v>8</v>
      </c>
    </row>
    <row r="919" spans="1:8" ht="14.5">
      <c r="A919" s="3">
        <v>30</v>
      </c>
      <c r="B919" s="3"/>
      <c r="C919" s="4" t="s">
        <v>10</v>
      </c>
      <c r="E919" s="3">
        <v>28.4</v>
      </c>
      <c r="F919" s="3">
        <v>4527.18</v>
      </c>
      <c r="H919" s="4" t="s">
        <v>8</v>
      </c>
    </row>
    <row r="920" spans="1:8" ht="14.5">
      <c r="A920" s="3">
        <v>30</v>
      </c>
      <c r="B920" s="3"/>
      <c r="C920" s="4" t="s">
        <v>7</v>
      </c>
      <c r="E920" s="3">
        <v>23</v>
      </c>
      <c r="F920" s="3">
        <v>17361.77</v>
      </c>
      <c r="H920" s="4" t="s">
        <v>11</v>
      </c>
    </row>
    <row r="921" spans="1:8" ht="14.5">
      <c r="A921" s="3">
        <v>30</v>
      </c>
      <c r="B921" s="3"/>
      <c r="C921" s="4" t="s">
        <v>10</v>
      </c>
      <c r="E921" s="3">
        <v>27.9</v>
      </c>
      <c r="F921" s="3">
        <v>4137.5200000000004</v>
      </c>
      <c r="H921" s="4" t="s">
        <v>8</v>
      </c>
    </row>
    <row r="922" spans="1:8" ht="14.5">
      <c r="A922" s="3">
        <v>30</v>
      </c>
      <c r="B922" s="3"/>
      <c r="C922" s="4" t="s">
        <v>10</v>
      </c>
      <c r="E922" s="3">
        <v>20</v>
      </c>
      <c r="F922" s="3">
        <v>5693.43</v>
      </c>
      <c r="H922" s="4" t="s">
        <v>8</v>
      </c>
    </row>
    <row r="923" spans="1:8" ht="14.5">
      <c r="A923" s="3">
        <v>30</v>
      </c>
      <c r="B923" s="3"/>
      <c r="C923" s="4" t="s">
        <v>7</v>
      </c>
      <c r="E923" s="3">
        <v>38.799999999999997</v>
      </c>
      <c r="F923" s="3">
        <v>18963.169999999998</v>
      </c>
      <c r="H923" s="4" t="s">
        <v>8</v>
      </c>
    </row>
    <row r="924" spans="1:8" ht="14.5">
      <c r="A924" s="3">
        <v>30</v>
      </c>
      <c r="B924" s="3"/>
      <c r="C924" s="4" t="s">
        <v>10</v>
      </c>
      <c r="E924" s="3">
        <v>21.9</v>
      </c>
      <c r="F924" s="3">
        <v>4718.2</v>
      </c>
      <c r="H924" s="4" t="s">
        <v>8</v>
      </c>
    </row>
    <row r="925" spans="1:8" ht="14.5">
      <c r="A925" s="3">
        <v>30</v>
      </c>
      <c r="B925" s="3"/>
      <c r="C925" s="4" t="s">
        <v>10</v>
      </c>
      <c r="E925" s="3">
        <v>23.7</v>
      </c>
      <c r="F925" s="3">
        <v>18765.88</v>
      </c>
      <c r="H925" s="4" t="s">
        <v>11</v>
      </c>
    </row>
    <row r="926" spans="1:8" ht="14.5">
      <c r="A926" s="3">
        <v>29</v>
      </c>
      <c r="B926" s="3"/>
      <c r="C926" s="4" t="s">
        <v>10</v>
      </c>
      <c r="E926" s="3">
        <v>29.6</v>
      </c>
      <c r="F926" s="3">
        <v>3947.41</v>
      </c>
      <c r="H926" s="4" t="s">
        <v>8</v>
      </c>
    </row>
    <row r="927" spans="1:8" ht="14.5">
      <c r="A927" s="3">
        <v>29</v>
      </c>
      <c r="B927" s="3"/>
      <c r="C927" s="4" t="s">
        <v>7</v>
      </c>
      <c r="E927" s="3">
        <v>27.9</v>
      </c>
      <c r="F927" s="3">
        <v>2867.12</v>
      </c>
      <c r="H927" s="4" t="s">
        <v>8</v>
      </c>
    </row>
    <row r="928" spans="1:8" ht="14.5">
      <c r="A928" s="3">
        <v>29</v>
      </c>
      <c r="B928" s="3"/>
      <c r="C928" s="4" t="s">
        <v>10</v>
      </c>
      <c r="E928" s="3">
        <v>27.9</v>
      </c>
      <c r="F928" s="3">
        <v>19107.78</v>
      </c>
      <c r="H928" s="4" t="s">
        <v>11</v>
      </c>
    </row>
    <row r="929" spans="1:8" ht="14.5">
      <c r="A929" s="3">
        <v>29</v>
      </c>
      <c r="B929" s="3"/>
      <c r="C929" s="4" t="s">
        <v>7</v>
      </c>
      <c r="E929" s="3">
        <v>29.7</v>
      </c>
      <c r="F929" s="3">
        <v>18157.88</v>
      </c>
      <c r="H929" s="4" t="s">
        <v>8</v>
      </c>
    </row>
    <row r="930" spans="1:8" ht="14.5">
      <c r="A930" s="3">
        <v>29</v>
      </c>
      <c r="B930" s="3"/>
      <c r="C930" s="4" t="s">
        <v>10</v>
      </c>
      <c r="E930" s="3">
        <v>38.799999999999997</v>
      </c>
      <c r="F930" s="3">
        <v>5138.26</v>
      </c>
      <c r="H930" s="4" t="s">
        <v>8</v>
      </c>
    </row>
    <row r="931" spans="1:8" ht="14.5">
      <c r="A931" s="3">
        <v>29</v>
      </c>
      <c r="B931" s="3"/>
      <c r="C931" s="4" t="s">
        <v>10</v>
      </c>
      <c r="E931" s="3">
        <v>32.1</v>
      </c>
      <c r="F931" s="3">
        <v>4922.92</v>
      </c>
      <c r="H931" s="4" t="s">
        <v>8</v>
      </c>
    </row>
    <row r="932" spans="1:8" ht="14.5">
      <c r="A932" s="3">
        <v>29</v>
      </c>
      <c r="B932" s="3"/>
      <c r="C932" s="4" t="s">
        <v>7</v>
      </c>
      <c r="E932" s="3">
        <v>29</v>
      </c>
      <c r="F932" s="3">
        <v>4040.56</v>
      </c>
      <c r="H932" s="4" t="s">
        <v>8</v>
      </c>
    </row>
    <row r="933" spans="1:8" ht="14.5">
      <c r="A933" s="3">
        <v>29</v>
      </c>
      <c r="B933" s="3"/>
      <c r="C933" s="4" t="s">
        <v>7</v>
      </c>
      <c r="E933" s="3">
        <v>29.6</v>
      </c>
      <c r="F933" s="3">
        <v>20277.810000000001</v>
      </c>
      <c r="H933" s="4" t="s">
        <v>8</v>
      </c>
    </row>
    <row r="934" spans="1:8" ht="14.5">
      <c r="A934" s="3">
        <v>29</v>
      </c>
      <c r="B934" s="3"/>
      <c r="C934" s="4" t="s">
        <v>7</v>
      </c>
      <c r="E934" s="3">
        <v>33.299999999999997</v>
      </c>
      <c r="F934" s="3">
        <v>19442.349999999999</v>
      </c>
      <c r="H934" s="4" t="s">
        <v>8</v>
      </c>
    </row>
    <row r="935" spans="1:8" ht="14.5">
      <c r="A935" s="3">
        <v>29</v>
      </c>
      <c r="B935" s="3"/>
      <c r="C935" s="4" t="s">
        <v>7</v>
      </c>
      <c r="E935" s="3">
        <v>27.2</v>
      </c>
      <c r="F935" s="3">
        <v>2866.09</v>
      </c>
      <c r="H935" s="4" t="s">
        <v>8</v>
      </c>
    </row>
    <row r="936" spans="1:8" ht="14.5">
      <c r="A936" s="3">
        <v>29</v>
      </c>
      <c r="B936" s="3"/>
      <c r="C936" s="4" t="s">
        <v>10</v>
      </c>
      <c r="E936" s="3">
        <v>20.2</v>
      </c>
      <c r="F936" s="3">
        <v>4906.41</v>
      </c>
      <c r="H936" s="4" t="s">
        <v>8</v>
      </c>
    </row>
    <row r="937" spans="1:8" ht="14.5">
      <c r="A937" s="3">
        <v>29</v>
      </c>
      <c r="B937" s="3"/>
      <c r="C937" s="4" t="s">
        <v>7</v>
      </c>
      <c r="E937" s="3">
        <v>34.4</v>
      </c>
      <c r="F937" s="3">
        <v>36197.699999999997</v>
      </c>
      <c r="H937" s="4" t="s">
        <v>11</v>
      </c>
    </row>
    <row r="938" spans="1:8" ht="14.5">
      <c r="A938" s="3">
        <v>29</v>
      </c>
      <c r="B938" s="3"/>
      <c r="C938" s="4" t="s">
        <v>10</v>
      </c>
      <c r="E938" s="3">
        <v>26</v>
      </c>
      <c r="F938" s="3">
        <v>3736.46</v>
      </c>
      <c r="H938" s="4" t="s">
        <v>8</v>
      </c>
    </row>
    <row r="939" spans="1:8" ht="14.5">
      <c r="A939" s="3">
        <v>29</v>
      </c>
      <c r="B939" s="3"/>
      <c r="C939" s="4" t="s">
        <v>10</v>
      </c>
      <c r="E939" s="3">
        <v>35.5</v>
      </c>
      <c r="F939" s="3">
        <v>3366.67</v>
      </c>
      <c r="H939" s="4" t="s">
        <v>8</v>
      </c>
    </row>
    <row r="940" spans="1:8" ht="14.5">
      <c r="A940" s="3">
        <v>29</v>
      </c>
      <c r="B940" s="3"/>
      <c r="C940" s="4" t="s">
        <v>10</v>
      </c>
      <c r="E940" s="3">
        <v>31.2</v>
      </c>
      <c r="F940" s="3">
        <v>3943.6</v>
      </c>
      <c r="H940" s="4" t="s">
        <v>8</v>
      </c>
    </row>
    <row r="941" spans="1:8" ht="14.5">
      <c r="A941" s="3">
        <v>29</v>
      </c>
      <c r="B941" s="3"/>
      <c r="C941" s="4" t="s">
        <v>10</v>
      </c>
      <c r="E941" s="3">
        <v>21.8</v>
      </c>
      <c r="F941" s="3">
        <v>16657.72</v>
      </c>
      <c r="H941" s="4" t="s">
        <v>11</v>
      </c>
    </row>
    <row r="942" spans="1:8" ht="14.5">
      <c r="A942" s="3">
        <v>29</v>
      </c>
      <c r="B942" s="3"/>
      <c r="C942" s="4" t="s">
        <v>7</v>
      </c>
      <c r="E942" s="3">
        <v>35.5</v>
      </c>
      <c r="F942" s="3">
        <v>44585.46</v>
      </c>
      <c r="H942" s="4" t="s">
        <v>11</v>
      </c>
    </row>
    <row r="943" spans="1:8" ht="14.5">
      <c r="A943" s="3">
        <v>29</v>
      </c>
      <c r="B943" s="3"/>
      <c r="C943" s="4" t="s">
        <v>7</v>
      </c>
      <c r="E943" s="3">
        <v>22.5</v>
      </c>
      <c r="F943" s="3">
        <v>5209.58</v>
      </c>
      <c r="H943" s="4" t="s">
        <v>8</v>
      </c>
    </row>
    <row r="944" spans="1:8" ht="14.5">
      <c r="A944" s="3">
        <v>29</v>
      </c>
      <c r="B944" s="3"/>
      <c r="C944" s="4" t="s">
        <v>10</v>
      </c>
      <c r="E944" s="3">
        <v>25.9</v>
      </c>
      <c r="F944" s="3">
        <v>3353.28</v>
      </c>
      <c r="H944" s="4" t="s">
        <v>8</v>
      </c>
    </row>
    <row r="945" spans="1:8" ht="14.5">
      <c r="A945" s="3">
        <v>29</v>
      </c>
      <c r="B945" s="3"/>
      <c r="C945" s="4" t="s">
        <v>7</v>
      </c>
      <c r="E945" s="3">
        <v>22.9</v>
      </c>
      <c r="F945" s="3">
        <v>16138.76</v>
      </c>
      <c r="H945" s="4" t="s">
        <v>11</v>
      </c>
    </row>
    <row r="946" spans="1:8" ht="14.5">
      <c r="A946" s="3">
        <v>29</v>
      </c>
      <c r="B946" s="3"/>
      <c r="C946" s="4" t="s">
        <v>7</v>
      </c>
      <c r="E946" s="3">
        <v>31.7</v>
      </c>
      <c r="F946" s="3">
        <v>4433.3900000000003</v>
      </c>
      <c r="H946" s="4" t="s">
        <v>8</v>
      </c>
    </row>
    <row r="947" spans="1:8" ht="14.5">
      <c r="A947" s="3">
        <v>29</v>
      </c>
      <c r="B947" s="3"/>
      <c r="C947" s="4" t="s">
        <v>10</v>
      </c>
      <c r="E947" s="3">
        <v>25.6</v>
      </c>
      <c r="F947" s="3">
        <v>5708.87</v>
      </c>
      <c r="H947" s="4" t="s">
        <v>8</v>
      </c>
    </row>
    <row r="948" spans="1:8" ht="14.5">
      <c r="A948" s="3">
        <v>29</v>
      </c>
      <c r="B948" s="3"/>
      <c r="C948" s="4" t="s">
        <v>7</v>
      </c>
      <c r="E948" s="3">
        <v>38.9</v>
      </c>
      <c r="F948" s="3">
        <v>3471.41</v>
      </c>
      <c r="H948" s="4" t="s">
        <v>8</v>
      </c>
    </row>
    <row r="949" spans="1:8" ht="14.5">
      <c r="A949" s="3">
        <v>29</v>
      </c>
      <c r="B949" s="3"/>
      <c r="C949" s="4" t="s">
        <v>10</v>
      </c>
      <c r="E949" s="3">
        <v>24.6</v>
      </c>
      <c r="F949" s="3">
        <v>4529.4799999999996</v>
      </c>
      <c r="H949" s="4" t="s">
        <v>8</v>
      </c>
    </row>
    <row r="950" spans="1:8" ht="14.5">
      <c r="A950" s="3">
        <v>29</v>
      </c>
      <c r="B950" s="3"/>
      <c r="C950" s="4" t="s">
        <v>7</v>
      </c>
      <c r="E950" s="3">
        <v>32.1</v>
      </c>
      <c r="F950" s="3">
        <v>4433.92</v>
      </c>
      <c r="H950" s="4" t="s">
        <v>8</v>
      </c>
    </row>
    <row r="951" spans="1:8" ht="14.5">
      <c r="A951" s="3">
        <v>29</v>
      </c>
      <c r="B951" s="3"/>
      <c r="C951" s="4" t="s">
        <v>7</v>
      </c>
      <c r="E951" s="3">
        <v>37.299999999999997</v>
      </c>
      <c r="F951" s="3">
        <v>4058.12</v>
      </c>
      <c r="H951" s="4" t="s">
        <v>8</v>
      </c>
    </row>
    <row r="952" spans="1:8" ht="14.5">
      <c r="A952" s="3">
        <v>29</v>
      </c>
      <c r="B952" s="3"/>
      <c r="C952" s="4" t="s">
        <v>10</v>
      </c>
      <c r="E952" s="3">
        <v>21.9</v>
      </c>
      <c r="F952" s="3">
        <v>16115.3</v>
      </c>
      <c r="H952" s="4" t="s">
        <v>11</v>
      </c>
    </row>
    <row r="953" spans="1:8" ht="14.5">
      <c r="A953" s="3">
        <v>28</v>
      </c>
      <c r="B953" s="3"/>
      <c r="C953" s="4" t="s">
        <v>7</v>
      </c>
      <c r="E953" s="3">
        <v>33</v>
      </c>
      <c r="F953" s="3">
        <v>4449.46</v>
      </c>
      <c r="H953" s="4" t="s">
        <v>8</v>
      </c>
    </row>
    <row r="954" spans="1:8" ht="14.5">
      <c r="A954" s="3">
        <v>28</v>
      </c>
      <c r="B954" s="3"/>
      <c r="C954" s="4" t="s">
        <v>7</v>
      </c>
      <c r="E954" s="3">
        <v>36.4</v>
      </c>
      <c r="F954" s="3">
        <v>51194.559999999998</v>
      </c>
      <c r="H954" s="4" t="s">
        <v>11</v>
      </c>
    </row>
    <row r="955" spans="1:8" ht="14.5">
      <c r="A955" s="3">
        <v>28</v>
      </c>
      <c r="B955" s="3"/>
      <c r="C955" s="4" t="s">
        <v>10</v>
      </c>
      <c r="E955" s="3">
        <v>34.799999999999997</v>
      </c>
      <c r="F955" s="3">
        <v>3556.92</v>
      </c>
      <c r="H955" s="4" t="s">
        <v>8</v>
      </c>
    </row>
    <row r="956" spans="1:8" ht="14.5">
      <c r="A956" s="3">
        <v>28</v>
      </c>
      <c r="B956" s="3"/>
      <c r="C956" s="4" t="s">
        <v>10</v>
      </c>
      <c r="E956" s="3">
        <v>25.9</v>
      </c>
      <c r="F956" s="3">
        <v>4133.6400000000003</v>
      </c>
      <c r="H956" s="4" t="s">
        <v>8</v>
      </c>
    </row>
    <row r="957" spans="1:8" ht="14.5">
      <c r="A957" s="3">
        <v>28</v>
      </c>
      <c r="B957" s="3"/>
      <c r="C957" s="4" t="s">
        <v>7</v>
      </c>
      <c r="E957" s="3">
        <v>24</v>
      </c>
      <c r="F957" s="3">
        <v>17663.14</v>
      </c>
      <c r="H957" s="4" t="s">
        <v>11</v>
      </c>
    </row>
    <row r="958" spans="1:8" ht="14.5">
      <c r="A958" s="3">
        <v>28</v>
      </c>
      <c r="B958" s="3"/>
      <c r="C958" s="4" t="s">
        <v>10</v>
      </c>
      <c r="E958" s="3">
        <v>37.6</v>
      </c>
      <c r="F958" s="3">
        <v>3766.88</v>
      </c>
      <c r="H958" s="4" t="s">
        <v>8</v>
      </c>
    </row>
    <row r="959" spans="1:8" ht="14.5">
      <c r="A959" s="3">
        <v>28</v>
      </c>
      <c r="B959" s="3"/>
      <c r="C959" s="4" t="s">
        <v>10</v>
      </c>
      <c r="E959" s="3">
        <v>28.9</v>
      </c>
      <c r="F959" s="3">
        <v>4337.74</v>
      </c>
      <c r="H959" s="4" t="s">
        <v>8</v>
      </c>
    </row>
    <row r="960" spans="1:8" ht="14.5">
      <c r="A960" s="3">
        <v>28</v>
      </c>
      <c r="B960" s="3"/>
      <c r="C960" s="4" t="s">
        <v>7</v>
      </c>
      <c r="E960" s="3">
        <v>38.1</v>
      </c>
      <c r="F960" s="3">
        <v>2689.5</v>
      </c>
      <c r="H960" s="4" t="s">
        <v>8</v>
      </c>
    </row>
    <row r="961" spans="1:8" ht="14.5">
      <c r="A961" s="3">
        <v>28</v>
      </c>
      <c r="B961" s="3"/>
      <c r="C961" s="4" t="s">
        <v>10</v>
      </c>
      <c r="E961" s="3">
        <v>33.4</v>
      </c>
      <c r="F961" s="3">
        <v>3172.02</v>
      </c>
      <c r="H961" s="4" t="s">
        <v>8</v>
      </c>
    </row>
    <row r="962" spans="1:8" ht="14.5">
      <c r="A962" s="3">
        <v>28</v>
      </c>
      <c r="B962" s="3"/>
      <c r="C962" s="4" t="s">
        <v>10</v>
      </c>
      <c r="E962" s="3">
        <v>33</v>
      </c>
      <c r="F962" s="3">
        <v>4349.46</v>
      </c>
      <c r="H962" s="4" t="s">
        <v>8</v>
      </c>
    </row>
    <row r="963" spans="1:8" ht="14.5">
      <c r="A963" s="3">
        <v>28</v>
      </c>
      <c r="B963" s="3"/>
      <c r="C963" s="4" t="s">
        <v>10</v>
      </c>
      <c r="E963" s="3">
        <v>27.5</v>
      </c>
      <c r="F963" s="3">
        <v>20177.669999999998</v>
      </c>
      <c r="H963" s="4" t="s">
        <v>8</v>
      </c>
    </row>
    <row r="964" spans="1:8" ht="14.5">
      <c r="A964" s="3">
        <v>28</v>
      </c>
      <c r="B964" s="3"/>
      <c r="C964" s="4" t="s">
        <v>10</v>
      </c>
      <c r="E964" s="3">
        <v>24.3</v>
      </c>
      <c r="F964" s="3">
        <v>23288.93</v>
      </c>
      <c r="H964" s="4" t="s">
        <v>8</v>
      </c>
    </row>
    <row r="965" spans="1:8" ht="14.5">
      <c r="A965" s="3">
        <v>28</v>
      </c>
      <c r="B965" s="3"/>
      <c r="C965" s="4" t="s">
        <v>7</v>
      </c>
      <c r="E965" s="3">
        <v>35.4</v>
      </c>
      <c r="F965" s="3">
        <v>3268.85</v>
      </c>
      <c r="H965" s="4" t="s">
        <v>8</v>
      </c>
    </row>
    <row r="966" spans="1:8" ht="14.5">
      <c r="A966" s="3">
        <v>28</v>
      </c>
      <c r="B966" s="3"/>
      <c r="C966" s="4" t="s">
        <v>7</v>
      </c>
      <c r="E966" s="3">
        <v>23.8</v>
      </c>
      <c r="F966" s="3">
        <v>3847.67</v>
      </c>
      <c r="H966" s="4" t="s">
        <v>8</v>
      </c>
    </row>
    <row r="967" spans="1:8" ht="14.5">
      <c r="A967" s="3">
        <v>28</v>
      </c>
      <c r="B967" s="3"/>
      <c r="C967" s="4" t="s">
        <v>7</v>
      </c>
      <c r="E967" s="3">
        <v>27</v>
      </c>
      <c r="F967" s="3">
        <v>4435.09</v>
      </c>
      <c r="H967" s="4" t="s">
        <v>8</v>
      </c>
    </row>
    <row r="968" spans="1:8" ht="14.5">
      <c r="A968" s="3">
        <v>28</v>
      </c>
      <c r="B968" s="3"/>
      <c r="C968" s="4" t="s">
        <v>7</v>
      </c>
      <c r="E968" s="3">
        <v>30.9</v>
      </c>
      <c r="F968" s="3">
        <v>3062.51</v>
      </c>
      <c r="H968" s="4" t="s">
        <v>8</v>
      </c>
    </row>
    <row r="969" spans="1:8" ht="14.5">
      <c r="A969" s="3">
        <v>28</v>
      </c>
      <c r="B969" s="3"/>
      <c r="C969" s="4" t="s">
        <v>7</v>
      </c>
      <c r="E969" s="3">
        <v>22.5</v>
      </c>
      <c r="F969" s="3">
        <v>4428.8900000000003</v>
      </c>
      <c r="H969" s="4" t="s">
        <v>8</v>
      </c>
    </row>
    <row r="970" spans="1:8" ht="14.5">
      <c r="A970" s="3">
        <v>28</v>
      </c>
      <c r="B970" s="3"/>
      <c r="C970" s="4" t="s">
        <v>10</v>
      </c>
      <c r="E970" s="3">
        <v>23.8</v>
      </c>
      <c r="F970" s="3">
        <v>4719.74</v>
      </c>
      <c r="H970" s="4" t="s">
        <v>8</v>
      </c>
    </row>
    <row r="971" spans="1:8" ht="14.5">
      <c r="A971" s="3">
        <v>28</v>
      </c>
      <c r="B971" s="3"/>
      <c r="C971" s="4" t="s">
        <v>7</v>
      </c>
      <c r="E971" s="3">
        <v>29.3</v>
      </c>
      <c r="F971" s="3">
        <v>4438.26</v>
      </c>
      <c r="H971" s="4" t="s">
        <v>8</v>
      </c>
    </row>
    <row r="972" spans="1:8" ht="14.5">
      <c r="A972" s="3">
        <v>28</v>
      </c>
      <c r="B972" s="3"/>
      <c r="C972" s="4" t="s">
        <v>10</v>
      </c>
      <c r="E972" s="3">
        <v>25.8</v>
      </c>
      <c r="F972" s="3">
        <v>3161.45</v>
      </c>
      <c r="H972" s="4" t="s">
        <v>8</v>
      </c>
    </row>
    <row r="973" spans="1:8" ht="14.5">
      <c r="A973" s="3">
        <v>28</v>
      </c>
      <c r="B973" s="3"/>
      <c r="C973" s="4" t="s">
        <v>7</v>
      </c>
      <c r="E973" s="3">
        <v>31.7</v>
      </c>
      <c r="F973" s="3">
        <v>34672.15</v>
      </c>
      <c r="H973" s="4" t="s">
        <v>11</v>
      </c>
    </row>
    <row r="974" spans="1:8" ht="14.5">
      <c r="A974" s="3">
        <v>28</v>
      </c>
      <c r="B974" s="3"/>
      <c r="C974" s="4" t="s">
        <v>10</v>
      </c>
      <c r="E974" s="3">
        <v>26.3</v>
      </c>
      <c r="F974" s="3">
        <v>5312.17</v>
      </c>
      <c r="H974" s="4" t="s">
        <v>8</v>
      </c>
    </row>
    <row r="975" spans="1:8" ht="14.5">
      <c r="A975" s="3">
        <v>28</v>
      </c>
      <c r="B975" s="3"/>
      <c r="C975" s="4" t="s">
        <v>7</v>
      </c>
      <c r="E975" s="3">
        <v>33.799999999999997</v>
      </c>
      <c r="F975" s="3">
        <v>19673.34</v>
      </c>
      <c r="H975" s="4" t="s">
        <v>8</v>
      </c>
    </row>
    <row r="976" spans="1:8" ht="14.5">
      <c r="A976" s="3">
        <v>28</v>
      </c>
      <c r="B976" s="3"/>
      <c r="C976" s="4" t="s">
        <v>10</v>
      </c>
      <c r="E976" s="3">
        <v>33.1</v>
      </c>
      <c r="F976" s="3">
        <v>3171.61</v>
      </c>
      <c r="H976" s="4" t="s">
        <v>8</v>
      </c>
    </row>
    <row r="977" spans="1:8" ht="14.5">
      <c r="A977" s="3">
        <v>28</v>
      </c>
      <c r="B977" s="3"/>
      <c r="C977" s="4" t="s">
        <v>7</v>
      </c>
      <c r="E977" s="3">
        <v>24.3</v>
      </c>
      <c r="F977" s="3">
        <v>5615.37</v>
      </c>
      <c r="H977" s="4" t="s">
        <v>8</v>
      </c>
    </row>
    <row r="978" spans="1:8" ht="14.5">
      <c r="A978" s="3">
        <v>28</v>
      </c>
      <c r="B978" s="3"/>
      <c r="C978" s="4" t="s">
        <v>7</v>
      </c>
      <c r="E978" s="3">
        <v>37.1</v>
      </c>
      <c r="F978" s="3">
        <v>3277.16</v>
      </c>
      <c r="H978" s="4" t="s">
        <v>8</v>
      </c>
    </row>
    <row r="979" spans="1:8" ht="14.5">
      <c r="A979" s="3">
        <v>28</v>
      </c>
      <c r="B979" s="3"/>
      <c r="C979" s="4" t="s">
        <v>10</v>
      </c>
      <c r="E979" s="3">
        <v>17.3</v>
      </c>
      <c r="F979" s="3">
        <v>3732.63</v>
      </c>
      <c r="H979" s="4" t="s">
        <v>8</v>
      </c>
    </row>
    <row r="980" spans="1:8" ht="14.5">
      <c r="A980" s="3">
        <v>28</v>
      </c>
      <c r="B980" s="3"/>
      <c r="C980" s="4" t="s">
        <v>10</v>
      </c>
      <c r="E980" s="3">
        <v>26.5</v>
      </c>
      <c r="F980" s="3">
        <v>4340.4399999999996</v>
      </c>
      <c r="H980" s="4" t="s">
        <v>8</v>
      </c>
    </row>
    <row r="981" spans="1:8" ht="14.5">
      <c r="A981" s="3">
        <v>27</v>
      </c>
      <c r="B981" s="3"/>
      <c r="C981" s="4" t="s">
        <v>7</v>
      </c>
      <c r="E981" s="3">
        <v>42.1</v>
      </c>
      <c r="F981" s="3">
        <v>39611.760000000002</v>
      </c>
      <c r="H981" s="4" t="s">
        <v>11</v>
      </c>
    </row>
    <row r="982" spans="1:8" ht="14.5">
      <c r="A982" s="3">
        <v>27</v>
      </c>
      <c r="B982" s="3"/>
      <c r="C982" s="4" t="s">
        <v>10</v>
      </c>
      <c r="E982" s="3">
        <v>24.8</v>
      </c>
      <c r="F982" s="3">
        <v>16577.78</v>
      </c>
      <c r="H982" s="4" t="s">
        <v>11</v>
      </c>
    </row>
    <row r="983" spans="1:8" ht="14.5">
      <c r="A983" s="3">
        <v>27</v>
      </c>
      <c r="B983" s="3"/>
      <c r="C983" s="4" t="s">
        <v>7</v>
      </c>
      <c r="E983" s="3">
        <v>18.899999999999999</v>
      </c>
      <c r="F983" s="3">
        <v>4827.8999999999996</v>
      </c>
      <c r="H983" s="4" t="s">
        <v>8</v>
      </c>
    </row>
    <row r="984" spans="1:8" ht="14.5">
      <c r="A984" s="3">
        <v>27</v>
      </c>
      <c r="B984" s="3"/>
      <c r="C984" s="4" t="s">
        <v>10</v>
      </c>
      <c r="E984" s="3">
        <v>36.1</v>
      </c>
      <c r="F984" s="3">
        <v>37133.9</v>
      </c>
      <c r="H984" s="4" t="s">
        <v>11</v>
      </c>
    </row>
    <row r="985" spans="1:8" ht="14.5">
      <c r="A985" s="3">
        <v>27</v>
      </c>
      <c r="B985" s="3"/>
      <c r="C985" s="4" t="s">
        <v>7</v>
      </c>
      <c r="E985" s="3">
        <v>23.1</v>
      </c>
      <c r="F985" s="3">
        <v>2483.7399999999998</v>
      </c>
      <c r="H985" s="4" t="s">
        <v>8</v>
      </c>
    </row>
    <row r="986" spans="1:8" ht="14.5">
      <c r="A986" s="3">
        <v>27</v>
      </c>
      <c r="B986" s="3"/>
      <c r="C986" s="4" t="s">
        <v>7</v>
      </c>
      <c r="E986" s="3">
        <v>30.3</v>
      </c>
      <c r="F986" s="3">
        <v>4260.74</v>
      </c>
      <c r="H986" s="4" t="s">
        <v>8</v>
      </c>
    </row>
    <row r="987" spans="1:8" ht="14.5">
      <c r="A987" s="3">
        <v>27</v>
      </c>
      <c r="B987" s="3"/>
      <c r="C987" s="4" t="s">
        <v>10</v>
      </c>
      <c r="E987" s="3">
        <v>31.4</v>
      </c>
      <c r="F987" s="3">
        <v>34838.870000000003</v>
      </c>
      <c r="H987" s="4" t="s">
        <v>11</v>
      </c>
    </row>
    <row r="988" spans="1:8" ht="14.5">
      <c r="A988" s="3">
        <v>27</v>
      </c>
      <c r="B988" s="3"/>
      <c r="C988" s="4" t="s">
        <v>10</v>
      </c>
      <c r="E988" s="3">
        <v>23.2</v>
      </c>
      <c r="F988" s="3">
        <v>3561.89</v>
      </c>
      <c r="H988" s="4" t="s">
        <v>8</v>
      </c>
    </row>
    <row r="989" spans="1:8" ht="14.5">
      <c r="A989" s="3">
        <v>27</v>
      </c>
      <c r="B989" s="3"/>
      <c r="C989" s="4" t="s">
        <v>10</v>
      </c>
      <c r="E989" s="3">
        <v>18</v>
      </c>
      <c r="F989" s="3">
        <v>15006.58</v>
      </c>
      <c r="H989" s="4" t="s">
        <v>11</v>
      </c>
    </row>
    <row r="990" spans="1:8" ht="14.5">
      <c r="A990" s="3">
        <v>27</v>
      </c>
      <c r="B990" s="3"/>
      <c r="C990" s="4" t="s">
        <v>10</v>
      </c>
      <c r="E990" s="3">
        <v>30.4</v>
      </c>
      <c r="F990" s="3">
        <v>18804.75</v>
      </c>
      <c r="H990" s="4" t="s">
        <v>8</v>
      </c>
    </row>
    <row r="991" spans="1:8" ht="14.5">
      <c r="A991" s="3">
        <v>27</v>
      </c>
      <c r="B991" s="3"/>
      <c r="C991" s="4" t="s">
        <v>7</v>
      </c>
      <c r="E991" s="3">
        <v>32.700000000000003</v>
      </c>
      <c r="F991" s="3">
        <v>2497.04</v>
      </c>
      <c r="H991" s="4" t="s">
        <v>8</v>
      </c>
    </row>
    <row r="992" spans="1:8" ht="14.5">
      <c r="A992" s="3">
        <v>27</v>
      </c>
      <c r="B992" s="3"/>
      <c r="C992" s="4" t="s">
        <v>7</v>
      </c>
      <c r="E992" s="3">
        <v>33.700000000000003</v>
      </c>
      <c r="F992" s="3">
        <v>2498.41</v>
      </c>
      <c r="H992" s="4" t="s">
        <v>8</v>
      </c>
    </row>
    <row r="993" spans="1:8" ht="14.5">
      <c r="A993" s="3">
        <v>27</v>
      </c>
      <c r="B993" s="3"/>
      <c r="C993" s="4" t="s">
        <v>7</v>
      </c>
      <c r="E993" s="3">
        <v>30.5</v>
      </c>
      <c r="F993" s="3">
        <v>2494.02</v>
      </c>
      <c r="H993" s="4" t="s">
        <v>8</v>
      </c>
    </row>
    <row r="994" spans="1:8" ht="14.5">
      <c r="A994" s="3">
        <v>27</v>
      </c>
      <c r="B994" s="3"/>
      <c r="C994" s="4" t="s">
        <v>10</v>
      </c>
      <c r="E994" s="3">
        <v>25.2</v>
      </c>
      <c r="F994" s="3">
        <v>3558.62</v>
      </c>
      <c r="H994" s="4" t="s">
        <v>8</v>
      </c>
    </row>
    <row r="995" spans="1:8" ht="14.5">
      <c r="A995" s="3">
        <v>27</v>
      </c>
      <c r="B995" s="3"/>
      <c r="C995" s="4" t="s">
        <v>7</v>
      </c>
      <c r="E995" s="3">
        <v>33.200000000000003</v>
      </c>
      <c r="F995" s="3">
        <v>4058.71</v>
      </c>
      <c r="H995" s="4" t="s">
        <v>8</v>
      </c>
    </row>
    <row r="996" spans="1:8" ht="14.5">
      <c r="A996" s="3">
        <v>27</v>
      </c>
      <c r="B996" s="3"/>
      <c r="C996" s="4" t="s">
        <v>7</v>
      </c>
      <c r="E996" s="3">
        <v>31.1</v>
      </c>
      <c r="F996" s="3">
        <v>34806.47</v>
      </c>
      <c r="H996" s="4" t="s">
        <v>11</v>
      </c>
    </row>
    <row r="997" spans="1:8" ht="14.5">
      <c r="A997" s="3">
        <v>27</v>
      </c>
      <c r="B997" s="3"/>
      <c r="C997" s="4" t="s">
        <v>10</v>
      </c>
      <c r="E997" s="3">
        <v>34.799999999999997</v>
      </c>
      <c r="F997" s="3">
        <v>3578</v>
      </c>
      <c r="H997" s="4" t="s">
        <v>8</v>
      </c>
    </row>
    <row r="998" spans="1:8" ht="14.5">
      <c r="A998" s="3">
        <v>27</v>
      </c>
      <c r="B998" s="3"/>
      <c r="C998" s="4" t="s">
        <v>7</v>
      </c>
      <c r="E998" s="3">
        <v>29.2</v>
      </c>
      <c r="F998" s="3">
        <v>18246.5</v>
      </c>
      <c r="H998" s="4" t="s">
        <v>11</v>
      </c>
    </row>
    <row r="999" spans="1:8" ht="14.5">
      <c r="A999" s="3">
        <v>27</v>
      </c>
      <c r="B999" s="3"/>
      <c r="C999" s="4" t="s">
        <v>7</v>
      </c>
      <c r="E999" s="3">
        <v>26</v>
      </c>
      <c r="F999" s="3">
        <v>3070.81</v>
      </c>
      <c r="H999" s="4" t="s">
        <v>8</v>
      </c>
    </row>
    <row r="1000" spans="1:8" ht="14.5">
      <c r="A1000" s="3">
        <v>27</v>
      </c>
      <c r="B1000" s="3"/>
      <c r="C1000" s="4" t="s">
        <v>7</v>
      </c>
      <c r="E1000" s="3">
        <v>28.5</v>
      </c>
      <c r="F1000" s="3">
        <v>18310.740000000002</v>
      </c>
      <c r="H1000" s="4" t="s">
        <v>11</v>
      </c>
    </row>
    <row r="1001" spans="1:8" ht="14.5">
      <c r="A1001" s="3">
        <v>27</v>
      </c>
      <c r="B1001" s="3"/>
      <c r="C1001" s="4" t="s">
        <v>10</v>
      </c>
      <c r="E1001" s="3">
        <v>24.1</v>
      </c>
      <c r="F1001" s="3">
        <v>2974.13</v>
      </c>
      <c r="H1001" s="4" t="s">
        <v>8</v>
      </c>
    </row>
    <row r="1002" spans="1:8" ht="14.5">
      <c r="A1002" s="3">
        <v>27</v>
      </c>
      <c r="B1002" s="3"/>
      <c r="C1002" s="4" t="s">
        <v>7</v>
      </c>
      <c r="E1002" s="3">
        <v>32.6</v>
      </c>
      <c r="F1002" s="3">
        <v>4846.92</v>
      </c>
      <c r="H1002" s="4" t="s">
        <v>8</v>
      </c>
    </row>
    <row r="1003" spans="1:8" ht="14.5">
      <c r="A1003" s="3">
        <v>27</v>
      </c>
      <c r="B1003" s="3"/>
      <c r="C1003" s="4" t="s">
        <v>10</v>
      </c>
      <c r="E1003" s="3">
        <v>30.6</v>
      </c>
      <c r="F1003" s="3">
        <v>16796.41</v>
      </c>
      <c r="H1003" s="4" t="s">
        <v>8</v>
      </c>
    </row>
    <row r="1004" spans="1:8" ht="14.5">
      <c r="A1004" s="3">
        <v>27</v>
      </c>
      <c r="B1004" s="3"/>
      <c r="C1004" s="4" t="s">
        <v>10</v>
      </c>
      <c r="E1004" s="3">
        <v>20</v>
      </c>
      <c r="F1004" s="3">
        <v>16420.490000000002</v>
      </c>
      <c r="H1004" s="4" t="s">
        <v>11</v>
      </c>
    </row>
    <row r="1005" spans="1:8" ht="14.5">
      <c r="A1005" s="3">
        <v>27</v>
      </c>
      <c r="B1005" s="3"/>
      <c r="C1005" s="4" t="s">
        <v>10</v>
      </c>
      <c r="E1005" s="3">
        <v>21.5</v>
      </c>
      <c r="F1005" s="3">
        <v>3353.47</v>
      </c>
      <c r="H1005" s="4" t="s">
        <v>8</v>
      </c>
    </row>
    <row r="1006" spans="1:8" ht="14.5">
      <c r="A1006" s="3">
        <v>27</v>
      </c>
      <c r="B1006" s="3"/>
      <c r="C1006" s="4" t="s">
        <v>10</v>
      </c>
      <c r="E1006" s="3">
        <v>32.4</v>
      </c>
      <c r="F1006" s="3">
        <v>18903.490000000002</v>
      </c>
      <c r="H1006" s="4" t="s">
        <v>8</v>
      </c>
    </row>
    <row r="1007" spans="1:8" ht="14.5">
      <c r="A1007" s="3">
        <v>27</v>
      </c>
      <c r="B1007" s="3"/>
      <c r="C1007" s="4" t="s">
        <v>7</v>
      </c>
      <c r="E1007" s="3">
        <v>45.9</v>
      </c>
      <c r="F1007" s="3">
        <v>3693.43</v>
      </c>
      <c r="H1007" s="4" t="s">
        <v>8</v>
      </c>
    </row>
    <row r="1008" spans="1:8" ht="14.5">
      <c r="A1008" s="3">
        <v>27</v>
      </c>
      <c r="B1008" s="3"/>
      <c r="C1008" s="4" t="s">
        <v>10</v>
      </c>
      <c r="E1008" s="3">
        <v>31.3</v>
      </c>
      <c r="F1008" s="3">
        <v>3956.07</v>
      </c>
      <c r="H1008" s="4" t="s">
        <v>8</v>
      </c>
    </row>
    <row r="1009" spans="1:8" ht="14.5">
      <c r="A1009" s="3">
        <v>26</v>
      </c>
      <c r="B1009" s="3"/>
      <c r="C1009" s="4" t="s">
        <v>7</v>
      </c>
      <c r="E1009" s="3">
        <v>20.8</v>
      </c>
      <c r="F1009" s="3">
        <v>2302.3000000000002</v>
      </c>
      <c r="H1009" s="4" t="s">
        <v>8</v>
      </c>
    </row>
    <row r="1010" spans="1:8" ht="14.5">
      <c r="A1010" s="3">
        <v>26</v>
      </c>
      <c r="B1010" s="3"/>
      <c r="C1010" s="4" t="s">
        <v>7</v>
      </c>
      <c r="E1010" s="3">
        <v>30.9</v>
      </c>
      <c r="F1010" s="3">
        <v>3877.3</v>
      </c>
      <c r="H1010" s="4" t="s">
        <v>8</v>
      </c>
    </row>
    <row r="1011" spans="1:8" ht="14.5">
      <c r="A1011" s="3">
        <v>26</v>
      </c>
      <c r="B1011" s="3"/>
      <c r="C1011" s="4" t="s">
        <v>10</v>
      </c>
      <c r="E1011" s="3">
        <v>28.8</v>
      </c>
      <c r="F1011" s="3">
        <v>3385.4</v>
      </c>
      <c r="H1011" s="4" t="s">
        <v>8</v>
      </c>
    </row>
    <row r="1012" spans="1:8" ht="14.5">
      <c r="A1012" s="3">
        <v>26</v>
      </c>
      <c r="B1012" s="3"/>
      <c r="C1012" s="4" t="s">
        <v>7</v>
      </c>
      <c r="E1012" s="3">
        <v>32.5</v>
      </c>
      <c r="F1012" s="3">
        <v>3490.55</v>
      </c>
      <c r="H1012" s="4" t="s">
        <v>8</v>
      </c>
    </row>
    <row r="1013" spans="1:8" ht="14.5">
      <c r="A1013" s="3">
        <v>26</v>
      </c>
      <c r="B1013" s="3"/>
      <c r="C1013" s="4" t="s">
        <v>10</v>
      </c>
      <c r="E1013" s="3">
        <v>29.9</v>
      </c>
      <c r="F1013" s="3">
        <v>3981.98</v>
      </c>
      <c r="H1013" s="4" t="s">
        <v>8</v>
      </c>
    </row>
    <row r="1014" spans="1:8" ht="14.5">
      <c r="A1014" s="3">
        <v>26</v>
      </c>
      <c r="B1014" s="3"/>
      <c r="C1014" s="4" t="s">
        <v>10</v>
      </c>
      <c r="E1014" s="3">
        <v>29.9</v>
      </c>
      <c r="F1014" s="3">
        <v>3392.98</v>
      </c>
      <c r="H1014" s="4" t="s">
        <v>8</v>
      </c>
    </row>
    <row r="1015" spans="1:8" ht="14.5">
      <c r="A1015" s="3">
        <v>26</v>
      </c>
      <c r="B1015" s="3"/>
      <c r="C1015" s="4" t="s">
        <v>10</v>
      </c>
      <c r="E1015" s="3">
        <v>29.6</v>
      </c>
      <c r="F1015" s="3">
        <v>24671.66</v>
      </c>
      <c r="H1015" s="4" t="s">
        <v>8</v>
      </c>
    </row>
    <row r="1016" spans="1:8" ht="14.5">
      <c r="A1016" s="3">
        <v>26</v>
      </c>
      <c r="B1016" s="3"/>
      <c r="C1016" s="4" t="s">
        <v>7</v>
      </c>
      <c r="E1016" s="3">
        <v>32.9</v>
      </c>
      <c r="F1016" s="3">
        <v>36085.22</v>
      </c>
      <c r="H1016" s="4" t="s">
        <v>11</v>
      </c>
    </row>
    <row r="1017" spans="1:8" ht="14.5">
      <c r="A1017" s="3">
        <v>26</v>
      </c>
      <c r="B1017" s="3"/>
      <c r="C1017" s="4" t="s">
        <v>10</v>
      </c>
      <c r="E1017" s="3">
        <v>22.6</v>
      </c>
      <c r="F1017" s="3">
        <v>3176.82</v>
      </c>
      <c r="H1017" s="4" t="s">
        <v>8</v>
      </c>
    </row>
    <row r="1018" spans="1:8" ht="14.5">
      <c r="A1018" s="3">
        <v>26</v>
      </c>
      <c r="B1018" s="3"/>
      <c r="C1018" s="4" t="s">
        <v>10</v>
      </c>
      <c r="E1018" s="3">
        <v>17.2</v>
      </c>
      <c r="F1018" s="3">
        <v>14455.64</v>
      </c>
      <c r="H1018" s="4" t="s">
        <v>11</v>
      </c>
    </row>
    <row r="1019" spans="1:8" ht="14.5">
      <c r="A1019" s="3">
        <v>26</v>
      </c>
      <c r="B1019" s="3"/>
      <c r="C1019" s="4" t="s">
        <v>7</v>
      </c>
      <c r="E1019" s="3">
        <v>29.5</v>
      </c>
      <c r="F1019" s="3">
        <v>2897.32</v>
      </c>
      <c r="H1019" s="4" t="s">
        <v>8</v>
      </c>
    </row>
    <row r="1020" spans="1:8" ht="14.5">
      <c r="A1020" s="3">
        <v>26</v>
      </c>
      <c r="B1020" s="3"/>
      <c r="C1020" s="4" t="s">
        <v>10</v>
      </c>
      <c r="E1020" s="3">
        <v>42.4</v>
      </c>
      <c r="F1020" s="3">
        <v>3410.32</v>
      </c>
      <c r="H1020" s="4" t="s">
        <v>8</v>
      </c>
    </row>
    <row r="1021" spans="1:8" ht="14.5">
      <c r="A1021" s="3">
        <v>26</v>
      </c>
      <c r="B1021" s="3"/>
      <c r="C1021" s="4" t="s">
        <v>10</v>
      </c>
      <c r="E1021" s="3">
        <v>40.200000000000003</v>
      </c>
      <c r="F1021" s="3">
        <v>3201.25</v>
      </c>
      <c r="H1021" s="4" t="s">
        <v>8</v>
      </c>
    </row>
    <row r="1022" spans="1:8" ht="14.5">
      <c r="A1022" s="3">
        <v>26</v>
      </c>
      <c r="B1022" s="3"/>
      <c r="C1022" s="4" t="s">
        <v>7</v>
      </c>
      <c r="E1022" s="3">
        <v>23.7</v>
      </c>
      <c r="F1022" s="3">
        <v>3484.33</v>
      </c>
      <c r="H1022" s="4" t="s">
        <v>8</v>
      </c>
    </row>
    <row r="1023" spans="1:8" ht="14.5">
      <c r="A1023" s="3">
        <v>26</v>
      </c>
      <c r="B1023" s="3"/>
      <c r="C1023" s="4" t="s">
        <v>7</v>
      </c>
      <c r="E1023" s="3">
        <v>17.7</v>
      </c>
      <c r="F1023" s="3">
        <v>2680.95</v>
      </c>
      <c r="H1023" s="4" t="s">
        <v>8</v>
      </c>
    </row>
    <row r="1024" spans="1:8" ht="14.5">
      <c r="A1024" s="3">
        <v>26</v>
      </c>
      <c r="B1024" s="3"/>
      <c r="C1024" s="4" t="s">
        <v>10</v>
      </c>
      <c r="E1024" s="3">
        <v>29.5</v>
      </c>
      <c r="F1024" s="3">
        <v>3392.37</v>
      </c>
      <c r="H1024" s="4" t="s">
        <v>8</v>
      </c>
    </row>
    <row r="1025" spans="1:8" ht="14.5">
      <c r="A1025" s="3">
        <v>26</v>
      </c>
      <c r="B1025" s="3"/>
      <c r="C1025" s="4" t="s">
        <v>7</v>
      </c>
      <c r="E1025" s="3">
        <v>27.3</v>
      </c>
      <c r="F1025" s="3">
        <v>4661.29</v>
      </c>
      <c r="H1025" s="4" t="s">
        <v>8</v>
      </c>
    </row>
    <row r="1026" spans="1:8" ht="14.5">
      <c r="A1026" s="3">
        <v>26</v>
      </c>
      <c r="B1026" s="3"/>
      <c r="C1026" s="4" t="s">
        <v>10</v>
      </c>
      <c r="E1026" s="3">
        <v>29.4</v>
      </c>
      <c r="F1026" s="3">
        <v>4564.1899999999996</v>
      </c>
      <c r="H1026" s="4" t="s">
        <v>8</v>
      </c>
    </row>
    <row r="1027" spans="1:8" ht="14.5">
      <c r="A1027" s="3">
        <v>26</v>
      </c>
      <c r="B1027" s="3"/>
      <c r="C1027" s="4" t="s">
        <v>7</v>
      </c>
      <c r="E1027" s="3">
        <v>46.5</v>
      </c>
      <c r="F1027" s="3">
        <v>2927.06</v>
      </c>
      <c r="H1027" s="4" t="s">
        <v>8</v>
      </c>
    </row>
    <row r="1028" spans="1:8" ht="14.5">
      <c r="A1028" s="3">
        <v>26</v>
      </c>
      <c r="B1028" s="3"/>
      <c r="C1028" s="4" t="s">
        <v>7</v>
      </c>
      <c r="E1028" s="3">
        <v>35.4</v>
      </c>
      <c r="F1028" s="3">
        <v>2322.62</v>
      </c>
      <c r="H1028" s="4" t="s">
        <v>8</v>
      </c>
    </row>
    <row r="1029" spans="1:8" ht="14.5">
      <c r="A1029" s="3">
        <v>26</v>
      </c>
      <c r="B1029" s="3"/>
      <c r="C1029" s="4" t="s">
        <v>7</v>
      </c>
      <c r="E1029" s="3">
        <v>29.2</v>
      </c>
      <c r="F1029" s="3">
        <v>2902.91</v>
      </c>
      <c r="H1029" s="4" t="s">
        <v>8</v>
      </c>
    </row>
    <row r="1030" spans="1:8" ht="14.5">
      <c r="A1030" s="3">
        <v>26</v>
      </c>
      <c r="B1030" s="3"/>
      <c r="C1030" s="4" t="s">
        <v>10</v>
      </c>
      <c r="E1030" s="3">
        <v>19.8</v>
      </c>
      <c r="F1030" s="3">
        <v>3378.91</v>
      </c>
      <c r="H1030" s="4" t="s">
        <v>8</v>
      </c>
    </row>
    <row r="1031" spans="1:8" ht="14.5">
      <c r="A1031" s="3">
        <v>26</v>
      </c>
      <c r="B1031" s="3"/>
      <c r="C1031" s="4" t="s">
        <v>10</v>
      </c>
      <c r="E1031" s="3">
        <v>34.200000000000003</v>
      </c>
      <c r="F1031" s="3">
        <v>3987.93</v>
      </c>
      <c r="H1031" s="4" t="s">
        <v>8</v>
      </c>
    </row>
    <row r="1032" spans="1:8" ht="14.5">
      <c r="A1032" s="3">
        <v>26</v>
      </c>
      <c r="B1032" s="3"/>
      <c r="C1032" s="4" t="s">
        <v>7</v>
      </c>
      <c r="E1032" s="3">
        <v>30</v>
      </c>
      <c r="F1032" s="3">
        <v>2904.09</v>
      </c>
      <c r="H1032" s="4" t="s">
        <v>8</v>
      </c>
    </row>
    <row r="1033" spans="1:8" ht="14.5">
      <c r="A1033" s="3">
        <v>26</v>
      </c>
      <c r="B1033" s="3"/>
      <c r="C1033" s="4" t="s">
        <v>10</v>
      </c>
      <c r="E1033" s="3">
        <v>22.2</v>
      </c>
      <c r="F1033" s="3">
        <v>3176.29</v>
      </c>
      <c r="H1033" s="4" t="s">
        <v>8</v>
      </c>
    </row>
    <row r="1034" spans="1:8" ht="14.5">
      <c r="A1034" s="3">
        <v>26</v>
      </c>
      <c r="B1034" s="3"/>
      <c r="C1034" s="4" t="s">
        <v>7</v>
      </c>
      <c r="E1034" s="3">
        <v>31.1</v>
      </c>
      <c r="F1034" s="3">
        <v>2699.57</v>
      </c>
      <c r="H1034" s="4" t="s">
        <v>8</v>
      </c>
    </row>
    <row r="1035" spans="1:8" ht="14.5">
      <c r="A1035" s="3">
        <v>26</v>
      </c>
      <c r="B1035" s="3"/>
      <c r="C1035" s="4" t="s">
        <v>7</v>
      </c>
      <c r="E1035" s="3">
        <v>33.9</v>
      </c>
      <c r="F1035" s="3">
        <v>3292.53</v>
      </c>
      <c r="H1035" s="4" t="s">
        <v>8</v>
      </c>
    </row>
    <row r="1036" spans="1:8" ht="14.5">
      <c r="A1036" s="3">
        <v>26</v>
      </c>
      <c r="B1036" s="3"/>
      <c r="C1036" s="4" t="s">
        <v>7</v>
      </c>
      <c r="E1036" s="3">
        <v>27.1</v>
      </c>
      <c r="F1036" s="3">
        <v>17043.34</v>
      </c>
      <c r="H1036" s="4" t="s">
        <v>11</v>
      </c>
    </row>
    <row r="1037" spans="1:8" ht="14.5">
      <c r="A1037" s="3">
        <v>25</v>
      </c>
      <c r="B1037" s="3"/>
      <c r="C1037" s="4" t="s">
        <v>7</v>
      </c>
      <c r="E1037" s="3">
        <v>26.2</v>
      </c>
      <c r="F1037" s="3">
        <v>2721.32</v>
      </c>
      <c r="H1037" s="4" t="s">
        <v>8</v>
      </c>
    </row>
    <row r="1038" spans="1:8" ht="14.5">
      <c r="A1038" s="3">
        <v>25</v>
      </c>
      <c r="B1038" s="3"/>
      <c r="C1038" s="4" t="s">
        <v>7</v>
      </c>
      <c r="E1038" s="3">
        <v>33.700000000000003</v>
      </c>
      <c r="F1038" s="3">
        <v>4504.66</v>
      </c>
      <c r="H1038" s="4" t="s">
        <v>8</v>
      </c>
    </row>
    <row r="1039" spans="1:8" ht="14.5">
      <c r="A1039" s="3">
        <v>25</v>
      </c>
      <c r="B1039" s="3"/>
      <c r="C1039" s="4" t="s">
        <v>7</v>
      </c>
      <c r="E1039" s="3">
        <v>25.7</v>
      </c>
      <c r="F1039" s="3">
        <v>2137.65</v>
      </c>
      <c r="H1039" s="4" t="s">
        <v>8</v>
      </c>
    </row>
    <row r="1040" spans="1:8" ht="14.5">
      <c r="A1040" s="3">
        <v>25</v>
      </c>
      <c r="B1040" s="3"/>
      <c r="C1040" s="4" t="s">
        <v>7</v>
      </c>
      <c r="E1040" s="3">
        <v>27.6</v>
      </c>
      <c r="F1040" s="3">
        <v>2523.17</v>
      </c>
      <c r="H1040" s="4" t="s">
        <v>8</v>
      </c>
    </row>
    <row r="1041" spans="1:8" ht="14.5">
      <c r="A1041" s="3">
        <v>25</v>
      </c>
      <c r="B1041" s="3"/>
      <c r="C1041" s="4" t="s">
        <v>7</v>
      </c>
      <c r="E1041" s="3">
        <v>45.5</v>
      </c>
      <c r="F1041" s="3">
        <v>42112.24</v>
      </c>
      <c r="H1041" s="4" t="s">
        <v>11</v>
      </c>
    </row>
    <row r="1042" spans="1:8" ht="14.5">
      <c r="A1042" s="3">
        <v>25</v>
      </c>
      <c r="B1042" s="3"/>
      <c r="C1042" s="4" t="s">
        <v>7</v>
      </c>
      <c r="E1042" s="3">
        <v>26.8</v>
      </c>
      <c r="F1042" s="3">
        <v>3906.13</v>
      </c>
      <c r="H1042" s="4" t="s">
        <v>8</v>
      </c>
    </row>
    <row r="1043" spans="1:8" ht="14.5">
      <c r="A1043" s="3">
        <v>25</v>
      </c>
      <c r="B1043" s="3"/>
      <c r="C1043" s="4" t="s">
        <v>7</v>
      </c>
      <c r="E1043" s="3">
        <v>23.9</v>
      </c>
      <c r="F1043" s="3">
        <v>5080.1000000000004</v>
      </c>
      <c r="H1043" s="4" t="s">
        <v>8</v>
      </c>
    </row>
    <row r="1044" spans="1:8" ht="14.5">
      <c r="A1044" s="3">
        <v>25</v>
      </c>
      <c r="B1044" s="3"/>
      <c r="C1044" s="4" t="s">
        <v>7</v>
      </c>
      <c r="E1044" s="3">
        <v>30.6</v>
      </c>
      <c r="F1044" s="3">
        <v>2727.4</v>
      </c>
      <c r="H1044" s="4" t="s">
        <v>8</v>
      </c>
    </row>
    <row r="1045" spans="1:8" ht="14.5">
      <c r="A1045" s="3">
        <v>25</v>
      </c>
      <c r="B1045" s="3"/>
      <c r="C1045" s="4" t="s">
        <v>7</v>
      </c>
      <c r="E1045" s="3">
        <v>35.6</v>
      </c>
      <c r="F1045" s="3">
        <v>2534.39</v>
      </c>
      <c r="H1045" s="4" t="s">
        <v>8</v>
      </c>
    </row>
    <row r="1046" spans="1:8" ht="14.5">
      <c r="A1046" s="3">
        <v>25</v>
      </c>
      <c r="B1046" s="3"/>
      <c r="C1046" s="4" t="s">
        <v>10</v>
      </c>
      <c r="E1046" s="3">
        <v>28.6</v>
      </c>
      <c r="F1046" s="3">
        <v>3213.62</v>
      </c>
      <c r="H1046" s="4" t="s">
        <v>8</v>
      </c>
    </row>
    <row r="1047" spans="1:8" ht="14.5">
      <c r="A1047" s="3">
        <v>25</v>
      </c>
      <c r="B1047" s="3"/>
      <c r="C1047" s="4" t="s">
        <v>10</v>
      </c>
      <c r="E1047" s="3">
        <v>41.3</v>
      </c>
      <c r="F1047" s="3">
        <v>17878.900000000001</v>
      </c>
      <c r="H1047" s="4" t="s">
        <v>8</v>
      </c>
    </row>
    <row r="1048" spans="1:8" ht="14.5">
      <c r="A1048" s="3">
        <v>25</v>
      </c>
      <c r="B1048" s="3"/>
      <c r="C1048" s="4" t="s">
        <v>10</v>
      </c>
      <c r="E1048" s="3">
        <v>23.5</v>
      </c>
      <c r="F1048" s="3">
        <v>3206.49</v>
      </c>
      <c r="H1048" s="4" t="s">
        <v>8</v>
      </c>
    </row>
    <row r="1049" spans="1:8" ht="14.5">
      <c r="A1049" s="3">
        <v>25</v>
      </c>
      <c r="B1049" s="3"/>
      <c r="C1049" s="4" t="s">
        <v>7</v>
      </c>
      <c r="E1049" s="3">
        <v>25.8</v>
      </c>
      <c r="F1049" s="3">
        <v>3309.79</v>
      </c>
      <c r="H1049" s="4" t="s">
        <v>8</v>
      </c>
    </row>
    <row r="1050" spans="1:8" ht="14.5">
      <c r="A1050" s="3">
        <v>25</v>
      </c>
      <c r="B1050" s="3"/>
      <c r="C1050" s="4" t="s">
        <v>7</v>
      </c>
      <c r="E1050" s="3">
        <v>24.1</v>
      </c>
      <c r="F1050" s="3">
        <v>15817.99</v>
      </c>
      <c r="H1050" s="4" t="s">
        <v>11</v>
      </c>
    </row>
    <row r="1051" spans="1:8" ht="14.5">
      <c r="A1051" s="3">
        <v>25</v>
      </c>
      <c r="B1051" s="3"/>
      <c r="C1051" s="4" t="s">
        <v>10</v>
      </c>
      <c r="E1051" s="3">
        <v>32.200000000000003</v>
      </c>
      <c r="F1051" s="3">
        <v>18218.16</v>
      </c>
      <c r="H1051" s="4" t="s">
        <v>8</v>
      </c>
    </row>
    <row r="1052" spans="1:8" ht="14.5">
      <c r="A1052" s="3">
        <v>25</v>
      </c>
      <c r="B1052" s="3"/>
      <c r="C1052" s="4" t="s">
        <v>10</v>
      </c>
      <c r="E1052" s="3">
        <v>24.3</v>
      </c>
      <c r="F1052" s="3">
        <v>4391.6499999999996</v>
      </c>
      <c r="H1052" s="4" t="s">
        <v>8</v>
      </c>
    </row>
    <row r="1053" spans="1:8" ht="14.5">
      <c r="A1053" s="3">
        <v>25</v>
      </c>
      <c r="B1053" s="3"/>
      <c r="C1053" s="4" t="s">
        <v>7</v>
      </c>
      <c r="E1053" s="3">
        <v>26.7</v>
      </c>
      <c r="F1053" s="3">
        <v>4877.9799999999996</v>
      </c>
      <c r="H1053" s="4" t="s">
        <v>8</v>
      </c>
    </row>
    <row r="1054" spans="1:8" ht="14.5">
      <c r="A1054" s="3">
        <v>25</v>
      </c>
      <c r="B1054" s="3"/>
      <c r="C1054" s="4" t="s">
        <v>7</v>
      </c>
      <c r="E1054" s="3">
        <v>29.7</v>
      </c>
      <c r="F1054" s="3">
        <v>19933.46</v>
      </c>
      <c r="H1054" s="4" t="s">
        <v>11</v>
      </c>
    </row>
    <row r="1055" spans="1:8" ht="14.5">
      <c r="A1055" s="3">
        <v>25</v>
      </c>
      <c r="B1055" s="3"/>
      <c r="C1055" s="4" t="s">
        <v>7</v>
      </c>
      <c r="E1055" s="3">
        <v>25</v>
      </c>
      <c r="F1055" s="3">
        <v>23241.47</v>
      </c>
      <c r="H1055" s="4" t="s">
        <v>8</v>
      </c>
    </row>
    <row r="1056" spans="1:8" ht="14.5">
      <c r="A1056" s="3">
        <v>25</v>
      </c>
      <c r="B1056" s="3"/>
      <c r="C1056" s="4" t="s">
        <v>10</v>
      </c>
      <c r="E1056" s="3">
        <v>22.5</v>
      </c>
      <c r="F1056" s="3">
        <v>3594.17</v>
      </c>
      <c r="H1056" s="4" t="s">
        <v>8</v>
      </c>
    </row>
    <row r="1057" spans="1:8" ht="14.5">
      <c r="A1057" s="3">
        <v>25</v>
      </c>
      <c r="B1057" s="3"/>
      <c r="C1057" s="4" t="s">
        <v>10</v>
      </c>
      <c r="E1057" s="3">
        <v>34</v>
      </c>
      <c r="F1057" s="3">
        <v>3227.12</v>
      </c>
      <c r="H1057" s="4" t="s">
        <v>8</v>
      </c>
    </row>
    <row r="1058" spans="1:8" ht="14.5">
      <c r="A1058" s="3">
        <v>25</v>
      </c>
      <c r="B1058" s="3"/>
      <c r="C1058" s="4" t="s">
        <v>7</v>
      </c>
      <c r="E1058" s="3">
        <v>33.299999999999997</v>
      </c>
      <c r="F1058" s="3">
        <v>36124.57</v>
      </c>
      <c r="H1058" s="4" t="s">
        <v>11</v>
      </c>
    </row>
    <row r="1059" spans="1:8" ht="14.5">
      <c r="A1059" s="3">
        <v>25</v>
      </c>
      <c r="B1059" s="3"/>
      <c r="C1059" s="4" t="s">
        <v>10</v>
      </c>
      <c r="E1059" s="3">
        <v>30.3</v>
      </c>
      <c r="F1059" s="3">
        <v>2632.99</v>
      </c>
      <c r="H1059" s="4" t="s">
        <v>8</v>
      </c>
    </row>
    <row r="1060" spans="1:8" ht="14.5">
      <c r="A1060" s="3">
        <v>25</v>
      </c>
      <c r="B1060" s="3"/>
      <c r="C1060" s="4" t="s">
        <v>10</v>
      </c>
      <c r="E1060" s="3">
        <v>42.1</v>
      </c>
      <c r="F1060" s="3">
        <v>3238.44</v>
      </c>
      <c r="H1060" s="4" t="s">
        <v>8</v>
      </c>
    </row>
    <row r="1061" spans="1:8" ht="14.5">
      <c r="A1061" s="3">
        <v>25</v>
      </c>
      <c r="B1061" s="3"/>
      <c r="C1061" s="4" t="s">
        <v>10</v>
      </c>
      <c r="E1061" s="3">
        <v>34.5</v>
      </c>
      <c r="F1061" s="3">
        <v>3021.81</v>
      </c>
      <c r="H1061" s="4" t="s">
        <v>8</v>
      </c>
    </row>
    <row r="1062" spans="1:8" ht="14.5">
      <c r="A1062" s="3">
        <v>25</v>
      </c>
      <c r="B1062" s="3"/>
      <c r="C1062" s="4" t="s">
        <v>10</v>
      </c>
      <c r="E1062" s="3">
        <v>26.8</v>
      </c>
      <c r="F1062" s="3">
        <v>4189.1099999999997</v>
      </c>
      <c r="H1062" s="4" t="s">
        <v>8</v>
      </c>
    </row>
    <row r="1063" spans="1:8" ht="14.5">
      <c r="A1063" s="3">
        <v>25</v>
      </c>
      <c r="B1063" s="3"/>
      <c r="C1063" s="4" t="s">
        <v>10</v>
      </c>
      <c r="E1063" s="3">
        <v>20.8</v>
      </c>
      <c r="F1063" s="3">
        <v>3208.79</v>
      </c>
      <c r="H1063" s="4" t="s">
        <v>8</v>
      </c>
    </row>
    <row r="1064" spans="1:8" ht="14.5">
      <c r="A1064" s="3">
        <v>25</v>
      </c>
      <c r="B1064" s="3"/>
      <c r="C1064" s="4" t="s">
        <v>10</v>
      </c>
      <c r="E1064" s="3">
        <v>30.2</v>
      </c>
      <c r="F1064" s="3">
        <v>33900.65</v>
      </c>
      <c r="H1064" s="4" t="s">
        <v>11</v>
      </c>
    </row>
    <row r="1065" spans="1:8" ht="14.5">
      <c r="A1065" s="3">
        <v>24</v>
      </c>
      <c r="B1065" s="3"/>
      <c r="C1065" s="4" t="s">
        <v>10</v>
      </c>
      <c r="E1065" s="3">
        <v>26.6</v>
      </c>
      <c r="F1065" s="3">
        <v>3046.06</v>
      </c>
      <c r="H1065" s="4" t="s">
        <v>8</v>
      </c>
    </row>
    <row r="1066" spans="1:8" ht="14.5">
      <c r="A1066" s="3">
        <v>24</v>
      </c>
      <c r="B1066" s="3"/>
      <c r="C1066" s="4" t="s">
        <v>10</v>
      </c>
      <c r="E1066" s="3">
        <v>33.299999999999997</v>
      </c>
      <c r="F1066" s="3">
        <v>2855.44</v>
      </c>
      <c r="H1066" s="4" t="s">
        <v>8</v>
      </c>
    </row>
    <row r="1067" spans="1:8" ht="14.5">
      <c r="A1067" s="3">
        <v>24</v>
      </c>
      <c r="B1067" s="3"/>
      <c r="C1067" s="4" t="s">
        <v>7</v>
      </c>
      <c r="E1067" s="3">
        <v>28.5</v>
      </c>
      <c r="F1067" s="3">
        <v>3537.7</v>
      </c>
      <c r="H1067" s="4" t="s">
        <v>8</v>
      </c>
    </row>
    <row r="1068" spans="1:8" ht="14.5">
      <c r="A1068" s="3">
        <v>24</v>
      </c>
      <c r="B1068" s="3"/>
      <c r="C1068" s="4" t="s">
        <v>10</v>
      </c>
      <c r="E1068" s="3">
        <v>23.2</v>
      </c>
      <c r="F1068" s="3">
        <v>25081.77</v>
      </c>
      <c r="H1068" s="4" t="s">
        <v>8</v>
      </c>
    </row>
    <row r="1069" spans="1:8" ht="14.5">
      <c r="A1069" s="3">
        <v>24</v>
      </c>
      <c r="B1069" s="3"/>
      <c r="C1069" s="4" t="s">
        <v>7</v>
      </c>
      <c r="E1069" s="3">
        <v>35.9</v>
      </c>
      <c r="F1069" s="3">
        <v>1986.93</v>
      </c>
      <c r="H1069" s="4" t="s">
        <v>8</v>
      </c>
    </row>
    <row r="1070" spans="1:8" ht="14.5">
      <c r="A1070" s="3">
        <v>24</v>
      </c>
      <c r="B1070" s="3"/>
      <c r="C1070" s="4" t="s">
        <v>10</v>
      </c>
      <c r="E1070" s="3">
        <v>27.6</v>
      </c>
      <c r="F1070" s="3">
        <v>18955.22</v>
      </c>
      <c r="H1070" s="4" t="s">
        <v>8</v>
      </c>
    </row>
    <row r="1071" spans="1:8" ht="14.5">
      <c r="A1071" s="3">
        <v>24</v>
      </c>
      <c r="B1071" s="3"/>
      <c r="C1071" s="4" t="s">
        <v>7</v>
      </c>
      <c r="E1071" s="3">
        <v>40.200000000000003</v>
      </c>
      <c r="F1071" s="3">
        <v>38126.25</v>
      </c>
      <c r="H1071" s="4" t="s">
        <v>11</v>
      </c>
    </row>
    <row r="1072" spans="1:8" ht="14.5">
      <c r="A1072" s="3">
        <v>24</v>
      </c>
      <c r="B1072" s="3"/>
      <c r="C1072" s="4" t="s">
        <v>10</v>
      </c>
      <c r="E1072" s="3">
        <v>30.2</v>
      </c>
      <c r="F1072" s="3">
        <v>4618.08</v>
      </c>
      <c r="H1072" s="4" t="s">
        <v>8</v>
      </c>
    </row>
    <row r="1073" spans="1:8" ht="14.5">
      <c r="A1073" s="3">
        <v>24</v>
      </c>
      <c r="B1073" s="3"/>
      <c r="C1073" s="4" t="s">
        <v>7</v>
      </c>
      <c r="E1073" s="3">
        <v>23.4</v>
      </c>
      <c r="F1073" s="3">
        <v>1969.61</v>
      </c>
      <c r="H1073" s="4" t="s">
        <v>8</v>
      </c>
    </row>
    <row r="1074" spans="1:8" ht="14.5">
      <c r="A1074" s="3">
        <v>24</v>
      </c>
      <c r="B1074" s="3"/>
      <c r="C1074" s="4" t="s">
        <v>7</v>
      </c>
      <c r="E1074" s="3">
        <v>28.5</v>
      </c>
      <c r="F1074" s="3">
        <v>35147.53</v>
      </c>
      <c r="H1074" s="4" t="s">
        <v>11</v>
      </c>
    </row>
    <row r="1075" spans="1:8" ht="14.5">
      <c r="A1075" s="3">
        <v>24</v>
      </c>
      <c r="B1075" s="3"/>
      <c r="C1075" s="4" t="s">
        <v>10</v>
      </c>
      <c r="E1075" s="3">
        <v>25.3</v>
      </c>
      <c r="F1075" s="3">
        <v>3044.21</v>
      </c>
      <c r="H1075" s="4" t="s">
        <v>8</v>
      </c>
    </row>
    <row r="1076" spans="1:8" ht="14.5">
      <c r="A1076" s="3">
        <v>24</v>
      </c>
      <c r="B1076" s="3"/>
      <c r="C1076" s="4" t="s">
        <v>7</v>
      </c>
      <c r="E1076" s="3">
        <v>29.3</v>
      </c>
      <c r="F1076" s="3">
        <v>1977.82</v>
      </c>
      <c r="H1076" s="4" t="s">
        <v>8</v>
      </c>
    </row>
    <row r="1077" spans="1:8" ht="14.5">
      <c r="A1077" s="3">
        <v>24</v>
      </c>
      <c r="B1077" s="3"/>
      <c r="C1077" s="4" t="s">
        <v>7</v>
      </c>
      <c r="E1077" s="3">
        <v>23.7</v>
      </c>
      <c r="F1077" s="3">
        <v>2352.9699999999998</v>
      </c>
      <c r="H1077" s="4" t="s">
        <v>8</v>
      </c>
    </row>
    <row r="1078" spans="1:8" ht="14.5">
      <c r="A1078" s="3">
        <v>24</v>
      </c>
      <c r="B1078" s="3"/>
      <c r="C1078" s="4" t="s">
        <v>10</v>
      </c>
      <c r="E1078" s="3">
        <v>22.6</v>
      </c>
      <c r="F1078" s="3">
        <v>2457.5</v>
      </c>
      <c r="H1078" s="4" t="s">
        <v>8</v>
      </c>
    </row>
    <row r="1079" spans="1:8" ht="14.5">
      <c r="A1079" s="3">
        <v>24</v>
      </c>
      <c r="B1079" s="3"/>
      <c r="C1079" s="4" t="s">
        <v>10</v>
      </c>
      <c r="E1079" s="3">
        <v>30.1</v>
      </c>
      <c r="F1079" s="3">
        <v>4234.93</v>
      </c>
      <c r="H1079" s="4" t="s">
        <v>8</v>
      </c>
    </row>
    <row r="1080" spans="1:8" ht="14.5">
      <c r="A1080" s="3">
        <v>24</v>
      </c>
      <c r="B1080" s="3"/>
      <c r="C1080" s="4" t="s">
        <v>7</v>
      </c>
      <c r="E1080" s="3">
        <v>33.6</v>
      </c>
      <c r="F1080" s="3">
        <v>17128.43</v>
      </c>
      <c r="H1080" s="4" t="s">
        <v>8</v>
      </c>
    </row>
    <row r="1081" spans="1:8" ht="14.5">
      <c r="A1081" s="3">
        <v>24</v>
      </c>
      <c r="B1081" s="3"/>
      <c r="C1081" s="4" t="s">
        <v>10</v>
      </c>
      <c r="E1081" s="3">
        <v>24.2</v>
      </c>
      <c r="F1081" s="3">
        <v>2842.76</v>
      </c>
      <c r="H1081" s="4" t="s">
        <v>8</v>
      </c>
    </row>
    <row r="1082" spans="1:8" ht="14.5">
      <c r="A1082" s="3">
        <v>24</v>
      </c>
      <c r="B1082" s="3"/>
      <c r="C1082" s="4" t="s">
        <v>10</v>
      </c>
      <c r="E1082" s="3">
        <v>34</v>
      </c>
      <c r="F1082" s="3">
        <v>2473.33</v>
      </c>
      <c r="H1082" s="4" t="s">
        <v>8</v>
      </c>
    </row>
    <row r="1083" spans="1:8" ht="14.5">
      <c r="A1083" s="3">
        <v>24</v>
      </c>
      <c r="B1083" s="3"/>
      <c r="C1083" s="4" t="s">
        <v>7</v>
      </c>
      <c r="E1083" s="3">
        <v>26.8</v>
      </c>
      <c r="F1083" s="3">
        <v>12609.89</v>
      </c>
      <c r="H1083" s="4" t="s">
        <v>8</v>
      </c>
    </row>
    <row r="1084" spans="1:8" ht="14.5">
      <c r="A1084" s="3">
        <v>24</v>
      </c>
      <c r="B1084" s="3"/>
      <c r="C1084" s="4" t="s">
        <v>10</v>
      </c>
      <c r="E1084" s="3">
        <v>20.5</v>
      </c>
      <c r="F1084" s="3">
        <v>14571.89</v>
      </c>
      <c r="H1084" s="4" t="s">
        <v>11</v>
      </c>
    </row>
    <row r="1085" spans="1:8" ht="14.5">
      <c r="A1085" s="3">
        <v>24</v>
      </c>
      <c r="B1085" s="3"/>
      <c r="C1085" s="4" t="s">
        <v>7</v>
      </c>
      <c r="E1085" s="3">
        <v>32.700000000000003</v>
      </c>
      <c r="F1085" s="3">
        <v>34472.839999999997</v>
      </c>
      <c r="H1085" s="4" t="s">
        <v>11</v>
      </c>
    </row>
    <row r="1086" spans="1:8" ht="14.5">
      <c r="A1086" s="3">
        <v>24</v>
      </c>
      <c r="B1086" s="3"/>
      <c r="C1086" s="4" t="s">
        <v>7</v>
      </c>
      <c r="E1086" s="3">
        <v>25.8</v>
      </c>
      <c r="F1086" s="3">
        <v>1972.95</v>
      </c>
      <c r="H1086" s="4" t="s">
        <v>8</v>
      </c>
    </row>
    <row r="1087" spans="1:8" ht="14.5">
      <c r="A1087" s="3">
        <v>24</v>
      </c>
      <c r="B1087" s="3"/>
      <c r="C1087" s="4" t="s">
        <v>10</v>
      </c>
      <c r="E1087" s="3">
        <v>39.5</v>
      </c>
      <c r="F1087" s="3">
        <v>2480.98</v>
      </c>
      <c r="H1087" s="4" t="s">
        <v>8</v>
      </c>
    </row>
    <row r="1088" spans="1:8" ht="14.5">
      <c r="A1088" s="3">
        <v>24</v>
      </c>
      <c r="B1088" s="3"/>
      <c r="C1088" s="4" t="s">
        <v>7</v>
      </c>
      <c r="E1088" s="3">
        <v>32</v>
      </c>
      <c r="F1088" s="3">
        <v>1981.58</v>
      </c>
      <c r="H1088" s="4" t="s">
        <v>8</v>
      </c>
    </row>
    <row r="1089" spans="1:8" ht="14.5">
      <c r="A1089" s="3">
        <v>24</v>
      </c>
      <c r="B1089" s="3"/>
      <c r="C1089" s="4" t="s">
        <v>10</v>
      </c>
      <c r="E1089" s="3">
        <v>29.9</v>
      </c>
      <c r="F1089" s="3">
        <v>2850.68</v>
      </c>
      <c r="H1089" s="4" t="s">
        <v>8</v>
      </c>
    </row>
    <row r="1090" spans="1:8" ht="14.5">
      <c r="A1090" s="3">
        <v>24</v>
      </c>
      <c r="B1090" s="3"/>
      <c r="C1090" s="4" t="s">
        <v>7</v>
      </c>
      <c r="E1090" s="3">
        <v>29.8</v>
      </c>
      <c r="F1090" s="3">
        <v>18648.419999999998</v>
      </c>
      <c r="H1090" s="4" t="s">
        <v>11</v>
      </c>
    </row>
    <row r="1091" spans="1:8" ht="14.5">
      <c r="A1091" s="3">
        <v>24</v>
      </c>
      <c r="B1091" s="3"/>
      <c r="C1091" s="4" t="s">
        <v>7</v>
      </c>
      <c r="E1091" s="3">
        <v>31.1</v>
      </c>
      <c r="F1091" s="3">
        <v>34254.050000000003</v>
      </c>
      <c r="H1091" s="4" t="s">
        <v>11</v>
      </c>
    </row>
    <row r="1092" spans="1:8" ht="14.5">
      <c r="A1092" s="3">
        <v>24</v>
      </c>
      <c r="B1092" s="3"/>
      <c r="C1092" s="4" t="s">
        <v>10</v>
      </c>
      <c r="E1092" s="3">
        <v>27.7</v>
      </c>
      <c r="F1092" s="3">
        <v>2464.62</v>
      </c>
      <c r="H1092" s="4" t="s">
        <v>8</v>
      </c>
    </row>
    <row r="1093" spans="1:8" ht="14.5">
      <c r="A1093" s="3">
        <v>23</v>
      </c>
      <c r="B1093" s="3"/>
      <c r="C1093" s="4" t="s">
        <v>7</v>
      </c>
      <c r="E1093" s="3">
        <v>34.4</v>
      </c>
      <c r="F1093" s="3">
        <v>1826.84</v>
      </c>
      <c r="H1093" s="4" t="s">
        <v>8</v>
      </c>
    </row>
    <row r="1094" spans="1:8" ht="14.5">
      <c r="A1094" s="3">
        <v>23</v>
      </c>
      <c r="B1094" s="3"/>
      <c r="C1094" s="4" t="s">
        <v>7</v>
      </c>
      <c r="E1094" s="3">
        <v>23.8</v>
      </c>
      <c r="F1094" s="3">
        <v>2395.17</v>
      </c>
      <c r="H1094" s="4" t="s">
        <v>8</v>
      </c>
    </row>
    <row r="1095" spans="1:8" ht="14.5">
      <c r="A1095" s="3">
        <v>23</v>
      </c>
      <c r="B1095" s="3"/>
      <c r="C1095" s="4" t="s">
        <v>7</v>
      </c>
      <c r="E1095" s="3">
        <v>17.399999999999999</v>
      </c>
      <c r="F1095" s="3">
        <v>2775.19</v>
      </c>
      <c r="H1095" s="4" t="s">
        <v>8</v>
      </c>
    </row>
    <row r="1096" spans="1:8" ht="14.5">
      <c r="A1096" s="3">
        <v>23</v>
      </c>
      <c r="B1096" s="3"/>
      <c r="C1096" s="4" t="s">
        <v>10</v>
      </c>
      <c r="E1096" s="3">
        <v>36.700000000000003</v>
      </c>
      <c r="F1096" s="3">
        <v>38511.629999999997</v>
      </c>
      <c r="H1096" s="4" t="s">
        <v>11</v>
      </c>
    </row>
    <row r="1097" spans="1:8" ht="14.5">
      <c r="A1097" s="3">
        <v>23</v>
      </c>
      <c r="B1097" s="3"/>
      <c r="C1097" s="4" t="s">
        <v>7</v>
      </c>
      <c r="E1097" s="3">
        <v>41.9</v>
      </c>
      <c r="F1097" s="3">
        <v>1837.28</v>
      </c>
      <c r="H1097" s="4" t="s">
        <v>8</v>
      </c>
    </row>
    <row r="1098" spans="1:8" ht="14.5">
      <c r="A1098" s="3">
        <v>23</v>
      </c>
      <c r="B1098" s="3"/>
      <c r="C1098" s="4" t="s">
        <v>10</v>
      </c>
      <c r="E1098" s="3">
        <v>28.3</v>
      </c>
      <c r="F1098" s="3">
        <v>18033.97</v>
      </c>
      <c r="H1098" s="4" t="s">
        <v>11</v>
      </c>
    </row>
    <row r="1099" spans="1:8" ht="14.5">
      <c r="A1099" s="3">
        <v>23</v>
      </c>
      <c r="B1099" s="3"/>
      <c r="C1099" s="4" t="s">
        <v>7</v>
      </c>
      <c r="E1099" s="3">
        <v>32.6</v>
      </c>
      <c r="F1099" s="3">
        <v>1824.29</v>
      </c>
      <c r="H1099" s="4" t="s">
        <v>8</v>
      </c>
    </row>
    <row r="1100" spans="1:8" ht="14.5">
      <c r="A1100" s="3">
        <v>23</v>
      </c>
      <c r="B1100" s="3"/>
      <c r="C1100" s="4" t="s">
        <v>10</v>
      </c>
      <c r="E1100" s="3">
        <v>35</v>
      </c>
      <c r="F1100" s="3">
        <v>4466.62</v>
      </c>
      <c r="H1100" s="4" t="s">
        <v>8</v>
      </c>
    </row>
    <row r="1101" spans="1:8" ht="14.5">
      <c r="A1101" s="3">
        <v>23</v>
      </c>
      <c r="B1101" s="3"/>
      <c r="C1101" s="4" t="s">
        <v>10</v>
      </c>
      <c r="E1101" s="3">
        <v>39.299999999999997</v>
      </c>
      <c r="F1101" s="3">
        <v>3500.61</v>
      </c>
      <c r="H1101" s="4" t="s">
        <v>8</v>
      </c>
    </row>
    <row r="1102" spans="1:8" ht="14.5">
      <c r="A1102" s="3">
        <v>23</v>
      </c>
      <c r="B1102" s="3"/>
      <c r="C1102" s="4" t="s">
        <v>7</v>
      </c>
      <c r="E1102" s="3">
        <v>31.7</v>
      </c>
      <c r="F1102" s="3">
        <v>36189.1</v>
      </c>
      <c r="H1102" s="4" t="s">
        <v>11</v>
      </c>
    </row>
    <row r="1103" spans="1:8" ht="14.5">
      <c r="A1103" s="3">
        <v>23</v>
      </c>
      <c r="B1103" s="3"/>
      <c r="C1103" s="4" t="s">
        <v>7</v>
      </c>
      <c r="E1103" s="3">
        <v>35.200000000000003</v>
      </c>
      <c r="F1103" s="3">
        <v>2416.96</v>
      </c>
      <c r="H1103" s="4" t="s">
        <v>8</v>
      </c>
    </row>
    <row r="1104" spans="1:8" ht="14.5">
      <c r="A1104" s="3">
        <v>23</v>
      </c>
      <c r="B1104" s="3"/>
      <c r="C1104" s="4" t="s">
        <v>7</v>
      </c>
      <c r="E1104" s="3">
        <v>26.5</v>
      </c>
      <c r="F1104" s="3">
        <v>1815.88</v>
      </c>
      <c r="H1104" s="4" t="s">
        <v>8</v>
      </c>
    </row>
    <row r="1105" spans="1:8" ht="14.5">
      <c r="A1105" s="3">
        <v>23</v>
      </c>
      <c r="B1105" s="3"/>
      <c r="C1105" s="4" t="s">
        <v>7</v>
      </c>
      <c r="E1105" s="3">
        <v>37.1</v>
      </c>
      <c r="F1105" s="3">
        <v>3597.6</v>
      </c>
      <c r="H1105" s="4" t="s">
        <v>8</v>
      </c>
    </row>
    <row r="1106" spans="1:8" ht="14.5">
      <c r="A1106" s="3">
        <v>23</v>
      </c>
      <c r="B1106" s="3"/>
      <c r="C1106" s="4" t="s">
        <v>10</v>
      </c>
      <c r="E1106" s="3">
        <v>32.799999999999997</v>
      </c>
      <c r="F1106" s="3">
        <v>36021.01</v>
      </c>
      <c r="H1106" s="4" t="s">
        <v>11</v>
      </c>
    </row>
    <row r="1107" spans="1:8" ht="14.5">
      <c r="A1107" s="3">
        <v>23</v>
      </c>
      <c r="B1107" s="3"/>
      <c r="C1107" s="4" t="s">
        <v>7</v>
      </c>
      <c r="E1107" s="3">
        <v>50.4</v>
      </c>
      <c r="F1107" s="3">
        <v>2438.06</v>
      </c>
      <c r="H1107" s="4" t="s">
        <v>8</v>
      </c>
    </row>
    <row r="1108" spans="1:8" ht="14.5">
      <c r="A1108" s="3">
        <v>23</v>
      </c>
      <c r="B1108" s="3"/>
      <c r="C1108" s="4" t="s">
        <v>10</v>
      </c>
      <c r="E1108" s="3">
        <v>28.1</v>
      </c>
      <c r="F1108" s="3">
        <v>2690.11</v>
      </c>
      <c r="H1108" s="4" t="s">
        <v>8</v>
      </c>
    </row>
    <row r="1109" spans="1:8" ht="14.5">
      <c r="A1109" s="3">
        <v>23</v>
      </c>
      <c r="B1109" s="3"/>
      <c r="C1109" s="4" t="s">
        <v>7</v>
      </c>
      <c r="E1109" s="3">
        <v>27.4</v>
      </c>
      <c r="F1109" s="3">
        <v>2789.06</v>
      </c>
      <c r="H1109" s="4" t="s">
        <v>8</v>
      </c>
    </row>
    <row r="1110" spans="1:8" ht="14.5">
      <c r="A1110" s="3">
        <v>23</v>
      </c>
      <c r="B1110" s="3"/>
      <c r="C1110" s="4" t="s">
        <v>7</v>
      </c>
      <c r="E1110" s="3">
        <v>18.7</v>
      </c>
      <c r="F1110" s="3">
        <v>21595.38</v>
      </c>
      <c r="H1110" s="4" t="s">
        <v>8</v>
      </c>
    </row>
    <row r="1111" spans="1:8" ht="14.5">
      <c r="A1111" s="3">
        <v>23</v>
      </c>
      <c r="B1111" s="3"/>
      <c r="C1111" s="4" t="s">
        <v>7</v>
      </c>
      <c r="E1111" s="3">
        <v>32.700000000000003</v>
      </c>
      <c r="F1111" s="3">
        <v>3591.48</v>
      </c>
      <c r="H1111" s="4" t="s">
        <v>8</v>
      </c>
    </row>
    <row r="1112" spans="1:8" ht="14.5">
      <c r="A1112" s="3">
        <v>23</v>
      </c>
      <c r="B1112" s="3"/>
      <c r="C1112" s="4" t="s">
        <v>7</v>
      </c>
      <c r="E1112" s="3">
        <v>24.5</v>
      </c>
      <c r="F1112" s="3">
        <v>2396.1</v>
      </c>
      <c r="H1112" s="4" t="s">
        <v>8</v>
      </c>
    </row>
    <row r="1113" spans="1:8" ht="14.5">
      <c r="A1113" s="3">
        <v>23</v>
      </c>
      <c r="B1113" s="3"/>
      <c r="C1113" s="4" t="s">
        <v>10</v>
      </c>
      <c r="E1113" s="3">
        <v>31.4</v>
      </c>
      <c r="F1113" s="3">
        <v>34166.269999999997</v>
      </c>
      <c r="H1113" s="4" t="s">
        <v>11</v>
      </c>
    </row>
    <row r="1114" spans="1:8" ht="14.5">
      <c r="A1114" s="3">
        <v>23</v>
      </c>
      <c r="B1114" s="3"/>
      <c r="C1114" s="4" t="s">
        <v>10</v>
      </c>
      <c r="E1114" s="3">
        <v>42.8</v>
      </c>
      <c r="F1114" s="3">
        <v>40904.199999999997</v>
      </c>
      <c r="H1114" s="4" t="s">
        <v>11</v>
      </c>
    </row>
    <row r="1115" spans="1:8" ht="14.5">
      <c r="A1115" s="3">
        <v>23</v>
      </c>
      <c r="B1115" s="3"/>
      <c r="C1115" s="4" t="s">
        <v>10</v>
      </c>
      <c r="E1115" s="3">
        <v>23.2</v>
      </c>
      <c r="F1115" s="3">
        <v>14426.07</v>
      </c>
      <c r="H1115" s="4" t="s">
        <v>8</v>
      </c>
    </row>
    <row r="1116" spans="1:8" ht="14.5">
      <c r="A1116" s="3">
        <v>23</v>
      </c>
      <c r="B1116" s="3"/>
      <c r="C1116" s="4" t="s">
        <v>10</v>
      </c>
      <c r="E1116" s="3">
        <v>34.9</v>
      </c>
      <c r="F1116" s="3">
        <v>2899.49</v>
      </c>
      <c r="H1116" s="4" t="s">
        <v>8</v>
      </c>
    </row>
    <row r="1117" spans="1:8" ht="14.5">
      <c r="A1117" s="3">
        <v>23</v>
      </c>
      <c r="B1117" s="3"/>
      <c r="C1117" s="4" t="s">
        <v>10</v>
      </c>
      <c r="E1117" s="3">
        <v>28.5</v>
      </c>
      <c r="F1117" s="3">
        <v>18328.240000000002</v>
      </c>
      <c r="H1117" s="4" t="s">
        <v>11</v>
      </c>
    </row>
    <row r="1118" spans="1:8" ht="14.5">
      <c r="A1118" s="3">
        <v>23</v>
      </c>
      <c r="B1118" s="3"/>
      <c r="C1118" s="4" t="s">
        <v>10</v>
      </c>
      <c r="E1118" s="3">
        <v>28</v>
      </c>
      <c r="F1118" s="3">
        <v>13126.68</v>
      </c>
      <c r="H1118" s="4" t="s">
        <v>8</v>
      </c>
    </row>
    <row r="1119" spans="1:8" ht="14.5">
      <c r="A1119" s="3">
        <v>23</v>
      </c>
      <c r="B1119" s="3"/>
      <c r="C1119" s="4" t="s">
        <v>10</v>
      </c>
      <c r="E1119" s="3">
        <v>24.2</v>
      </c>
      <c r="F1119" s="3">
        <v>22395.74</v>
      </c>
      <c r="H1119" s="4" t="s">
        <v>8</v>
      </c>
    </row>
    <row r="1120" spans="1:8" ht="14.5">
      <c r="A1120" s="3">
        <v>23</v>
      </c>
      <c r="B1120" s="3"/>
      <c r="C1120" s="4" t="s">
        <v>10</v>
      </c>
      <c r="E1120" s="3">
        <v>33.4</v>
      </c>
      <c r="F1120" s="3">
        <v>10795.94</v>
      </c>
      <c r="H1120" s="4" t="s">
        <v>8</v>
      </c>
    </row>
    <row r="1121" spans="1:8" ht="14.5">
      <c r="A1121" s="3">
        <v>22</v>
      </c>
      <c r="B1121" s="3"/>
      <c r="C1121" s="4" t="s">
        <v>7</v>
      </c>
      <c r="E1121" s="3">
        <v>35.6</v>
      </c>
      <c r="F1121" s="3">
        <v>35585.58</v>
      </c>
      <c r="H1121" s="4" t="s">
        <v>11</v>
      </c>
    </row>
    <row r="1122" spans="1:8" ht="14.5">
      <c r="A1122" s="3">
        <v>22</v>
      </c>
      <c r="B1122" s="3"/>
      <c r="C1122" s="4" t="s">
        <v>10</v>
      </c>
      <c r="E1122" s="3">
        <v>39.799999999999997</v>
      </c>
      <c r="F1122" s="3">
        <v>2755.02</v>
      </c>
      <c r="H1122" s="4" t="s">
        <v>8</v>
      </c>
    </row>
    <row r="1123" spans="1:8" ht="14.5">
      <c r="A1123" s="3">
        <v>22</v>
      </c>
      <c r="B1123" s="3"/>
      <c r="C1123" s="4" t="s">
        <v>7</v>
      </c>
      <c r="E1123" s="3">
        <v>37.6</v>
      </c>
      <c r="F1123" s="3">
        <v>37165.160000000003</v>
      </c>
      <c r="H1123" s="4" t="s">
        <v>11</v>
      </c>
    </row>
    <row r="1124" spans="1:8" ht="14.5">
      <c r="A1124" s="3">
        <v>22</v>
      </c>
      <c r="B1124" s="3"/>
      <c r="C1124" s="4" t="s">
        <v>10</v>
      </c>
      <c r="E1124" s="3">
        <v>28.1</v>
      </c>
      <c r="F1124" s="3">
        <v>2155.6799999999998</v>
      </c>
      <c r="H1124" s="4" t="s">
        <v>8</v>
      </c>
    </row>
    <row r="1125" spans="1:8" ht="14.5">
      <c r="A1125" s="3">
        <v>22</v>
      </c>
      <c r="B1125" s="3"/>
      <c r="C1125" s="4" t="s">
        <v>7</v>
      </c>
      <c r="E1125" s="3">
        <v>25.2</v>
      </c>
      <c r="F1125" s="3">
        <v>2045.69</v>
      </c>
      <c r="H1125" s="4" t="s">
        <v>8</v>
      </c>
    </row>
    <row r="1126" spans="1:8" ht="14.5">
      <c r="A1126" s="3">
        <v>22</v>
      </c>
      <c r="B1126" s="3"/>
      <c r="C1126" s="4" t="s">
        <v>10</v>
      </c>
      <c r="E1126" s="3">
        <v>36</v>
      </c>
      <c r="F1126" s="3">
        <v>2166.73</v>
      </c>
      <c r="H1126" s="4" t="s">
        <v>8</v>
      </c>
    </row>
    <row r="1127" spans="1:8" ht="14.5">
      <c r="A1127" s="3">
        <v>22</v>
      </c>
      <c r="B1127" s="3"/>
      <c r="C1127" s="4" t="s">
        <v>7</v>
      </c>
      <c r="E1127" s="3">
        <v>20</v>
      </c>
      <c r="F1127" s="3">
        <v>4005.42</v>
      </c>
      <c r="H1127" s="4" t="s">
        <v>8</v>
      </c>
    </row>
    <row r="1128" spans="1:8" ht="14.5">
      <c r="A1128" s="3">
        <v>22</v>
      </c>
      <c r="B1128" s="3"/>
      <c r="C1128" s="4" t="s">
        <v>10</v>
      </c>
      <c r="E1128" s="3">
        <v>24.3</v>
      </c>
      <c r="F1128" s="3">
        <v>2150.4699999999998</v>
      </c>
      <c r="H1128" s="4" t="s">
        <v>8</v>
      </c>
    </row>
    <row r="1129" spans="1:8" ht="14.5">
      <c r="A1129" s="3">
        <v>22</v>
      </c>
      <c r="B1129" s="3"/>
      <c r="C1129" s="4" t="s">
        <v>10</v>
      </c>
      <c r="E1129" s="3">
        <v>28.8</v>
      </c>
      <c r="F1129" s="3">
        <v>2156.75</v>
      </c>
      <c r="H1129" s="4" t="s">
        <v>8</v>
      </c>
    </row>
    <row r="1130" spans="1:8" ht="14.5">
      <c r="A1130" s="3">
        <v>22</v>
      </c>
      <c r="B1130" s="3"/>
      <c r="C1130" s="4" t="s">
        <v>7</v>
      </c>
      <c r="E1130" s="3">
        <v>31.7</v>
      </c>
      <c r="F1130" s="3">
        <v>2254.8000000000002</v>
      </c>
      <c r="H1130" s="4" t="s">
        <v>8</v>
      </c>
    </row>
    <row r="1131" spans="1:8" ht="14.5">
      <c r="A1131" s="3">
        <v>22</v>
      </c>
      <c r="B1131" s="3"/>
      <c r="C1131" s="4" t="s">
        <v>7</v>
      </c>
      <c r="E1131" s="3">
        <v>31.4</v>
      </c>
      <c r="F1131" s="3">
        <v>2643.27</v>
      </c>
      <c r="H1131" s="4" t="s">
        <v>8</v>
      </c>
    </row>
    <row r="1132" spans="1:8" ht="14.5">
      <c r="A1132" s="3">
        <v>22</v>
      </c>
      <c r="B1132" s="3"/>
      <c r="C1132" s="4" t="s">
        <v>7</v>
      </c>
      <c r="E1132" s="3">
        <v>26.8</v>
      </c>
      <c r="F1132" s="3">
        <v>1665</v>
      </c>
      <c r="H1132" s="4" t="s">
        <v>8</v>
      </c>
    </row>
    <row r="1133" spans="1:8" ht="14.5">
      <c r="A1133" s="3">
        <v>22</v>
      </c>
      <c r="B1133" s="3"/>
      <c r="C1133" s="4" t="s">
        <v>10</v>
      </c>
      <c r="E1133" s="3">
        <v>34.6</v>
      </c>
      <c r="F1133" s="3">
        <v>3925.76</v>
      </c>
      <c r="H1133" s="4" t="s">
        <v>8</v>
      </c>
    </row>
    <row r="1134" spans="1:8" ht="14.5">
      <c r="A1134" s="3">
        <v>22</v>
      </c>
      <c r="B1134" s="3"/>
      <c r="C1134" s="4" t="s">
        <v>10</v>
      </c>
      <c r="E1134" s="3">
        <v>23.2</v>
      </c>
      <c r="F1134" s="3">
        <v>2731.91</v>
      </c>
      <c r="H1134" s="4" t="s">
        <v>8</v>
      </c>
    </row>
    <row r="1135" spans="1:8" ht="14.5">
      <c r="A1135" s="3">
        <v>22</v>
      </c>
      <c r="B1135" s="3"/>
      <c r="C1135" s="4" t="s">
        <v>7</v>
      </c>
      <c r="E1135" s="3">
        <v>34.799999999999997</v>
      </c>
      <c r="F1135" s="3">
        <v>3443.06</v>
      </c>
      <c r="H1135" s="4" t="s">
        <v>8</v>
      </c>
    </row>
    <row r="1136" spans="1:8" ht="14.5">
      <c r="A1136" s="3">
        <v>22</v>
      </c>
      <c r="B1136" s="3"/>
      <c r="C1136" s="4" t="s">
        <v>7</v>
      </c>
      <c r="E1136" s="3">
        <v>39.5</v>
      </c>
      <c r="F1136" s="3">
        <v>1682.6</v>
      </c>
      <c r="H1136" s="4" t="s">
        <v>8</v>
      </c>
    </row>
    <row r="1137" spans="1:8" ht="14.5">
      <c r="A1137" s="3">
        <v>22</v>
      </c>
      <c r="B1137" s="3"/>
      <c r="C1137" s="4" t="s">
        <v>7</v>
      </c>
      <c r="E1137" s="3">
        <v>28.3</v>
      </c>
      <c r="F1137" s="3">
        <v>2639.04</v>
      </c>
      <c r="H1137" s="4" t="s">
        <v>8</v>
      </c>
    </row>
    <row r="1138" spans="1:8" ht="14.5">
      <c r="A1138" s="3">
        <v>22</v>
      </c>
      <c r="B1138" s="3"/>
      <c r="C1138" s="4" t="s">
        <v>10</v>
      </c>
      <c r="E1138" s="3">
        <v>20.2</v>
      </c>
      <c r="F1138" s="3">
        <v>2527.8200000000002</v>
      </c>
      <c r="H1138" s="4" t="s">
        <v>8</v>
      </c>
    </row>
    <row r="1139" spans="1:8" ht="14.5">
      <c r="A1139" s="3">
        <v>22</v>
      </c>
      <c r="B1139" s="3"/>
      <c r="C1139" s="4" t="s">
        <v>10</v>
      </c>
      <c r="E1139" s="3">
        <v>31</v>
      </c>
      <c r="F1139" s="3">
        <v>35595.589999999997</v>
      </c>
      <c r="H1139" s="4" t="s">
        <v>11</v>
      </c>
    </row>
    <row r="1140" spans="1:8" ht="14.5">
      <c r="A1140" s="3">
        <v>22</v>
      </c>
      <c r="B1140" s="3"/>
      <c r="C1140" s="4" t="s">
        <v>7</v>
      </c>
      <c r="E1140" s="3">
        <v>37.1</v>
      </c>
      <c r="F1140" s="3">
        <v>37484.449999999997</v>
      </c>
      <c r="H1140" s="4" t="s">
        <v>11</v>
      </c>
    </row>
    <row r="1141" spans="1:8" ht="14.5">
      <c r="A1141" s="3">
        <v>22</v>
      </c>
      <c r="B1141" s="3"/>
      <c r="C1141" s="4" t="s">
        <v>7</v>
      </c>
      <c r="E1141" s="3">
        <v>28.9</v>
      </c>
      <c r="F1141" s="3">
        <v>2250.84</v>
      </c>
      <c r="H1141" s="4" t="s">
        <v>8</v>
      </c>
    </row>
    <row r="1142" spans="1:8" ht="14.5">
      <c r="A1142" s="3">
        <v>22</v>
      </c>
      <c r="B1142" s="3"/>
      <c r="C1142" s="4" t="s">
        <v>7</v>
      </c>
      <c r="E1142" s="3">
        <v>52.6</v>
      </c>
      <c r="F1142" s="3">
        <v>44501.4</v>
      </c>
      <c r="H1142" s="4" t="s">
        <v>11</v>
      </c>
    </row>
    <row r="1143" spans="1:8" ht="14.5">
      <c r="A1143" s="3">
        <v>22</v>
      </c>
      <c r="B1143" s="3"/>
      <c r="C1143" s="4" t="s">
        <v>10</v>
      </c>
      <c r="E1143" s="3">
        <v>30.4</v>
      </c>
      <c r="F1143" s="3">
        <v>33907.550000000003</v>
      </c>
      <c r="H1143" s="4" t="s">
        <v>11</v>
      </c>
    </row>
    <row r="1144" spans="1:8" ht="14.5">
      <c r="A1144" s="3">
        <v>22</v>
      </c>
      <c r="B1144" s="3"/>
      <c r="C1144" s="4" t="s">
        <v>7</v>
      </c>
      <c r="E1144" s="3">
        <v>33.799999999999997</v>
      </c>
      <c r="F1144" s="3">
        <v>1674.63</v>
      </c>
      <c r="H1144" s="4" t="s">
        <v>8</v>
      </c>
    </row>
    <row r="1145" spans="1:8" ht="14.5">
      <c r="A1145" s="3">
        <v>22</v>
      </c>
      <c r="B1145" s="3"/>
      <c r="C1145" s="4" t="s">
        <v>10</v>
      </c>
      <c r="E1145" s="3">
        <v>27.1</v>
      </c>
      <c r="F1145" s="3">
        <v>2154.36</v>
      </c>
      <c r="H1145" s="4" t="s">
        <v>8</v>
      </c>
    </row>
    <row r="1146" spans="1:8" ht="14.5">
      <c r="A1146" s="3">
        <v>22</v>
      </c>
      <c r="B1146" s="3"/>
      <c r="C1146" s="4" t="s">
        <v>7</v>
      </c>
      <c r="E1146" s="3">
        <v>32.1</v>
      </c>
      <c r="F1146" s="3">
        <v>2055.3200000000002</v>
      </c>
      <c r="H1146" s="4" t="s">
        <v>8</v>
      </c>
    </row>
    <row r="1147" spans="1:8" ht="14.5">
      <c r="A1147" s="3">
        <v>22</v>
      </c>
      <c r="B1147" s="3"/>
      <c r="C1147" s="4" t="s">
        <v>10</v>
      </c>
      <c r="E1147" s="3">
        <v>21.3</v>
      </c>
      <c r="F1147" s="3">
        <v>4296.2700000000004</v>
      </c>
      <c r="H1147" s="4" t="s">
        <v>8</v>
      </c>
    </row>
    <row r="1148" spans="1:8" ht="14.5">
      <c r="A1148" s="3">
        <v>22</v>
      </c>
      <c r="B1148" s="3"/>
      <c r="C1148" s="4" t="s">
        <v>10</v>
      </c>
      <c r="E1148" s="3">
        <v>30.4</v>
      </c>
      <c r="F1148" s="3">
        <v>2741.95</v>
      </c>
      <c r="H1148" s="4" t="s">
        <v>8</v>
      </c>
    </row>
    <row r="1149" spans="1:8" ht="14.5">
      <c r="A1149" s="3">
        <v>21</v>
      </c>
      <c r="B1149" s="3"/>
      <c r="C1149" s="4" t="s">
        <v>10</v>
      </c>
      <c r="E1149" s="3">
        <v>33.6</v>
      </c>
      <c r="F1149" s="3">
        <v>3579.83</v>
      </c>
      <c r="H1149" s="4" t="s">
        <v>8</v>
      </c>
    </row>
    <row r="1150" spans="1:8" ht="14.5">
      <c r="A1150" s="3">
        <v>21</v>
      </c>
      <c r="B1150" s="3"/>
      <c r="C1150" s="4" t="s">
        <v>7</v>
      </c>
      <c r="E1150" s="3">
        <v>35.5</v>
      </c>
      <c r="F1150" s="3">
        <v>1532.47</v>
      </c>
      <c r="H1150" s="4" t="s">
        <v>8</v>
      </c>
    </row>
    <row r="1151" spans="1:8" ht="14.5">
      <c r="A1151" s="3">
        <v>21</v>
      </c>
      <c r="B1151" s="3"/>
      <c r="C1151" s="4" t="s">
        <v>10</v>
      </c>
      <c r="E1151" s="3">
        <v>39.5</v>
      </c>
      <c r="F1151" s="3">
        <v>2026.97</v>
      </c>
      <c r="H1151" s="4" t="s">
        <v>8</v>
      </c>
    </row>
    <row r="1152" spans="1:8" ht="14.5">
      <c r="A1152" s="3">
        <v>21</v>
      </c>
      <c r="B1152" s="3"/>
      <c r="C1152" s="4" t="s">
        <v>10</v>
      </c>
      <c r="E1152" s="3">
        <v>35.700000000000003</v>
      </c>
      <c r="F1152" s="3">
        <v>2404.73</v>
      </c>
      <c r="H1152" s="4" t="s">
        <v>8</v>
      </c>
    </row>
    <row r="1153" spans="1:8" ht="14.5">
      <c r="A1153" s="3">
        <v>21</v>
      </c>
      <c r="B1153" s="3"/>
      <c r="C1153" s="4" t="s">
        <v>10</v>
      </c>
      <c r="E1153" s="3">
        <v>26.4</v>
      </c>
      <c r="F1153" s="3">
        <v>2597.7800000000002</v>
      </c>
      <c r="H1153" s="4" t="s">
        <v>8</v>
      </c>
    </row>
    <row r="1154" spans="1:8" ht="14.5">
      <c r="A1154" s="3">
        <v>21</v>
      </c>
      <c r="B1154" s="3"/>
      <c r="C1154" s="4" t="s">
        <v>10</v>
      </c>
      <c r="E1154" s="3">
        <v>21.9</v>
      </c>
      <c r="F1154" s="3">
        <v>3180.51</v>
      </c>
      <c r="H1154" s="4" t="s">
        <v>8</v>
      </c>
    </row>
    <row r="1155" spans="1:8" ht="14.5">
      <c r="A1155" s="3">
        <v>21</v>
      </c>
      <c r="B1155" s="3"/>
      <c r="C1155" s="4" t="s">
        <v>7</v>
      </c>
      <c r="E1155" s="3">
        <v>31</v>
      </c>
      <c r="F1155" s="3">
        <v>16586.5</v>
      </c>
      <c r="H1155" s="4" t="s">
        <v>8</v>
      </c>
    </row>
    <row r="1156" spans="1:8" ht="14.5">
      <c r="A1156" s="3">
        <v>21</v>
      </c>
      <c r="B1156" s="3"/>
      <c r="C1156" s="4" t="s">
        <v>10</v>
      </c>
      <c r="E1156" s="3">
        <v>16.8</v>
      </c>
      <c r="F1156" s="3">
        <v>3167.46</v>
      </c>
      <c r="H1156" s="4" t="s">
        <v>8</v>
      </c>
    </row>
    <row r="1157" spans="1:8" ht="14.5">
      <c r="A1157" s="3">
        <v>21</v>
      </c>
      <c r="B1157" s="3"/>
      <c r="C1157" s="4" t="s">
        <v>7</v>
      </c>
      <c r="E1157" s="3">
        <v>36.9</v>
      </c>
      <c r="F1157" s="3">
        <v>1534.3</v>
      </c>
      <c r="H1157" s="4" t="s">
        <v>8</v>
      </c>
    </row>
    <row r="1158" spans="1:8" ht="14.5">
      <c r="A1158" s="3">
        <v>21</v>
      </c>
      <c r="B1158" s="3"/>
      <c r="C1158" s="4" t="s">
        <v>7</v>
      </c>
      <c r="E1158" s="3">
        <v>25.7</v>
      </c>
      <c r="F1158" s="3">
        <v>17942.11</v>
      </c>
      <c r="H1158" s="4" t="s">
        <v>11</v>
      </c>
    </row>
    <row r="1159" spans="1:8" ht="14.5">
      <c r="A1159" s="3">
        <v>21</v>
      </c>
      <c r="B1159" s="3"/>
      <c r="C1159" s="4" t="s">
        <v>7</v>
      </c>
      <c r="E1159" s="3">
        <v>23.8</v>
      </c>
      <c r="F1159" s="3">
        <v>3077.1</v>
      </c>
      <c r="H1159" s="4" t="s">
        <v>8</v>
      </c>
    </row>
    <row r="1160" spans="1:8" ht="14.5">
      <c r="A1160" s="3">
        <v>21</v>
      </c>
      <c r="B1160" s="3"/>
      <c r="C1160" s="4" t="s">
        <v>7</v>
      </c>
      <c r="E1160" s="3">
        <v>20.2</v>
      </c>
      <c r="F1160" s="3">
        <v>3861.21</v>
      </c>
      <c r="H1160" s="4" t="s">
        <v>8</v>
      </c>
    </row>
    <row r="1161" spans="1:8" ht="14.5">
      <c r="A1161" s="3">
        <v>21</v>
      </c>
      <c r="B1161" s="3"/>
      <c r="C1161" s="4" t="s">
        <v>10</v>
      </c>
      <c r="E1161" s="3">
        <v>21.9</v>
      </c>
      <c r="F1161" s="3">
        <v>15359.1</v>
      </c>
      <c r="H1161" s="4" t="s">
        <v>11</v>
      </c>
    </row>
    <row r="1162" spans="1:8" ht="14.5">
      <c r="A1162" s="3">
        <v>21</v>
      </c>
      <c r="B1162" s="3"/>
      <c r="C1162" s="4" t="s">
        <v>10</v>
      </c>
      <c r="E1162" s="3">
        <v>17.399999999999999</v>
      </c>
      <c r="F1162" s="3">
        <v>2585.27</v>
      </c>
      <c r="H1162" s="4" t="s">
        <v>8</v>
      </c>
    </row>
    <row r="1163" spans="1:8" ht="14.5">
      <c r="A1163" s="3">
        <v>21</v>
      </c>
      <c r="B1163" s="3"/>
      <c r="C1163" s="4" t="s">
        <v>7</v>
      </c>
      <c r="E1163" s="3">
        <v>27.4</v>
      </c>
      <c r="F1163" s="3">
        <v>2104.11</v>
      </c>
      <c r="H1163" s="4" t="s">
        <v>8</v>
      </c>
    </row>
    <row r="1164" spans="1:8" ht="14.5">
      <c r="A1164" s="3">
        <v>21</v>
      </c>
      <c r="B1164" s="3"/>
      <c r="C1164" s="4" t="s">
        <v>10</v>
      </c>
      <c r="E1164" s="3">
        <v>34.9</v>
      </c>
      <c r="F1164" s="3">
        <v>2020.55</v>
      </c>
      <c r="H1164" s="4" t="s">
        <v>8</v>
      </c>
    </row>
    <row r="1165" spans="1:8" ht="14.5">
      <c r="A1165" s="3">
        <v>21</v>
      </c>
      <c r="B1165" s="3"/>
      <c r="C1165" s="4" t="s">
        <v>7</v>
      </c>
      <c r="E1165" s="3">
        <v>29</v>
      </c>
      <c r="F1165" s="3">
        <v>1906.36</v>
      </c>
      <c r="H1165" s="4" t="s">
        <v>8</v>
      </c>
    </row>
    <row r="1166" spans="1:8" ht="14.5">
      <c r="A1166" s="3">
        <v>21</v>
      </c>
      <c r="B1166" s="3"/>
      <c r="C1166" s="4" t="s">
        <v>7</v>
      </c>
      <c r="E1166" s="3">
        <v>36.9</v>
      </c>
      <c r="F1166" s="3">
        <v>1917.32</v>
      </c>
      <c r="H1166" s="4" t="s">
        <v>8</v>
      </c>
    </row>
    <row r="1167" spans="1:8" ht="14.5">
      <c r="A1167" s="3">
        <v>21</v>
      </c>
      <c r="B1167" s="3"/>
      <c r="C1167" s="4" t="s">
        <v>7</v>
      </c>
      <c r="E1167" s="3">
        <v>22.3</v>
      </c>
      <c r="F1167" s="3">
        <v>2103.08</v>
      </c>
      <c r="H1167" s="4" t="s">
        <v>8</v>
      </c>
    </row>
    <row r="1168" spans="1:8" ht="14.5">
      <c r="A1168" s="3">
        <v>21</v>
      </c>
      <c r="B1168" s="3"/>
      <c r="C1168" s="4" t="s">
        <v>7</v>
      </c>
      <c r="E1168" s="3">
        <v>31.1</v>
      </c>
      <c r="F1168" s="3">
        <v>1526.31</v>
      </c>
      <c r="H1168" s="4" t="s">
        <v>8</v>
      </c>
    </row>
    <row r="1169" spans="1:8" ht="14.5">
      <c r="A1169" s="3">
        <v>21</v>
      </c>
      <c r="B1169" s="3"/>
      <c r="C1169" s="4" t="s">
        <v>10</v>
      </c>
      <c r="E1169" s="3">
        <v>22.1</v>
      </c>
      <c r="F1169" s="3">
        <v>2585.85</v>
      </c>
      <c r="H1169" s="4" t="s">
        <v>8</v>
      </c>
    </row>
    <row r="1170" spans="1:8" ht="14.5">
      <c r="A1170" s="3">
        <v>21</v>
      </c>
      <c r="B1170" s="3"/>
      <c r="C1170" s="4" t="s">
        <v>7</v>
      </c>
      <c r="E1170" s="3">
        <v>25.7</v>
      </c>
      <c r="F1170" s="3">
        <v>3279.87</v>
      </c>
      <c r="H1170" s="4" t="s">
        <v>8</v>
      </c>
    </row>
    <row r="1171" spans="1:8" ht="14.5">
      <c r="A1171" s="3">
        <v>21</v>
      </c>
      <c r="B1171" s="3"/>
      <c r="C1171" s="4" t="s">
        <v>10</v>
      </c>
      <c r="E1171" s="3">
        <v>32.700000000000003</v>
      </c>
      <c r="F1171" s="3">
        <v>26018.95</v>
      </c>
      <c r="H1171" s="4" t="s">
        <v>8</v>
      </c>
    </row>
    <row r="1172" spans="1:8" ht="14.5">
      <c r="A1172" s="3">
        <v>21</v>
      </c>
      <c r="B1172" s="3"/>
      <c r="C1172" s="4" t="s">
        <v>10</v>
      </c>
      <c r="E1172" s="3">
        <v>34.6</v>
      </c>
      <c r="F1172" s="3">
        <v>2020.18</v>
      </c>
      <c r="H1172" s="4" t="s">
        <v>8</v>
      </c>
    </row>
    <row r="1173" spans="1:8" ht="14.5">
      <c r="A1173" s="3">
        <v>21</v>
      </c>
      <c r="B1173" s="3"/>
      <c r="C1173" s="4" t="s">
        <v>7</v>
      </c>
      <c r="E1173" s="3">
        <v>31.3</v>
      </c>
      <c r="F1173" s="3">
        <v>1909.53</v>
      </c>
      <c r="H1173" s="4" t="s">
        <v>8</v>
      </c>
    </row>
    <row r="1174" spans="1:8" ht="14.5">
      <c r="A1174" s="3">
        <v>21</v>
      </c>
      <c r="B1174" s="3"/>
      <c r="C1174" s="4" t="s">
        <v>7</v>
      </c>
      <c r="E1174" s="3">
        <v>26</v>
      </c>
      <c r="F1174" s="3">
        <v>2102.2600000000002</v>
      </c>
      <c r="H1174" s="4" t="s">
        <v>8</v>
      </c>
    </row>
    <row r="1175" spans="1:8" ht="14.5">
      <c r="A1175" s="3">
        <v>21</v>
      </c>
      <c r="B1175" s="3"/>
      <c r="C1175" s="4" t="s">
        <v>7</v>
      </c>
      <c r="E1175" s="3">
        <v>23.2</v>
      </c>
      <c r="F1175" s="3">
        <v>1515.34</v>
      </c>
      <c r="H1175" s="4" t="s">
        <v>8</v>
      </c>
    </row>
    <row r="1176" spans="1:8" ht="14.5">
      <c r="A1176" s="3">
        <v>21</v>
      </c>
      <c r="B1176" s="3"/>
      <c r="C1176" s="4" t="s">
        <v>10</v>
      </c>
      <c r="E1176" s="3">
        <v>25.8</v>
      </c>
      <c r="F1176" s="3">
        <v>2007.95</v>
      </c>
      <c r="H1176" s="4" t="s">
        <v>8</v>
      </c>
    </row>
    <row r="1177" spans="1:8" ht="14.5">
      <c r="A1177" s="3">
        <v>20</v>
      </c>
      <c r="B1177" s="3"/>
      <c r="C1177" s="4" t="s">
        <v>10</v>
      </c>
      <c r="E1177" s="3">
        <v>22.4</v>
      </c>
      <c r="F1177" s="3">
        <v>14711.74</v>
      </c>
      <c r="H1177" s="4" t="s">
        <v>11</v>
      </c>
    </row>
    <row r="1178" spans="1:8" ht="14.5">
      <c r="A1178" s="3">
        <v>20</v>
      </c>
      <c r="B1178" s="3"/>
      <c r="C1178" s="4" t="s">
        <v>7</v>
      </c>
      <c r="E1178" s="3">
        <v>28</v>
      </c>
      <c r="F1178" s="3">
        <v>17560.38</v>
      </c>
      <c r="H1178" s="4" t="s">
        <v>11</v>
      </c>
    </row>
    <row r="1179" spans="1:8" ht="14.5">
      <c r="A1179" s="3">
        <v>20</v>
      </c>
      <c r="B1179" s="3"/>
      <c r="C1179" s="4" t="s">
        <v>10</v>
      </c>
      <c r="E1179" s="3">
        <v>29</v>
      </c>
      <c r="F1179" s="3">
        <v>2257.48</v>
      </c>
      <c r="H1179" s="4" t="s">
        <v>8</v>
      </c>
    </row>
    <row r="1180" spans="1:8" ht="14.5">
      <c r="A1180" s="3">
        <v>20</v>
      </c>
      <c r="B1180" s="3"/>
      <c r="C1180" s="4" t="s">
        <v>10</v>
      </c>
      <c r="E1180" s="3">
        <v>28.8</v>
      </c>
      <c r="F1180" s="3">
        <v>2457.21</v>
      </c>
      <c r="H1180" s="4" t="s">
        <v>8</v>
      </c>
    </row>
    <row r="1181" spans="1:8" ht="14.5">
      <c r="A1181" s="3">
        <v>20</v>
      </c>
      <c r="B1181" s="3"/>
      <c r="C1181" s="4" t="s">
        <v>10</v>
      </c>
      <c r="E1181" s="3">
        <v>37</v>
      </c>
      <c r="F1181" s="3">
        <v>4830.63</v>
      </c>
      <c r="H1181" s="4" t="s">
        <v>8</v>
      </c>
    </row>
    <row r="1182" spans="1:8" ht="14.5">
      <c r="A1182" s="3">
        <v>20</v>
      </c>
      <c r="B1182" s="3"/>
      <c r="C1182" s="4" t="s">
        <v>7</v>
      </c>
      <c r="E1182" s="3">
        <v>33</v>
      </c>
      <c r="F1182" s="3">
        <v>1980.07</v>
      </c>
      <c r="H1182" s="4" t="s">
        <v>8</v>
      </c>
    </row>
    <row r="1183" spans="1:8" ht="14.5">
      <c r="A1183" s="3">
        <v>20</v>
      </c>
      <c r="B1183" s="3"/>
      <c r="C1183" s="4" t="s">
        <v>10</v>
      </c>
      <c r="E1183" s="3">
        <v>26.8</v>
      </c>
      <c r="F1183" s="3">
        <v>17085.27</v>
      </c>
      <c r="H1183" s="4" t="s">
        <v>11</v>
      </c>
    </row>
    <row r="1184" spans="1:8" ht="14.5">
      <c r="A1184" s="3">
        <v>20</v>
      </c>
      <c r="B1184" s="3"/>
      <c r="C1184" s="4" t="s">
        <v>7</v>
      </c>
      <c r="E1184" s="3">
        <v>33.299999999999997</v>
      </c>
      <c r="F1184" s="3">
        <v>1391.53</v>
      </c>
      <c r="H1184" s="4" t="s">
        <v>8</v>
      </c>
    </row>
    <row r="1185" spans="1:8" ht="14.5">
      <c r="A1185" s="3">
        <v>20</v>
      </c>
      <c r="B1185" s="3"/>
      <c r="C1185" s="4" t="s">
        <v>7</v>
      </c>
      <c r="E1185" s="3">
        <v>29.7</v>
      </c>
      <c r="F1185" s="3">
        <v>1769.53</v>
      </c>
      <c r="H1185" s="4" t="s">
        <v>8</v>
      </c>
    </row>
    <row r="1186" spans="1:8" ht="14.5">
      <c r="A1186" s="3">
        <v>20</v>
      </c>
      <c r="B1186" s="3"/>
      <c r="C1186" s="4" t="s">
        <v>7</v>
      </c>
      <c r="E1186" s="3">
        <v>27.9</v>
      </c>
      <c r="F1186" s="3">
        <v>1967.02</v>
      </c>
      <c r="H1186" s="4" t="s">
        <v>8</v>
      </c>
    </row>
    <row r="1187" spans="1:8" ht="14.5">
      <c r="A1187" s="3">
        <v>20</v>
      </c>
      <c r="B1187" s="3"/>
      <c r="C1187" s="4" t="s">
        <v>7</v>
      </c>
      <c r="E1187" s="3">
        <v>35.299999999999997</v>
      </c>
      <c r="F1187" s="3">
        <v>27724.29</v>
      </c>
      <c r="H1187" s="4" t="s">
        <v>8</v>
      </c>
    </row>
    <row r="1188" spans="1:8" ht="14.5">
      <c r="A1188" s="3">
        <v>20</v>
      </c>
      <c r="B1188" s="3"/>
      <c r="C1188" s="4" t="s">
        <v>10</v>
      </c>
      <c r="E1188" s="3">
        <v>31.8</v>
      </c>
      <c r="F1188" s="3">
        <v>3056.39</v>
      </c>
      <c r="H1188" s="4" t="s">
        <v>8</v>
      </c>
    </row>
    <row r="1189" spans="1:8" ht="14.5">
      <c r="A1189" s="3">
        <v>20</v>
      </c>
      <c r="B1189" s="3"/>
      <c r="C1189" s="4" t="s">
        <v>7</v>
      </c>
      <c r="E1189" s="3">
        <v>31.1</v>
      </c>
      <c r="F1189" s="3">
        <v>2566.4699999999998</v>
      </c>
      <c r="H1189" s="4" t="s">
        <v>8</v>
      </c>
    </row>
    <row r="1190" spans="1:8" ht="14.5">
      <c r="A1190" s="3">
        <v>20</v>
      </c>
      <c r="B1190" s="3"/>
      <c r="C1190" s="4" t="s">
        <v>10</v>
      </c>
      <c r="E1190" s="3">
        <v>33</v>
      </c>
      <c r="F1190" s="3">
        <v>1880.07</v>
      </c>
      <c r="H1190" s="4" t="s">
        <v>8</v>
      </c>
    </row>
    <row r="1191" spans="1:8" ht="14.5">
      <c r="A1191" s="3">
        <v>20</v>
      </c>
      <c r="B1191" s="3"/>
      <c r="C1191" s="4" t="s">
        <v>7</v>
      </c>
      <c r="E1191" s="3">
        <v>32.4</v>
      </c>
      <c r="F1191" s="3">
        <v>2362.23</v>
      </c>
      <c r="H1191" s="4" t="s">
        <v>8</v>
      </c>
    </row>
    <row r="1192" spans="1:8" ht="14.5">
      <c r="A1192" s="3">
        <v>20</v>
      </c>
      <c r="B1192" s="3"/>
      <c r="C1192" s="4" t="s">
        <v>7</v>
      </c>
      <c r="E1192" s="3">
        <v>40.5</v>
      </c>
      <c r="F1192" s="3">
        <v>1984.45</v>
      </c>
      <c r="H1192" s="4" t="s">
        <v>8</v>
      </c>
    </row>
    <row r="1193" spans="1:8" ht="14.5">
      <c r="A1193" s="3">
        <v>20</v>
      </c>
      <c r="B1193" s="3"/>
      <c r="C1193" s="4" t="s">
        <v>10</v>
      </c>
      <c r="E1193" s="3">
        <v>31.5</v>
      </c>
      <c r="F1193" s="3">
        <v>1877.93</v>
      </c>
      <c r="H1193" s="4" t="s">
        <v>8</v>
      </c>
    </row>
    <row r="1194" spans="1:8" ht="14.5">
      <c r="A1194" s="3">
        <v>20</v>
      </c>
      <c r="B1194" s="3"/>
      <c r="C1194" s="4" t="s">
        <v>10</v>
      </c>
      <c r="E1194" s="3">
        <v>29.6</v>
      </c>
      <c r="F1194" s="3">
        <v>1875.34</v>
      </c>
      <c r="H1194" s="4" t="s">
        <v>8</v>
      </c>
    </row>
    <row r="1195" spans="1:8" ht="14.5">
      <c r="A1195" s="3">
        <v>20</v>
      </c>
      <c r="B1195" s="3"/>
      <c r="C1195" s="4" t="s">
        <v>7</v>
      </c>
      <c r="E1195" s="3">
        <v>30.1</v>
      </c>
      <c r="F1195" s="3">
        <v>4915.0600000000004</v>
      </c>
      <c r="H1195" s="4" t="s">
        <v>8</v>
      </c>
    </row>
    <row r="1196" spans="1:8" ht="14.5">
      <c r="A1196" s="3">
        <v>20</v>
      </c>
      <c r="B1196" s="3"/>
      <c r="C1196" s="4" t="s">
        <v>7</v>
      </c>
      <c r="E1196" s="3">
        <v>30.7</v>
      </c>
      <c r="F1196" s="3">
        <v>33475.82</v>
      </c>
      <c r="H1196" s="4" t="s">
        <v>11</v>
      </c>
    </row>
    <row r="1197" spans="1:8" ht="14.5">
      <c r="A1197" s="3">
        <v>20</v>
      </c>
      <c r="B1197" s="3"/>
      <c r="C1197" s="4" t="s">
        <v>10</v>
      </c>
      <c r="E1197" s="3">
        <v>31.9</v>
      </c>
      <c r="F1197" s="3">
        <v>2261.5700000000002</v>
      </c>
      <c r="H1197" s="4" t="s">
        <v>8</v>
      </c>
    </row>
    <row r="1198" spans="1:8" ht="14.5">
      <c r="A1198" s="3">
        <v>20</v>
      </c>
      <c r="B1198" s="3"/>
      <c r="C1198" s="4" t="s">
        <v>10</v>
      </c>
      <c r="E1198" s="3">
        <v>30.6</v>
      </c>
      <c r="F1198" s="3">
        <v>2459.7199999999998</v>
      </c>
      <c r="H1198" s="4" t="s">
        <v>8</v>
      </c>
    </row>
    <row r="1199" spans="1:8" ht="14.5">
      <c r="A1199" s="3">
        <v>20</v>
      </c>
      <c r="B1199" s="3"/>
      <c r="C1199" s="4" t="s">
        <v>7</v>
      </c>
      <c r="E1199" s="3">
        <v>35.6</v>
      </c>
      <c r="F1199" s="3">
        <v>37465.339999999997</v>
      </c>
      <c r="H1199" s="4" t="s">
        <v>11</v>
      </c>
    </row>
    <row r="1200" spans="1:8" ht="14.5">
      <c r="A1200" s="3">
        <v>20</v>
      </c>
      <c r="B1200" s="3"/>
      <c r="C1200" s="4" t="s">
        <v>10</v>
      </c>
      <c r="E1200" s="3">
        <v>24.4</v>
      </c>
      <c r="F1200" s="3">
        <v>26125.67</v>
      </c>
      <c r="H1200" s="4" t="s">
        <v>11</v>
      </c>
    </row>
    <row r="1201" spans="1:8" ht="14.5">
      <c r="A1201" s="3">
        <v>20</v>
      </c>
      <c r="B1201" s="3"/>
      <c r="C1201" s="4" t="s">
        <v>10</v>
      </c>
      <c r="E1201" s="3">
        <v>21.8</v>
      </c>
      <c r="F1201" s="3">
        <v>20167.34</v>
      </c>
      <c r="H1201" s="4" t="s">
        <v>11</v>
      </c>
    </row>
    <row r="1202" spans="1:8" ht="14.5">
      <c r="A1202" s="3">
        <v>20</v>
      </c>
      <c r="B1202" s="3"/>
      <c r="C1202" s="4" t="s">
        <v>7</v>
      </c>
      <c r="E1202" s="3">
        <v>27.3</v>
      </c>
      <c r="F1202" s="3">
        <v>16232.85</v>
      </c>
      <c r="H1202" s="4" t="s">
        <v>11</v>
      </c>
    </row>
    <row r="1203" spans="1:8" ht="14.5">
      <c r="A1203" s="3">
        <v>20</v>
      </c>
      <c r="B1203" s="3"/>
      <c r="C1203" s="4" t="s">
        <v>10</v>
      </c>
      <c r="E1203" s="3">
        <v>33.299999999999997</v>
      </c>
      <c r="F1203" s="3">
        <v>1880.49</v>
      </c>
      <c r="H1203" s="4" t="s">
        <v>8</v>
      </c>
    </row>
    <row r="1204" spans="1:8" ht="14.5">
      <c r="A1204" s="3">
        <v>20</v>
      </c>
      <c r="B1204" s="3"/>
      <c r="C1204" s="4" t="s">
        <v>7</v>
      </c>
      <c r="E1204" s="3">
        <v>39.4</v>
      </c>
      <c r="F1204" s="3">
        <v>38344.57</v>
      </c>
      <c r="H1204" s="4" t="s">
        <v>11</v>
      </c>
    </row>
    <row r="1205" spans="1:8" ht="14.5">
      <c r="A1205" s="3">
        <v>20</v>
      </c>
      <c r="B1205" s="3"/>
      <c r="C1205" s="4" t="s">
        <v>7</v>
      </c>
      <c r="E1205" s="3">
        <v>22</v>
      </c>
      <c r="F1205" s="3">
        <v>1964.78</v>
      </c>
      <c r="H1205" s="4" t="s">
        <v>8</v>
      </c>
    </row>
    <row r="1206" spans="1:8" ht="14.5">
      <c r="A1206" s="3">
        <v>19</v>
      </c>
      <c r="B1206" s="3"/>
      <c r="C1206" s="4" t="s">
        <v>10</v>
      </c>
      <c r="E1206" s="3">
        <v>27.9</v>
      </c>
      <c r="F1206" s="3">
        <v>16884.919999999998</v>
      </c>
      <c r="H1206" s="4" t="s">
        <v>11</v>
      </c>
    </row>
    <row r="1207" spans="1:8" ht="14.5">
      <c r="A1207" s="3">
        <v>19</v>
      </c>
      <c r="B1207" s="3"/>
      <c r="C1207" s="4" t="s">
        <v>7</v>
      </c>
      <c r="E1207" s="3">
        <v>24.6</v>
      </c>
      <c r="F1207" s="3">
        <v>1837.24</v>
      </c>
      <c r="H1207" s="4" t="s">
        <v>8</v>
      </c>
    </row>
    <row r="1208" spans="1:8" ht="14.5">
      <c r="A1208" s="3">
        <v>19</v>
      </c>
      <c r="B1208" s="3"/>
      <c r="C1208" s="4" t="s">
        <v>10</v>
      </c>
      <c r="E1208" s="3">
        <v>28.6</v>
      </c>
      <c r="F1208" s="3">
        <v>4687.8</v>
      </c>
      <c r="H1208" s="4" t="s">
        <v>8</v>
      </c>
    </row>
    <row r="1209" spans="1:8" ht="14.5">
      <c r="A1209" s="3">
        <v>19</v>
      </c>
      <c r="B1209" s="3"/>
      <c r="C1209" s="4" t="s">
        <v>7</v>
      </c>
      <c r="E1209" s="3">
        <v>20.399999999999999</v>
      </c>
      <c r="F1209" s="3">
        <v>1625.43</v>
      </c>
      <c r="H1209" s="4" t="s">
        <v>8</v>
      </c>
    </row>
    <row r="1210" spans="1:8" ht="14.5">
      <c r="A1210" s="3">
        <v>19</v>
      </c>
      <c r="B1210" s="3"/>
      <c r="C1210" s="4" t="s">
        <v>10</v>
      </c>
      <c r="E1210" s="3">
        <v>28.9</v>
      </c>
      <c r="F1210" s="3">
        <v>1743.21</v>
      </c>
      <c r="H1210" s="4" t="s">
        <v>8</v>
      </c>
    </row>
    <row r="1211" spans="1:8" ht="14.5">
      <c r="A1211" s="3">
        <v>19</v>
      </c>
      <c r="B1211" s="3"/>
      <c r="C1211" s="4" t="s">
        <v>10</v>
      </c>
      <c r="E1211" s="3">
        <v>28.4</v>
      </c>
      <c r="F1211" s="3">
        <v>2331.52</v>
      </c>
      <c r="H1211" s="4" t="s">
        <v>8</v>
      </c>
    </row>
    <row r="1212" spans="1:8" ht="14.5">
      <c r="A1212" s="3">
        <v>19</v>
      </c>
      <c r="B1212" s="3"/>
      <c r="C1212" s="4" t="s">
        <v>10</v>
      </c>
      <c r="E1212" s="3">
        <v>28.3</v>
      </c>
      <c r="F1212" s="3">
        <v>17081.080000000002</v>
      </c>
      <c r="H1212" s="4" t="s">
        <v>11</v>
      </c>
    </row>
    <row r="1213" spans="1:8" ht="14.5">
      <c r="A1213" s="3">
        <v>19</v>
      </c>
      <c r="B1213" s="3"/>
      <c r="C1213" s="4" t="s">
        <v>7</v>
      </c>
      <c r="E1213" s="3">
        <v>25.6</v>
      </c>
      <c r="F1213" s="3">
        <v>1632.56</v>
      </c>
      <c r="H1213" s="4" t="s">
        <v>8</v>
      </c>
    </row>
    <row r="1214" spans="1:8" ht="14.5">
      <c r="A1214" s="3">
        <v>19</v>
      </c>
      <c r="B1214" s="3"/>
      <c r="C1214" s="4" t="s">
        <v>7</v>
      </c>
      <c r="E1214" s="3">
        <v>34.1</v>
      </c>
      <c r="F1214" s="3">
        <v>1261.44</v>
      </c>
      <c r="H1214" s="4" t="s">
        <v>8</v>
      </c>
    </row>
    <row r="1215" spans="1:8" ht="14.5">
      <c r="A1215" s="3">
        <v>19</v>
      </c>
      <c r="B1215" s="3"/>
      <c r="C1215" s="4" t="s">
        <v>7</v>
      </c>
      <c r="E1215" s="3">
        <v>28.4</v>
      </c>
      <c r="F1215" s="3">
        <v>1842.52</v>
      </c>
      <c r="H1215" s="4" t="s">
        <v>8</v>
      </c>
    </row>
    <row r="1216" spans="1:8" ht="14.5">
      <c r="A1216" s="3">
        <v>19</v>
      </c>
      <c r="B1216" s="3"/>
      <c r="C1216" s="4" t="s">
        <v>10</v>
      </c>
      <c r="E1216" s="3">
        <v>31.8</v>
      </c>
      <c r="F1216" s="3">
        <v>2719.28</v>
      </c>
      <c r="H1216" s="4" t="s">
        <v>8</v>
      </c>
    </row>
    <row r="1217" spans="1:8" ht="14.5">
      <c r="A1217" s="3">
        <v>19</v>
      </c>
      <c r="B1217" s="3"/>
      <c r="C1217" s="4" t="s">
        <v>7</v>
      </c>
      <c r="E1217" s="3">
        <v>30.6</v>
      </c>
      <c r="F1217" s="3">
        <v>1639.56</v>
      </c>
      <c r="H1217" s="4" t="s">
        <v>8</v>
      </c>
    </row>
    <row r="1218" spans="1:8" ht="14.5">
      <c r="A1218" s="3">
        <v>19</v>
      </c>
      <c r="B1218" s="3"/>
      <c r="C1218" s="4" t="s">
        <v>10</v>
      </c>
      <c r="E1218" s="3">
        <v>32.1</v>
      </c>
      <c r="F1218" s="3">
        <v>2130.6799999999998</v>
      </c>
      <c r="H1218" s="4" t="s">
        <v>8</v>
      </c>
    </row>
    <row r="1219" spans="1:8" ht="14.5">
      <c r="A1219" s="3">
        <v>19</v>
      </c>
      <c r="B1219" s="3"/>
      <c r="C1219" s="4" t="s">
        <v>7</v>
      </c>
      <c r="E1219" s="3">
        <v>34.799999999999997</v>
      </c>
      <c r="F1219" s="3">
        <v>34779.620000000003</v>
      </c>
      <c r="H1219" s="4" t="s">
        <v>11</v>
      </c>
    </row>
    <row r="1220" spans="1:8" ht="14.5">
      <c r="A1220" s="3">
        <v>19</v>
      </c>
      <c r="B1220" s="3"/>
      <c r="C1220" s="4" t="s">
        <v>10</v>
      </c>
      <c r="E1220" s="3">
        <v>17.8</v>
      </c>
      <c r="F1220" s="3">
        <v>1727.79</v>
      </c>
      <c r="H1220" s="4" t="s">
        <v>8</v>
      </c>
    </row>
    <row r="1221" spans="1:8" ht="14.5">
      <c r="A1221" s="3">
        <v>19</v>
      </c>
      <c r="B1221" s="3"/>
      <c r="C1221" s="4" t="s">
        <v>7</v>
      </c>
      <c r="E1221" s="3">
        <v>29.1</v>
      </c>
      <c r="F1221" s="3">
        <v>17352.68</v>
      </c>
      <c r="H1221" s="4" t="s">
        <v>11</v>
      </c>
    </row>
    <row r="1222" spans="1:8" ht="14.5">
      <c r="A1222" s="3">
        <v>19</v>
      </c>
      <c r="B1222" s="3"/>
      <c r="C1222" s="4" t="s">
        <v>7</v>
      </c>
      <c r="E1222" s="3">
        <v>20.9</v>
      </c>
      <c r="F1222" s="3">
        <v>1832.09</v>
      </c>
      <c r="H1222" s="4" t="s">
        <v>8</v>
      </c>
    </row>
    <row r="1223" spans="1:8" ht="14.5">
      <c r="A1223" s="3">
        <v>19</v>
      </c>
      <c r="B1223" s="3"/>
      <c r="C1223" s="4" t="s">
        <v>7</v>
      </c>
      <c r="E1223" s="3">
        <v>31.9</v>
      </c>
      <c r="F1223" s="3">
        <v>33750.29</v>
      </c>
      <c r="H1223" s="4" t="s">
        <v>11</v>
      </c>
    </row>
    <row r="1224" spans="1:8" ht="14.5">
      <c r="A1224" s="3">
        <v>19</v>
      </c>
      <c r="B1224" s="3"/>
      <c r="C1224" s="4" t="s">
        <v>7</v>
      </c>
      <c r="E1224" s="3">
        <v>37</v>
      </c>
      <c r="F1224" s="3">
        <v>36219.410000000003</v>
      </c>
      <c r="H1224" s="4" t="s">
        <v>11</v>
      </c>
    </row>
    <row r="1225" spans="1:8" ht="14.5">
      <c r="A1225" s="3">
        <v>19</v>
      </c>
      <c r="B1225" s="3"/>
      <c r="C1225" s="4" t="s">
        <v>7</v>
      </c>
      <c r="E1225" s="3">
        <v>20.6</v>
      </c>
      <c r="F1225" s="3">
        <v>2803.7</v>
      </c>
      <c r="H1225" s="4" t="s">
        <v>8</v>
      </c>
    </row>
    <row r="1226" spans="1:8" ht="14.5">
      <c r="A1226" s="3">
        <v>19</v>
      </c>
      <c r="B1226" s="3"/>
      <c r="C1226" s="4" t="s">
        <v>7</v>
      </c>
      <c r="E1226" s="3">
        <v>27.7</v>
      </c>
      <c r="F1226" s="3">
        <v>16297.85</v>
      </c>
      <c r="H1226" s="4" t="s">
        <v>11</v>
      </c>
    </row>
    <row r="1227" spans="1:8" ht="14.5">
      <c r="A1227" s="3">
        <v>19</v>
      </c>
      <c r="B1227" s="3"/>
      <c r="C1227" s="4" t="s">
        <v>10</v>
      </c>
      <c r="E1227" s="3">
        <v>24.7</v>
      </c>
      <c r="F1227" s="3">
        <v>1737.38</v>
      </c>
      <c r="H1227" s="4" t="s">
        <v>8</v>
      </c>
    </row>
    <row r="1228" spans="1:8" ht="14.5">
      <c r="A1228" s="3">
        <v>19</v>
      </c>
      <c r="B1228" s="3"/>
      <c r="C1228" s="4" t="s">
        <v>7</v>
      </c>
      <c r="E1228" s="3">
        <v>27.8</v>
      </c>
      <c r="F1228" s="3">
        <v>1635.73</v>
      </c>
      <c r="H1228" s="4" t="s">
        <v>8</v>
      </c>
    </row>
    <row r="1229" spans="1:8" ht="14.5">
      <c r="A1229" s="3">
        <v>19</v>
      </c>
      <c r="B1229" s="3"/>
      <c r="C1229" s="4" t="s">
        <v>10</v>
      </c>
      <c r="E1229" s="3">
        <v>21.7</v>
      </c>
      <c r="F1229" s="3">
        <v>13844.51</v>
      </c>
      <c r="H1229" s="4" t="s">
        <v>11</v>
      </c>
    </row>
    <row r="1230" spans="1:8" ht="14.5">
      <c r="A1230" s="3">
        <v>19</v>
      </c>
      <c r="B1230" s="3"/>
      <c r="C1230" s="4" t="s">
        <v>7</v>
      </c>
      <c r="E1230" s="3">
        <v>34.4</v>
      </c>
      <c r="F1230" s="3">
        <v>1261.8599999999999</v>
      </c>
      <c r="H1230" s="4" t="s">
        <v>8</v>
      </c>
    </row>
    <row r="1231" spans="1:8" ht="14.5">
      <c r="A1231" s="3">
        <v>19</v>
      </c>
      <c r="B1231" s="3"/>
      <c r="C1231" s="4" t="s">
        <v>10</v>
      </c>
      <c r="E1231" s="3">
        <v>37.4</v>
      </c>
      <c r="F1231" s="3">
        <v>2138.0700000000002</v>
      </c>
      <c r="H1231" s="4" t="s">
        <v>8</v>
      </c>
    </row>
    <row r="1232" spans="1:8" ht="14.5">
      <c r="A1232" s="3">
        <v>19</v>
      </c>
      <c r="B1232" s="3"/>
      <c r="C1232" s="4" t="s">
        <v>7</v>
      </c>
      <c r="E1232" s="3">
        <v>17.5</v>
      </c>
      <c r="F1232" s="3">
        <v>1621.34</v>
      </c>
      <c r="H1232" s="4" t="s">
        <v>8</v>
      </c>
    </row>
    <row r="1233" spans="1:8" ht="14.5">
      <c r="A1233" s="3">
        <v>19</v>
      </c>
      <c r="B1233" s="3"/>
      <c r="C1233" s="4" t="s">
        <v>10</v>
      </c>
      <c r="E1233" s="3">
        <v>35.200000000000003</v>
      </c>
      <c r="F1233" s="3">
        <v>2134.9</v>
      </c>
      <c r="H1233" s="4" t="s">
        <v>8</v>
      </c>
    </row>
    <row r="1234" spans="1:8" ht="14.5">
      <c r="A1234" s="3">
        <v>19</v>
      </c>
      <c r="B1234" s="3"/>
      <c r="C1234" s="4" t="s">
        <v>7</v>
      </c>
      <c r="E1234" s="3">
        <v>33.1</v>
      </c>
      <c r="F1234" s="3">
        <v>23082.959999999999</v>
      </c>
      <c r="H1234" s="4" t="s">
        <v>8</v>
      </c>
    </row>
    <row r="1235" spans="1:8" ht="14.5">
      <c r="A1235" s="3">
        <v>19</v>
      </c>
      <c r="B1235" s="3"/>
      <c r="C1235" s="4" t="s">
        <v>7</v>
      </c>
      <c r="E1235" s="3">
        <v>25.2</v>
      </c>
      <c r="F1235" s="3">
        <v>1632.04</v>
      </c>
      <c r="H1235" s="4" t="s">
        <v>8</v>
      </c>
    </row>
    <row r="1236" spans="1:8" ht="14.5">
      <c r="A1236" s="3">
        <v>19</v>
      </c>
      <c r="B1236" s="3"/>
      <c r="C1236" s="4" t="s">
        <v>10</v>
      </c>
      <c r="E1236" s="3">
        <v>29.8</v>
      </c>
      <c r="F1236" s="3">
        <v>1744.47</v>
      </c>
      <c r="H1236" s="4" t="s">
        <v>8</v>
      </c>
    </row>
    <row r="1237" spans="1:8" ht="14.5">
      <c r="A1237" s="3">
        <v>19</v>
      </c>
      <c r="B1237" s="3"/>
      <c r="C1237" s="4" t="s">
        <v>7</v>
      </c>
      <c r="E1237" s="3">
        <v>28.7</v>
      </c>
      <c r="F1237" s="3">
        <v>1253.94</v>
      </c>
      <c r="H1237" s="4" t="s">
        <v>8</v>
      </c>
    </row>
    <row r="1238" spans="1:8" ht="14.5">
      <c r="A1238" s="3">
        <v>19</v>
      </c>
      <c r="B1238" s="3"/>
      <c r="C1238" s="4" t="s">
        <v>10</v>
      </c>
      <c r="E1238" s="3">
        <v>32.9</v>
      </c>
      <c r="F1238" s="3">
        <v>1748.77</v>
      </c>
      <c r="H1238" s="4" t="s">
        <v>8</v>
      </c>
    </row>
    <row r="1239" spans="1:8" ht="14.5">
      <c r="A1239" s="3">
        <v>19</v>
      </c>
      <c r="B1239" s="3"/>
      <c r="C1239" s="4" t="s">
        <v>7</v>
      </c>
      <c r="E1239" s="3">
        <v>30.3</v>
      </c>
      <c r="F1239" s="3">
        <v>32548.34</v>
      </c>
      <c r="H1239" s="4" t="s">
        <v>11</v>
      </c>
    </row>
    <row r="1240" spans="1:8" ht="14.5">
      <c r="A1240" s="3">
        <v>19</v>
      </c>
      <c r="B1240" s="3"/>
      <c r="C1240" s="4" t="s">
        <v>7</v>
      </c>
      <c r="E1240" s="3">
        <v>30.4</v>
      </c>
      <c r="F1240" s="3">
        <v>1256.3</v>
      </c>
      <c r="H1240" s="4" t="s">
        <v>8</v>
      </c>
    </row>
    <row r="1241" spans="1:8" ht="14.5">
      <c r="A1241" s="3">
        <v>19</v>
      </c>
      <c r="B1241" s="3"/>
      <c r="C1241" s="4" t="s">
        <v>10</v>
      </c>
      <c r="E1241" s="3">
        <v>30.6</v>
      </c>
      <c r="F1241" s="3">
        <v>24059.68</v>
      </c>
      <c r="H1241" s="4" t="s">
        <v>8</v>
      </c>
    </row>
    <row r="1242" spans="1:8" ht="14.5">
      <c r="A1242" s="3">
        <v>19</v>
      </c>
      <c r="B1242" s="3"/>
      <c r="C1242" s="4" t="s">
        <v>7</v>
      </c>
      <c r="E1242" s="3">
        <v>35.5</v>
      </c>
      <c r="F1242" s="3">
        <v>1646.43</v>
      </c>
      <c r="H1242" s="4" t="s">
        <v>8</v>
      </c>
    </row>
    <row r="1243" spans="1:8" ht="14.5">
      <c r="A1243" s="3">
        <v>19</v>
      </c>
      <c r="B1243" s="3"/>
      <c r="C1243" s="4" t="s">
        <v>10</v>
      </c>
      <c r="E1243" s="3">
        <v>30.5</v>
      </c>
      <c r="F1243" s="3">
        <v>2128.4299999999998</v>
      </c>
      <c r="H1243" s="4" t="s">
        <v>8</v>
      </c>
    </row>
    <row r="1244" spans="1:8" ht="14.5">
      <c r="A1244" s="3">
        <v>19</v>
      </c>
      <c r="B1244" s="3"/>
      <c r="C1244" s="4" t="s">
        <v>7</v>
      </c>
      <c r="E1244" s="3">
        <v>30.6</v>
      </c>
      <c r="F1244" s="3">
        <v>1639.56</v>
      </c>
      <c r="H1244" s="4" t="s">
        <v>8</v>
      </c>
    </row>
    <row r="1245" spans="1:8" ht="14.5">
      <c r="A1245" s="3">
        <v>19</v>
      </c>
      <c r="B1245" s="3"/>
      <c r="C1245" s="4" t="s">
        <v>7</v>
      </c>
      <c r="E1245" s="3">
        <v>20.7</v>
      </c>
      <c r="F1245" s="3">
        <v>1242.82</v>
      </c>
      <c r="H1245" s="4" t="s">
        <v>8</v>
      </c>
    </row>
    <row r="1246" spans="1:8" ht="14.5">
      <c r="A1246" s="3">
        <v>19</v>
      </c>
      <c r="B1246" s="3"/>
      <c r="C1246" s="4" t="s">
        <v>10</v>
      </c>
      <c r="E1246" s="3">
        <v>28.3</v>
      </c>
      <c r="F1246" s="3">
        <v>17468.98</v>
      </c>
      <c r="H1246" s="4" t="s">
        <v>11</v>
      </c>
    </row>
    <row r="1247" spans="1:8" ht="14.5">
      <c r="A1247" s="3">
        <v>19</v>
      </c>
      <c r="B1247" s="3"/>
      <c r="C1247" s="4" t="s">
        <v>10</v>
      </c>
      <c r="E1247" s="3">
        <v>33.1</v>
      </c>
      <c r="F1247" s="3">
        <v>34439.86</v>
      </c>
      <c r="H1247" s="4" t="s">
        <v>11</v>
      </c>
    </row>
    <row r="1248" spans="1:8" ht="14.5">
      <c r="A1248" s="3">
        <v>19</v>
      </c>
      <c r="B1248" s="3"/>
      <c r="C1248" s="4" t="s">
        <v>10</v>
      </c>
      <c r="E1248" s="3">
        <v>24.5</v>
      </c>
      <c r="F1248" s="3">
        <v>2709.11</v>
      </c>
      <c r="H1248" s="4" t="s">
        <v>8</v>
      </c>
    </row>
    <row r="1249" spans="1:8" ht="14.5">
      <c r="A1249" s="3">
        <v>19</v>
      </c>
      <c r="B1249" s="3"/>
      <c r="C1249" s="4" t="s">
        <v>7</v>
      </c>
      <c r="E1249" s="3">
        <v>20.3</v>
      </c>
      <c r="F1249" s="3">
        <v>1242.26</v>
      </c>
      <c r="H1249" s="4" t="s">
        <v>8</v>
      </c>
    </row>
    <row r="1250" spans="1:8" ht="14.5">
      <c r="A1250" s="3">
        <v>19</v>
      </c>
      <c r="B1250" s="3"/>
      <c r="C1250" s="4" t="s">
        <v>7</v>
      </c>
      <c r="E1250" s="3">
        <v>35.4</v>
      </c>
      <c r="F1250" s="3">
        <v>1263.25</v>
      </c>
      <c r="H1250" s="4" t="s">
        <v>8</v>
      </c>
    </row>
    <row r="1251" spans="1:8" ht="14.5">
      <c r="A1251" s="3">
        <v>19</v>
      </c>
      <c r="B1251" s="3"/>
      <c r="C1251" s="4" t="s">
        <v>7</v>
      </c>
      <c r="E1251" s="3">
        <v>21.8</v>
      </c>
      <c r="F1251" s="3">
        <v>1627.28</v>
      </c>
      <c r="H1251" s="4" t="s">
        <v>8</v>
      </c>
    </row>
    <row r="1252" spans="1:8" ht="14.5">
      <c r="A1252" s="3">
        <v>19</v>
      </c>
      <c r="B1252" s="3"/>
      <c r="C1252" s="4" t="s">
        <v>10</v>
      </c>
      <c r="E1252" s="3">
        <v>28.9</v>
      </c>
      <c r="F1252" s="3">
        <v>17748.509999999998</v>
      </c>
      <c r="H1252" s="4" t="s">
        <v>11</v>
      </c>
    </row>
    <row r="1253" spans="1:8" ht="14.5">
      <c r="A1253" s="3">
        <v>19</v>
      </c>
      <c r="B1253" s="3"/>
      <c r="C1253" s="4" t="s">
        <v>7</v>
      </c>
      <c r="E1253" s="3">
        <v>27.6</v>
      </c>
      <c r="F1253" s="3">
        <v>1252.4100000000001</v>
      </c>
      <c r="H1253" s="4" t="s">
        <v>8</v>
      </c>
    </row>
    <row r="1254" spans="1:8" ht="14.5">
      <c r="A1254" s="3">
        <v>19</v>
      </c>
      <c r="B1254" s="3"/>
      <c r="C1254" s="4" t="s">
        <v>10</v>
      </c>
      <c r="E1254" s="3">
        <v>36.6</v>
      </c>
      <c r="F1254" s="3">
        <v>2136.88</v>
      </c>
      <c r="H1254" s="4" t="s">
        <v>8</v>
      </c>
    </row>
    <row r="1255" spans="1:8" ht="14.5">
      <c r="A1255" s="3">
        <v>19</v>
      </c>
      <c r="B1255" s="3"/>
      <c r="C1255" s="4" t="s">
        <v>7</v>
      </c>
      <c r="E1255" s="3">
        <v>25.6</v>
      </c>
      <c r="F1255" s="3">
        <v>2221.56</v>
      </c>
      <c r="H1255" s="4" t="s">
        <v>8</v>
      </c>
    </row>
    <row r="1256" spans="1:8" ht="14.5">
      <c r="A1256" s="3">
        <v>19</v>
      </c>
      <c r="B1256" s="3"/>
      <c r="C1256" s="4" t="s">
        <v>10</v>
      </c>
      <c r="E1256" s="3">
        <v>22.5</v>
      </c>
      <c r="F1256" s="3">
        <v>2117.34</v>
      </c>
      <c r="H1256" s="4" t="s">
        <v>8</v>
      </c>
    </row>
    <row r="1257" spans="1:8" ht="14.5">
      <c r="A1257" s="3">
        <v>19</v>
      </c>
      <c r="B1257" s="3"/>
      <c r="C1257" s="4" t="s">
        <v>10</v>
      </c>
      <c r="E1257" s="3">
        <v>23.4</v>
      </c>
      <c r="F1257" s="3">
        <v>2913.57</v>
      </c>
      <c r="H1257" s="4" t="s">
        <v>8</v>
      </c>
    </row>
    <row r="1258" spans="1:8" ht="14.5">
      <c r="A1258" s="3">
        <v>19</v>
      </c>
      <c r="B1258" s="3"/>
      <c r="C1258" s="4" t="s">
        <v>7</v>
      </c>
      <c r="E1258" s="3">
        <v>22.6</v>
      </c>
      <c r="F1258" s="3">
        <v>1628.47</v>
      </c>
      <c r="H1258" s="4" t="s">
        <v>8</v>
      </c>
    </row>
    <row r="1259" spans="1:8" ht="14.5">
      <c r="A1259" s="3">
        <v>19</v>
      </c>
      <c r="B1259" s="3"/>
      <c r="C1259" s="4" t="s">
        <v>10</v>
      </c>
      <c r="E1259" s="3">
        <v>39.6</v>
      </c>
      <c r="F1259" s="3">
        <v>2730.11</v>
      </c>
      <c r="H1259" s="4" t="s">
        <v>8</v>
      </c>
    </row>
    <row r="1260" spans="1:8" ht="14.5">
      <c r="A1260" s="3">
        <v>19</v>
      </c>
      <c r="B1260" s="3"/>
      <c r="C1260" s="4" t="s">
        <v>10</v>
      </c>
      <c r="E1260" s="3">
        <v>40.5</v>
      </c>
      <c r="F1260" s="3">
        <v>1759.34</v>
      </c>
      <c r="H1260" s="4" t="s">
        <v>8</v>
      </c>
    </row>
    <row r="1261" spans="1:8" ht="14.5">
      <c r="A1261" s="3">
        <v>19</v>
      </c>
      <c r="B1261" s="3"/>
      <c r="C1261" s="4" t="s">
        <v>10</v>
      </c>
      <c r="E1261" s="3">
        <v>24.6</v>
      </c>
      <c r="F1261" s="3">
        <v>2709.24</v>
      </c>
      <c r="H1261" s="4" t="s">
        <v>8</v>
      </c>
    </row>
    <row r="1262" spans="1:8" ht="14.5">
      <c r="A1262" s="3">
        <v>19</v>
      </c>
      <c r="B1262" s="3"/>
      <c r="C1262" s="4" t="s">
        <v>7</v>
      </c>
      <c r="E1262" s="3">
        <v>26</v>
      </c>
      <c r="F1262" s="3">
        <v>16450.89</v>
      </c>
      <c r="H1262" s="4" t="s">
        <v>11</v>
      </c>
    </row>
    <row r="1263" spans="1:8" ht="14.5">
      <c r="A1263" s="3">
        <v>19</v>
      </c>
      <c r="B1263" s="3"/>
      <c r="C1263" s="4" t="s">
        <v>7</v>
      </c>
      <c r="E1263" s="3">
        <v>27.3</v>
      </c>
      <c r="F1263" s="3">
        <v>22493.66</v>
      </c>
      <c r="H1263" s="4" t="s">
        <v>8</v>
      </c>
    </row>
    <row r="1264" spans="1:8" ht="14.5">
      <c r="A1264" s="3">
        <v>19</v>
      </c>
      <c r="B1264" s="3"/>
      <c r="C1264" s="4" t="s">
        <v>10</v>
      </c>
      <c r="E1264" s="3">
        <v>18.600000000000001</v>
      </c>
      <c r="F1264" s="3">
        <v>1728.9</v>
      </c>
      <c r="H1264" s="4" t="s">
        <v>8</v>
      </c>
    </row>
    <row r="1265" spans="1:8" ht="14.5">
      <c r="A1265" s="3">
        <v>19</v>
      </c>
      <c r="B1265" s="3"/>
      <c r="C1265" s="4" t="s">
        <v>10</v>
      </c>
      <c r="E1265" s="3">
        <v>32.5</v>
      </c>
      <c r="F1265" s="3">
        <v>36898.730000000003</v>
      </c>
      <c r="H1265" s="4" t="s">
        <v>11</v>
      </c>
    </row>
    <row r="1266" spans="1:8" ht="14.5">
      <c r="A1266" s="3">
        <v>19</v>
      </c>
      <c r="B1266" s="3"/>
      <c r="C1266" s="4" t="s">
        <v>7</v>
      </c>
      <c r="E1266" s="3">
        <v>44.9</v>
      </c>
      <c r="F1266" s="3">
        <v>39722.75</v>
      </c>
      <c r="H1266" s="4" t="s">
        <v>11</v>
      </c>
    </row>
    <row r="1267" spans="1:8" ht="14.5">
      <c r="A1267" s="3">
        <v>19</v>
      </c>
      <c r="B1267" s="3"/>
      <c r="C1267" s="4" t="s">
        <v>10</v>
      </c>
      <c r="E1267" s="3">
        <v>27.9</v>
      </c>
      <c r="F1267" s="3">
        <v>18838.7</v>
      </c>
      <c r="H1267" s="4" t="s">
        <v>8</v>
      </c>
    </row>
    <row r="1268" spans="1:8" ht="14.5">
      <c r="A1268" s="3">
        <v>19</v>
      </c>
      <c r="B1268" s="3"/>
      <c r="C1268" s="4" t="s">
        <v>10</v>
      </c>
      <c r="E1268" s="3">
        <v>30</v>
      </c>
      <c r="F1268" s="3">
        <v>33307.550000000003</v>
      </c>
      <c r="H1268" s="4" t="s">
        <v>11</v>
      </c>
    </row>
    <row r="1269" spans="1:8" ht="14.5">
      <c r="A1269" s="3">
        <v>19</v>
      </c>
      <c r="B1269" s="3"/>
      <c r="C1269" s="4" t="s">
        <v>7</v>
      </c>
      <c r="E1269" s="3">
        <v>19.8</v>
      </c>
      <c r="F1269" s="3">
        <v>1241.57</v>
      </c>
      <c r="H1269" s="4" t="s">
        <v>8</v>
      </c>
    </row>
    <row r="1270" spans="1:8" ht="14.5">
      <c r="A1270" s="3">
        <v>19</v>
      </c>
      <c r="B1270" s="3"/>
      <c r="C1270" s="4" t="s">
        <v>7</v>
      </c>
      <c r="E1270" s="3">
        <v>34.9</v>
      </c>
      <c r="F1270" s="3">
        <v>34828.65</v>
      </c>
      <c r="H1270" s="4" t="s">
        <v>11</v>
      </c>
    </row>
    <row r="1271" spans="1:8" ht="14.5">
      <c r="A1271" s="3">
        <v>19</v>
      </c>
      <c r="B1271" s="3"/>
      <c r="C1271" s="4" t="s">
        <v>10</v>
      </c>
      <c r="E1271" s="3">
        <v>25.7</v>
      </c>
      <c r="F1271" s="3">
        <v>2710.83</v>
      </c>
      <c r="H1271" s="4" t="s">
        <v>8</v>
      </c>
    </row>
    <row r="1272" spans="1:8" ht="14.5">
      <c r="A1272" s="3">
        <v>19</v>
      </c>
      <c r="B1272" s="3"/>
      <c r="C1272" s="4" t="s">
        <v>10</v>
      </c>
      <c r="E1272" s="3">
        <v>34.700000000000003</v>
      </c>
      <c r="F1272" s="3">
        <v>36397.58</v>
      </c>
      <c r="H1272" s="4" t="s">
        <v>11</v>
      </c>
    </row>
    <row r="1273" spans="1:8" ht="14.5">
      <c r="A1273" s="3">
        <v>19</v>
      </c>
      <c r="B1273" s="3"/>
      <c r="C1273" s="4" t="s">
        <v>10</v>
      </c>
      <c r="E1273" s="3">
        <v>20.6</v>
      </c>
      <c r="F1273" s="3">
        <v>1731.68</v>
      </c>
      <c r="H1273" s="4" t="s">
        <v>8</v>
      </c>
    </row>
    <row r="1274" spans="1:8" ht="14.5">
      <c r="A1274" s="3">
        <v>18</v>
      </c>
      <c r="B1274" s="3"/>
      <c r="C1274" s="4" t="s">
        <v>7</v>
      </c>
      <c r="E1274" s="3">
        <v>33.799999999999997</v>
      </c>
      <c r="F1274" s="3">
        <v>1725.55</v>
      </c>
      <c r="H1274" s="4" t="s">
        <v>8</v>
      </c>
    </row>
    <row r="1275" spans="1:8" ht="14.5">
      <c r="A1275" s="3">
        <v>18</v>
      </c>
      <c r="B1275" s="3"/>
      <c r="C1275" s="4" t="s">
        <v>7</v>
      </c>
      <c r="E1275" s="3">
        <v>34.1</v>
      </c>
      <c r="F1275" s="3">
        <v>1137.01</v>
      </c>
      <c r="H1275" s="4" t="s">
        <v>8</v>
      </c>
    </row>
    <row r="1276" spans="1:8" ht="14.5">
      <c r="A1276" s="3">
        <v>18</v>
      </c>
      <c r="B1276" s="3"/>
      <c r="C1276" s="4" t="s">
        <v>10</v>
      </c>
      <c r="E1276" s="3">
        <v>26.3</v>
      </c>
      <c r="F1276" s="3">
        <v>2198.19</v>
      </c>
      <c r="H1276" s="4" t="s">
        <v>8</v>
      </c>
    </row>
    <row r="1277" spans="1:8" ht="14.5">
      <c r="A1277" s="3">
        <v>18</v>
      </c>
      <c r="B1277" s="3"/>
      <c r="C1277" s="4" t="s">
        <v>10</v>
      </c>
      <c r="E1277" s="3">
        <v>38.700000000000003</v>
      </c>
      <c r="F1277" s="3">
        <v>3393.36</v>
      </c>
      <c r="H1277" s="4" t="s">
        <v>8</v>
      </c>
    </row>
    <row r="1278" spans="1:8" ht="14.5">
      <c r="A1278" s="3">
        <v>18</v>
      </c>
      <c r="B1278" s="3"/>
      <c r="C1278" s="4" t="s">
        <v>10</v>
      </c>
      <c r="E1278" s="3">
        <v>35.6</v>
      </c>
      <c r="F1278" s="3">
        <v>2211.13</v>
      </c>
      <c r="H1278" s="4" t="s">
        <v>8</v>
      </c>
    </row>
    <row r="1279" spans="1:8" ht="14.5">
      <c r="A1279" s="3">
        <v>18</v>
      </c>
      <c r="B1279" s="3"/>
      <c r="C1279" s="4" t="s">
        <v>7</v>
      </c>
      <c r="E1279" s="3">
        <v>31.7</v>
      </c>
      <c r="F1279" s="3">
        <v>34303.17</v>
      </c>
      <c r="H1279" s="4" t="s">
        <v>11</v>
      </c>
    </row>
    <row r="1280" spans="1:8" ht="14.5">
      <c r="A1280" s="3">
        <v>18</v>
      </c>
      <c r="B1280" s="3"/>
      <c r="C1280" s="4" t="s">
        <v>10</v>
      </c>
      <c r="E1280" s="3">
        <v>30.1</v>
      </c>
      <c r="F1280" s="3">
        <v>21344.85</v>
      </c>
      <c r="H1280" s="4" t="s">
        <v>8</v>
      </c>
    </row>
    <row r="1281" spans="1:8" ht="14.5">
      <c r="A1281" s="3">
        <v>18</v>
      </c>
      <c r="B1281" s="3"/>
      <c r="C1281" s="4" t="s">
        <v>7</v>
      </c>
      <c r="E1281" s="3">
        <v>23.8</v>
      </c>
      <c r="F1281" s="3">
        <v>1705.62</v>
      </c>
      <c r="H1281" s="4" t="s">
        <v>8</v>
      </c>
    </row>
    <row r="1282" spans="1:8" ht="14.5">
      <c r="A1282" s="3">
        <v>18</v>
      </c>
      <c r="B1282" s="3"/>
      <c r="C1282" s="4" t="s">
        <v>7</v>
      </c>
      <c r="E1282" s="3">
        <v>25.2</v>
      </c>
      <c r="F1282" s="3">
        <v>15518.18</v>
      </c>
      <c r="H1282" s="4" t="s">
        <v>11</v>
      </c>
    </row>
    <row r="1283" spans="1:8" ht="14.5">
      <c r="A1283" s="3">
        <v>18</v>
      </c>
      <c r="B1283" s="3"/>
      <c r="C1283" s="4" t="s">
        <v>10</v>
      </c>
      <c r="E1283" s="3">
        <v>36.9</v>
      </c>
      <c r="F1283" s="3">
        <v>36149.480000000003</v>
      </c>
      <c r="H1283" s="4" t="s">
        <v>11</v>
      </c>
    </row>
    <row r="1284" spans="1:8" ht="14.5">
      <c r="A1284" s="3">
        <v>18</v>
      </c>
      <c r="B1284" s="3"/>
      <c r="C1284" s="4" t="s">
        <v>7</v>
      </c>
      <c r="E1284" s="3">
        <v>16</v>
      </c>
      <c r="F1284" s="3">
        <v>1694.8</v>
      </c>
      <c r="H1284" s="4" t="s">
        <v>8</v>
      </c>
    </row>
    <row r="1285" spans="1:8" ht="14.5">
      <c r="A1285" s="3">
        <v>18</v>
      </c>
      <c r="B1285" s="3"/>
      <c r="C1285" s="4" t="s">
        <v>10</v>
      </c>
      <c r="E1285" s="3">
        <v>38.299999999999997</v>
      </c>
      <c r="F1285" s="3">
        <v>1631.82</v>
      </c>
      <c r="H1285" s="4" t="s">
        <v>8</v>
      </c>
    </row>
    <row r="1286" spans="1:8" ht="14.5">
      <c r="A1286" s="3">
        <v>18</v>
      </c>
      <c r="B1286" s="3"/>
      <c r="C1286" s="4" t="s">
        <v>7</v>
      </c>
      <c r="E1286" s="3">
        <v>34.4</v>
      </c>
      <c r="F1286" s="3">
        <v>1137.47</v>
      </c>
      <c r="H1286" s="4" t="s">
        <v>8</v>
      </c>
    </row>
    <row r="1287" spans="1:8" ht="14.5">
      <c r="A1287" s="3">
        <v>18</v>
      </c>
      <c r="B1287" s="3"/>
      <c r="C1287" s="4" t="s">
        <v>10</v>
      </c>
      <c r="E1287" s="3">
        <v>26.7</v>
      </c>
      <c r="F1287" s="3">
        <v>1615.77</v>
      </c>
      <c r="H1287" s="4" t="s">
        <v>8</v>
      </c>
    </row>
    <row r="1288" spans="1:8" ht="14.5">
      <c r="A1288" s="3">
        <v>18</v>
      </c>
      <c r="B1288" s="3"/>
      <c r="C1288" s="4" t="s">
        <v>7</v>
      </c>
      <c r="E1288" s="3">
        <v>17.3</v>
      </c>
      <c r="F1288" s="3">
        <v>12829.46</v>
      </c>
      <c r="H1288" s="4" t="s">
        <v>11</v>
      </c>
    </row>
    <row r="1289" spans="1:8" ht="14.5">
      <c r="A1289" s="3">
        <v>18</v>
      </c>
      <c r="B1289" s="3"/>
      <c r="C1289" s="4" t="s">
        <v>7</v>
      </c>
      <c r="E1289" s="3">
        <v>29.4</v>
      </c>
      <c r="F1289" s="3">
        <v>1719.44</v>
      </c>
      <c r="H1289" s="4" t="s">
        <v>8</v>
      </c>
    </row>
    <row r="1290" spans="1:8" ht="14.5">
      <c r="A1290" s="3">
        <v>18</v>
      </c>
      <c r="B1290" s="3"/>
      <c r="C1290" s="4" t="s">
        <v>7</v>
      </c>
      <c r="E1290" s="3">
        <v>23</v>
      </c>
      <c r="F1290" s="3">
        <v>1704.57</v>
      </c>
      <c r="H1290" s="4" t="s">
        <v>8</v>
      </c>
    </row>
    <row r="1291" spans="1:8" ht="14.5">
      <c r="A1291" s="3">
        <v>18</v>
      </c>
      <c r="B1291" s="3"/>
      <c r="C1291" s="4" t="s">
        <v>10</v>
      </c>
      <c r="E1291" s="3">
        <v>38.299999999999997</v>
      </c>
      <c r="F1291" s="3">
        <v>14133.04</v>
      </c>
      <c r="H1291" s="4" t="s">
        <v>8</v>
      </c>
    </row>
    <row r="1292" spans="1:8" ht="14.5">
      <c r="A1292" s="3">
        <v>18</v>
      </c>
      <c r="B1292" s="3"/>
      <c r="C1292" s="4" t="s">
        <v>10</v>
      </c>
      <c r="E1292" s="3">
        <v>20.8</v>
      </c>
      <c r="F1292" s="3">
        <v>1607.51</v>
      </c>
      <c r="H1292" s="4" t="s">
        <v>8</v>
      </c>
    </row>
    <row r="1293" spans="1:8" ht="14.5">
      <c r="A1293" s="3">
        <v>18</v>
      </c>
      <c r="B1293" s="3"/>
      <c r="C1293" s="4" t="s">
        <v>7</v>
      </c>
      <c r="E1293" s="3">
        <v>30.4</v>
      </c>
      <c r="F1293" s="3">
        <v>3481.87</v>
      </c>
      <c r="H1293" s="4" t="s">
        <v>8</v>
      </c>
    </row>
    <row r="1294" spans="1:8" ht="14.5">
      <c r="A1294" s="3">
        <v>18</v>
      </c>
      <c r="B1294" s="3"/>
      <c r="C1294" s="4" t="s">
        <v>10</v>
      </c>
      <c r="E1294" s="3">
        <v>38.200000000000003</v>
      </c>
      <c r="F1294" s="3">
        <v>1631.67</v>
      </c>
      <c r="H1294" s="4" t="s">
        <v>8</v>
      </c>
    </row>
    <row r="1295" spans="1:8" ht="14.5">
      <c r="A1295" s="3">
        <v>18</v>
      </c>
      <c r="B1295" s="3"/>
      <c r="C1295" s="4" t="s">
        <v>10</v>
      </c>
      <c r="E1295" s="3">
        <v>29.2</v>
      </c>
      <c r="F1295" s="3">
        <v>7323.73</v>
      </c>
      <c r="H1295" s="4" t="s">
        <v>8</v>
      </c>
    </row>
    <row r="1296" spans="1:8" ht="14.5">
      <c r="A1296" s="3">
        <v>18</v>
      </c>
      <c r="B1296" s="3"/>
      <c r="C1296" s="4" t="s">
        <v>7</v>
      </c>
      <c r="E1296" s="3">
        <v>43</v>
      </c>
      <c r="F1296" s="3">
        <v>1149.4000000000001</v>
      </c>
      <c r="H1296" s="4" t="s">
        <v>8</v>
      </c>
    </row>
    <row r="1297" spans="1:8" ht="14.5">
      <c r="A1297" s="3">
        <v>18</v>
      </c>
      <c r="B1297" s="3"/>
      <c r="C1297" s="4" t="s">
        <v>10</v>
      </c>
      <c r="E1297" s="3">
        <v>24.1</v>
      </c>
      <c r="F1297" s="3">
        <v>2201.1</v>
      </c>
      <c r="H1297" s="4" t="s">
        <v>8</v>
      </c>
    </row>
    <row r="1298" spans="1:8" ht="14.5">
      <c r="A1298" s="3">
        <v>18</v>
      </c>
      <c r="B1298" s="3"/>
      <c r="C1298" s="4" t="s">
        <v>10</v>
      </c>
      <c r="E1298" s="3">
        <v>30.1</v>
      </c>
      <c r="F1298" s="3">
        <v>2203.4699999999998</v>
      </c>
      <c r="H1298" s="4" t="s">
        <v>8</v>
      </c>
    </row>
    <row r="1299" spans="1:8" ht="14.5">
      <c r="A1299" s="3">
        <v>18</v>
      </c>
      <c r="B1299" s="3"/>
      <c r="C1299" s="4" t="s">
        <v>10</v>
      </c>
      <c r="E1299" s="3">
        <v>31.4</v>
      </c>
      <c r="F1299" s="3">
        <v>1622.19</v>
      </c>
      <c r="H1299" s="4" t="s">
        <v>8</v>
      </c>
    </row>
    <row r="1300" spans="1:8" ht="14.5">
      <c r="A1300" s="3">
        <v>18</v>
      </c>
      <c r="B1300" s="3"/>
      <c r="C1300" s="4" t="s">
        <v>10</v>
      </c>
      <c r="E1300" s="3">
        <v>25.1</v>
      </c>
      <c r="F1300" s="3">
        <v>2196.4699999999998</v>
      </c>
      <c r="H1300" s="4" t="s">
        <v>8</v>
      </c>
    </row>
    <row r="1301" spans="1:8" ht="14.5">
      <c r="A1301" s="3">
        <v>18</v>
      </c>
      <c r="B1301" s="3"/>
      <c r="C1301" s="4" t="s">
        <v>10</v>
      </c>
      <c r="E1301" s="3">
        <v>33.9</v>
      </c>
      <c r="F1301" s="3">
        <v>11482.63</v>
      </c>
      <c r="H1301" s="4" t="s">
        <v>8</v>
      </c>
    </row>
    <row r="1302" spans="1:8" ht="14.5">
      <c r="A1302" s="3">
        <v>18</v>
      </c>
      <c r="B1302" s="3"/>
      <c r="C1302" s="4" t="s">
        <v>7</v>
      </c>
      <c r="E1302" s="3">
        <v>25.5</v>
      </c>
      <c r="F1302" s="3">
        <v>1708</v>
      </c>
      <c r="H1302" s="4" t="s">
        <v>8</v>
      </c>
    </row>
    <row r="1303" spans="1:8" ht="14.5">
      <c r="A1303" s="3">
        <v>18</v>
      </c>
      <c r="B1303" s="3"/>
      <c r="C1303" s="4" t="s">
        <v>10</v>
      </c>
      <c r="E1303" s="3">
        <v>32.1</v>
      </c>
      <c r="F1303" s="3">
        <v>2801.26</v>
      </c>
      <c r="H1303" s="4" t="s">
        <v>8</v>
      </c>
    </row>
    <row r="1304" spans="1:8" ht="14.5">
      <c r="A1304" s="3">
        <v>18</v>
      </c>
      <c r="B1304" s="3"/>
      <c r="C1304" s="4" t="s">
        <v>10</v>
      </c>
      <c r="E1304" s="3">
        <v>37.299999999999997</v>
      </c>
      <c r="F1304" s="3">
        <v>2219.4499999999998</v>
      </c>
      <c r="H1304" s="4" t="s">
        <v>8</v>
      </c>
    </row>
    <row r="1305" spans="1:8" ht="14.5">
      <c r="A1305" s="3">
        <v>18</v>
      </c>
      <c r="B1305" s="3"/>
      <c r="C1305" s="4" t="s">
        <v>10</v>
      </c>
      <c r="E1305" s="3">
        <v>39.200000000000003</v>
      </c>
      <c r="F1305" s="3">
        <v>1633.04</v>
      </c>
      <c r="H1305" s="4" t="s">
        <v>8</v>
      </c>
    </row>
    <row r="1306" spans="1:8" ht="14.5">
      <c r="A1306" s="3">
        <v>18</v>
      </c>
      <c r="B1306" s="3"/>
      <c r="C1306" s="4" t="s">
        <v>10</v>
      </c>
      <c r="E1306" s="3">
        <v>33.200000000000003</v>
      </c>
      <c r="F1306" s="3">
        <v>2207.6999999999998</v>
      </c>
      <c r="H1306" s="4" t="s">
        <v>8</v>
      </c>
    </row>
    <row r="1307" spans="1:8" ht="14.5">
      <c r="A1307" s="3">
        <v>18</v>
      </c>
      <c r="B1307" s="3"/>
      <c r="C1307" s="4" t="s">
        <v>7</v>
      </c>
      <c r="E1307" s="3">
        <v>33.5</v>
      </c>
      <c r="F1307" s="3">
        <v>34617.839999999997</v>
      </c>
      <c r="H1307" s="4" t="s">
        <v>11</v>
      </c>
    </row>
    <row r="1308" spans="1:8" ht="14.5">
      <c r="A1308" s="3">
        <v>18</v>
      </c>
      <c r="B1308" s="3"/>
      <c r="C1308" s="4" t="s">
        <v>7</v>
      </c>
      <c r="E1308" s="3">
        <v>28.5</v>
      </c>
      <c r="F1308" s="3">
        <v>1712.23</v>
      </c>
      <c r="H1308" s="4" t="s">
        <v>8</v>
      </c>
    </row>
    <row r="1309" spans="1:8" ht="14.5">
      <c r="A1309" s="3">
        <v>18</v>
      </c>
      <c r="B1309" s="3"/>
      <c r="C1309" s="4" t="s">
        <v>7</v>
      </c>
      <c r="E1309" s="3">
        <v>33.700000000000003</v>
      </c>
      <c r="F1309" s="3">
        <v>1136.4000000000001</v>
      </c>
      <c r="H1309" s="4" t="s">
        <v>8</v>
      </c>
    </row>
    <row r="1310" spans="1:8" ht="14.5">
      <c r="A1310" s="3">
        <v>18</v>
      </c>
      <c r="B1310" s="3"/>
      <c r="C1310" s="4" t="s">
        <v>7</v>
      </c>
      <c r="E1310" s="3">
        <v>35.200000000000003</v>
      </c>
      <c r="F1310" s="3">
        <v>1727.54</v>
      </c>
      <c r="H1310" s="4" t="s">
        <v>8</v>
      </c>
    </row>
    <row r="1311" spans="1:8" ht="14.5">
      <c r="A1311" s="3">
        <v>18</v>
      </c>
      <c r="B1311" s="3"/>
      <c r="C1311" s="4" t="s">
        <v>10</v>
      </c>
      <c r="E1311" s="3">
        <v>40.299999999999997</v>
      </c>
      <c r="F1311" s="3">
        <v>2217.6</v>
      </c>
      <c r="H1311" s="4" t="s">
        <v>8</v>
      </c>
    </row>
    <row r="1312" spans="1:8" ht="14.5">
      <c r="A1312" s="3">
        <v>18</v>
      </c>
      <c r="B1312" s="3"/>
      <c r="C1312" s="4" t="s">
        <v>7</v>
      </c>
      <c r="E1312" s="3">
        <v>38.200000000000003</v>
      </c>
      <c r="F1312" s="3">
        <v>36307.800000000003</v>
      </c>
      <c r="H1312" s="4" t="s">
        <v>11</v>
      </c>
    </row>
    <row r="1313" spans="1:8" ht="14.5">
      <c r="A1313" s="3">
        <v>18</v>
      </c>
      <c r="B1313" s="3"/>
      <c r="C1313" s="4" t="s">
        <v>7</v>
      </c>
      <c r="E1313" s="3">
        <v>41.1</v>
      </c>
      <c r="F1313" s="3">
        <v>1146.8</v>
      </c>
      <c r="H1313" s="4" t="s">
        <v>8</v>
      </c>
    </row>
    <row r="1314" spans="1:8" ht="14.5">
      <c r="A1314" s="3">
        <v>18</v>
      </c>
      <c r="B1314" s="3"/>
      <c r="C1314" s="4" t="s">
        <v>10</v>
      </c>
      <c r="E1314" s="3">
        <v>42.2</v>
      </c>
      <c r="F1314" s="3">
        <v>38792.69</v>
      </c>
      <c r="H1314" s="4" t="s">
        <v>11</v>
      </c>
    </row>
    <row r="1315" spans="1:8" ht="14.5">
      <c r="A1315" s="3">
        <v>18</v>
      </c>
      <c r="B1315" s="3"/>
      <c r="C1315" s="4" t="s">
        <v>7</v>
      </c>
      <c r="E1315" s="3">
        <v>30.1</v>
      </c>
      <c r="F1315" s="3">
        <v>1131.51</v>
      </c>
      <c r="H1315" s="4" t="s">
        <v>8</v>
      </c>
    </row>
    <row r="1316" spans="1:8" ht="14.5">
      <c r="A1316" s="3">
        <v>18</v>
      </c>
      <c r="B1316" s="3"/>
      <c r="C1316" s="4" t="s">
        <v>10</v>
      </c>
      <c r="E1316" s="3">
        <v>31.1</v>
      </c>
      <c r="F1316" s="3">
        <v>1621.88</v>
      </c>
      <c r="H1316" s="4" t="s">
        <v>8</v>
      </c>
    </row>
    <row r="1317" spans="1:8" ht="14.5">
      <c r="A1317" s="3">
        <v>18</v>
      </c>
      <c r="B1317" s="3"/>
      <c r="C1317" s="4" t="s">
        <v>7</v>
      </c>
      <c r="E1317" s="3">
        <v>37.299999999999997</v>
      </c>
      <c r="F1317" s="3">
        <v>1141.45</v>
      </c>
      <c r="H1317" s="4" t="s">
        <v>8</v>
      </c>
    </row>
    <row r="1318" spans="1:8" ht="14.5">
      <c r="A1318" s="3">
        <v>18</v>
      </c>
      <c r="B1318" s="3"/>
      <c r="C1318" s="4" t="s">
        <v>10</v>
      </c>
      <c r="E1318" s="3">
        <v>40.299999999999997</v>
      </c>
      <c r="F1318" s="3">
        <v>1634.57</v>
      </c>
      <c r="H1318" s="4" t="s">
        <v>8</v>
      </c>
    </row>
    <row r="1319" spans="1:8" ht="14.5">
      <c r="A1319" s="3">
        <v>18</v>
      </c>
      <c r="B1319" s="3"/>
      <c r="C1319" s="4" t="s">
        <v>7</v>
      </c>
      <c r="E1319" s="3">
        <v>31.7</v>
      </c>
      <c r="F1319" s="3">
        <v>33732.69</v>
      </c>
      <c r="H1319" s="4" t="s">
        <v>11</v>
      </c>
    </row>
    <row r="1320" spans="1:8" ht="14.5">
      <c r="A1320" s="3">
        <v>18</v>
      </c>
      <c r="B1320" s="3"/>
      <c r="C1320" s="4" t="s">
        <v>7</v>
      </c>
      <c r="E1320" s="3">
        <v>26.2</v>
      </c>
      <c r="F1320" s="3">
        <v>2304</v>
      </c>
      <c r="H1320" s="4" t="s">
        <v>8</v>
      </c>
    </row>
    <row r="1321" spans="1:8" ht="14.5">
      <c r="A1321" s="3">
        <v>18</v>
      </c>
      <c r="B1321" s="3"/>
      <c r="C1321" s="4" t="s">
        <v>7</v>
      </c>
      <c r="E1321" s="3">
        <v>23.2</v>
      </c>
      <c r="F1321" s="3">
        <v>1121.8699999999999</v>
      </c>
      <c r="H1321" s="4" t="s">
        <v>8</v>
      </c>
    </row>
    <row r="1322" spans="1:8" ht="14.5">
      <c r="A1322" s="3">
        <v>18</v>
      </c>
      <c r="B1322" s="3"/>
      <c r="C1322" s="4" t="s">
        <v>10</v>
      </c>
      <c r="E1322" s="3">
        <v>40.200000000000003</v>
      </c>
      <c r="F1322" s="3">
        <v>2217.4699999999998</v>
      </c>
      <c r="H1322" s="4" t="s">
        <v>8</v>
      </c>
    </row>
    <row r="1323" spans="1:8" ht="14.5">
      <c r="A1323" s="3">
        <v>18</v>
      </c>
      <c r="B1323" s="3"/>
      <c r="C1323" s="4" t="s">
        <v>7</v>
      </c>
      <c r="E1323" s="3">
        <v>23.3</v>
      </c>
      <c r="F1323" s="3">
        <v>1711.03</v>
      </c>
      <c r="H1323" s="4" t="s">
        <v>8</v>
      </c>
    </row>
    <row r="1324" spans="1:8" ht="14.5">
      <c r="A1324" s="3">
        <v>18</v>
      </c>
      <c r="B1324" s="3"/>
      <c r="C1324" s="4" t="s">
        <v>7</v>
      </c>
      <c r="E1324" s="3">
        <v>21.6</v>
      </c>
      <c r="F1324" s="3">
        <v>13747.87</v>
      </c>
      <c r="H1324" s="4" t="s">
        <v>11</v>
      </c>
    </row>
    <row r="1325" spans="1:8" ht="14.5">
      <c r="A1325" s="3">
        <v>18</v>
      </c>
      <c r="B1325" s="3"/>
      <c r="C1325" s="4" t="s">
        <v>7</v>
      </c>
      <c r="E1325" s="3">
        <v>23.1</v>
      </c>
      <c r="F1325" s="3">
        <v>1704.7</v>
      </c>
      <c r="H1325" s="4" t="s">
        <v>8</v>
      </c>
    </row>
    <row r="1326" spans="1:8" ht="14.5">
      <c r="A1326" s="3">
        <v>18</v>
      </c>
      <c r="B1326" s="3"/>
      <c r="C1326" s="4" t="s">
        <v>7</v>
      </c>
      <c r="E1326" s="3">
        <v>21.8</v>
      </c>
      <c r="F1326" s="3">
        <v>11884.05</v>
      </c>
      <c r="H1326" s="4" t="s">
        <v>8</v>
      </c>
    </row>
    <row r="1327" spans="1:8" ht="14.5">
      <c r="A1327" s="3">
        <v>18</v>
      </c>
      <c r="B1327" s="3"/>
      <c r="C1327" s="4" t="s">
        <v>10</v>
      </c>
      <c r="E1327" s="3">
        <v>31.4</v>
      </c>
      <c r="F1327" s="3">
        <v>4561.1899999999996</v>
      </c>
      <c r="H1327" s="4" t="s">
        <v>8</v>
      </c>
    </row>
    <row r="1328" spans="1:8" ht="14.5">
      <c r="A1328" s="3">
        <v>18</v>
      </c>
      <c r="B1328" s="3"/>
      <c r="C1328" s="4" t="s">
        <v>10</v>
      </c>
      <c r="E1328" s="3">
        <v>30.3</v>
      </c>
      <c r="F1328" s="3">
        <v>2203.7399999999998</v>
      </c>
      <c r="H1328" s="4" t="s">
        <v>8</v>
      </c>
    </row>
    <row r="1329" spans="1:8" ht="14.5">
      <c r="A1329" s="3">
        <v>18</v>
      </c>
      <c r="B1329" s="3"/>
      <c r="C1329" s="4" t="s">
        <v>10</v>
      </c>
      <c r="E1329" s="3">
        <v>28.2</v>
      </c>
      <c r="F1329" s="3">
        <v>2200.83</v>
      </c>
      <c r="H1329" s="4" t="s">
        <v>8</v>
      </c>
    </row>
    <row r="1330" spans="1:8" ht="14.5">
      <c r="A1330" s="3">
        <v>18</v>
      </c>
      <c r="B1330" s="3"/>
      <c r="C1330" s="4" t="s">
        <v>7</v>
      </c>
      <c r="E1330" s="3">
        <v>27.4</v>
      </c>
      <c r="F1330" s="3">
        <v>17178.68</v>
      </c>
      <c r="H1330" s="4" t="s">
        <v>11</v>
      </c>
    </row>
    <row r="1331" spans="1:8" ht="14.5">
      <c r="A1331" s="3">
        <v>18</v>
      </c>
      <c r="B1331" s="3"/>
      <c r="C1331" s="4" t="s">
        <v>10</v>
      </c>
      <c r="E1331" s="3">
        <v>27.3</v>
      </c>
      <c r="F1331" s="3">
        <v>18223.45</v>
      </c>
      <c r="H1331" s="4" t="s">
        <v>11</v>
      </c>
    </row>
    <row r="1332" spans="1:8" ht="14.5">
      <c r="A1332" s="3">
        <v>18</v>
      </c>
      <c r="B1332" s="3"/>
      <c r="C1332" s="4" t="s">
        <v>7</v>
      </c>
      <c r="E1332" s="3">
        <v>21.5</v>
      </c>
      <c r="F1332" s="3">
        <v>1702.46</v>
      </c>
      <c r="H1332" s="4" t="s">
        <v>8</v>
      </c>
    </row>
    <row r="1333" spans="1:8" ht="14.5">
      <c r="A1333" s="3">
        <v>18</v>
      </c>
      <c r="B1333" s="3"/>
      <c r="C1333" s="4" t="s">
        <v>7</v>
      </c>
      <c r="E1333" s="3">
        <v>39.1</v>
      </c>
      <c r="F1333" s="3">
        <v>12890.06</v>
      </c>
      <c r="H1333" s="4" t="s">
        <v>8</v>
      </c>
    </row>
    <row r="1334" spans="1:8" ht="14.5">
      <c r="A1334" s="3">
        <v>18</v>
      </c>
      <c r="B1334" s="3"/>
      <c r="C1334" s="4" t="s">
        <v>7</v>
      </c>
      <c r="E1334" s="3">
        <v>33.299999999999997</v>
      </c>
      <c r="F1334" s="3">
        <v>1135.94</v>
      </c>
      <c r="H1334" s="4" t="s">
        <v>8</v>
      </c>
    </row>
    <row r="1335" spans="1:8" ht="14.5">
      <c r="A1335" s="3">
        <v>18</v>
      </c>
      <c r="B1335" s="3"/>
      <c r="C1335" s="4" t="s">
        <v>10</v>
      </c>
      <c r="E1335" s="3">
        <v>39.799999999999997</v>
      </c>
      <c r="F1335" s="3">
        <v>1633.96</v>
      </c>
      <c r="H1335" s="4" t="s">
        <v>8</v>
      </c>
    </row>
    <row r="1336" spans="1:8" ht="14.5">
      <c r="A1336" s="3">
        <v>18</v>
      </c>
      <c r="B1336" s="3"/>
      <c r="C1336" s="4" t="s">
        <v>10</v>
      </c>
      <c r="E1336" s="3">
        <v>21.7</v>
      </c>
      <c r="F1336" s="3">
        <v>14283.46</v>
      </c>
      <c r="H1336" s="4" t="s">
        <v>11</v>
      </c>
    </row>
    <row r="1337" spans="1:8" ht="14.5">
      <c r="A1337" s="3">
        <v>18</v>
      </c>
      <c r="B1337" s="3"/>
      <c r="C1337" s="4" t="s">
        <v>7</v>
      </c>
      <c r="E1337" s="3">
        <v>30</v>
      </c>
      <c r="F1337" s="3">
        <v>1720.35</v>
      </c>
      <c r="H1337" s="4" t="s">
        <v>8</v>
      </c>
    </row>
    <row r="1338" spans="1:8" ht="14.5">
      <c r="A1338" s="3">
        <v>18</v>
      </c>
      <c r="B1338" s="3"/>
      <c r="C1338" s="4" t="s">
        <v>7</v>
      </c>
      <c r="E1338" s="3">
        <v>26.1</v>
      </c>
      <c r="F1338" s="3">
        <v>1708.93</v>
      </c>
      <c r="H1338" s="4" t="s">
        <v>8</v>
      </c>
    </row>
    <row r="1339" spans="1:8" ht="14.5">
      <c r="A1339" s="3">
        <v>18</v>
      </c>
      <c r="B1339" s="3"/>
      <c r="C1339" s="4" t="s">
        <v>7</v>
      </c>
      <c r="E1339" s="3">
        <v>28.3</v>
      </c>
      <c r="F1339" s="3">
        <v>11272.33</v>
      </c>
      <c r="H1339" s="4" t="s">
        <v>8</v>
      </c>
    </row>
    <row r="1340" spans="1:8" ht="14.5">
      <c r="A1340" s="3">
        <v>18</v>
      </c>
      <c r="B1340" s="3"/>
      <c r="C1340" s="4" t="s">
        <v>7</v>
      </c>
      <c r="E1340" s="3">
        <v>53.1</v>
      </c>
      <c r="F1340" s="3">
        <v>1163.46</v>
      </c>
      <c r="H1340" s="4" t="s">
        <v>8</v>
      </c>
    </row>
    <row r="1341" spans="1:8" ht="14.5">
      <c r="A1341" s="3">
        <v>18</v>
      </c>
      <c r="B1341" s="3"/>
      <c r="C1341" s="4" t="s">
        <v>10</v>
      </c>
      <c r="E1341" s="3">
        <v>31.9</v>
      </c>
      <c r="F1341" s="3">
        <v>2205.98</v>
      </c>
      <c r="H1341" s="4" t="s">
        <v>8</v>
      </c>
    </row>
    <row r="1342" spans="1:8" ht="14.5">
      <c r="A1342" s="3">
        <v>18</v>
      </c>
      <c r="B1342" s="3"/>
      <c r="C1342" s="4" t="s">
        <v>10</v>
      </c>
      <c r="E1342" s="3">
        <v>36.9</v>
      </c>
      <c r="F1342" s="3">
        <v>1629.83</v>
      </c>
      <c r="H1342" s="4" t="s">
        <v>8</v>
      </c>
    </row>
  </sheetData>
  <mergeCells count="2">
    <mergeCell ref="A2:H2"/>
    <mergeCell ref="A1:H1"/>
  </mergeCells>
  <phoneticPr fontId="9" type="noConversion"/>
  <dataValidations count="5">
    <dataValidation type="whole" allowBlank="1" showInputMessage="1" showErrorMessage="1" sqref="A5:B1342" xr:uid="{3DB1228A-BDAE-44EA-9652-4A3CFA5DEEA7}">
      <formula1>18</formula1>
      <formula2>80</formula2>
    </dataValidation>
    <dataValidation type="list" allowBlank="1" showInputMessage="1" showErrorMessage="1" errorTitle="Error" error="Select from only drop down list." sqref="C5:C1342" xr:uid="{4B3C29DF-C9AF-4E43-A128-B9ACFBD1F2D1}">
      <formula1>"Male,Female,Others"</formula1>
    </dataValidation>
    <dataValidation type="decimal" operator="greaterThan" allowBlank="1" showInputMessage="1" showErrorMessage="1" errorTitle="Error" error="Enter positive number." sqref="E5:F1342" xr:uid="{352D31D7-1BBD-436B-ACD5-474C3F28CB7D}">
      <formula1>0</formula1>
    </dataValidation>
    <dataValidation type="list" allowBlank="1" showInputMessage="1" showErrorMessage="1" sqref="H6:H1342" xr:uid="{C0CE3E92-8572-4406-8F48-EEA44A6B289E}">
      <formula1>"Yes,No"</formula1>
    </dataValidation>
    <dataValidation type="list" allowBlank="1" showInputMessage="1" showErrorMessage="1" errorTitle="Error " error="Enter  drop down list._x000a_" sqref="H5" xr:uid="{164E6704-C54E-4E6E-A897-A01909E5CCA2}">
      <formula1>"Yes,No"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C6493A-B4B7-4862-8A54-D30801C49A28}">
  <dimension ref="A1:Z1342"/>
  <sheetViews>
    <sheetView workbookViewId="0">
      <selection sqref="A1:Z1"/>
    </sheetView>
  </sheetViews>
  <sheetFormatPr defaultRowHeight="12.5"/>
  <cols>
    <col min="1" max="1" width="10.6328125" customWidth="1"/>
    <col min="2" max="2" width="14.90625" customWidth="1"/>
    <col min="3" max="3" width="12" customWidth="1"/>
    <col min="11" max="11" width="7.6328125" customWidth="1"/>
    <col min="12" max="12" width="12" customWidth="1"/>
    <col min="13" max="14" width="13.08984375" customWidth="1"/>
    <col min="15" max="15" width="12.26953125" customWidth="1"/>
    <col min="16" max="16" width="15.54296875" bestFit="1" customWidth="1"/>
    <col min="17" max="17" width="26.08984375" customWidth="1"/>
    <col min="19" max="19" width="11.08984375" bestFit="1" customWidth="1"/>
    <col min="20" max="20" width="15.26953125" bestFit="1" customWidth="1"/>
  </cols>
  <sheetData>
    <row r="1" spans="1:26" ht="30.5" customHeight="1">
      <c r="A1" s="36" t="s">
        <v>43</v>
      </c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</row>
    <row r="2" spans="1:26" ht="38.5" customHeight="1">
      <c r="A2" s="30" t="s">
        <v>28</v>
      </c>
      <c r="B2" s="31"/>
      <c r="C2" s="31"/>
      <c r="D2" s="31"/>
      <c r="E2" s="31"/>
      <c r="F2" s="31"/>
      <c r="G2" s="31"/>
      <c r="H2" s="31"/>
      <c r="I2" s="31"/>
      <c r="J2" s="32" t="s">
        <v>38</v>
      </c>
      <c r="K2" s="33"/>
      <c r="L2" s="33"/>
      <c r="M2" s="33"/>
      <c r="N2" s="33"/>
      <c r="O2" s="33"/>
      <c r="P2" s="33"/>
      <c r="Q2" s="33"/>
      <c r="S2" s="34" t="s">
        <v>42</v>
      </c>
      <c r="T2" s="35"/>
      <c r="U2" s="35"/>
      <c r="V2" s="35"/>
      <c r="W2" s="35"/>
      <c r="X2" s="35"/>
      <c r="Y2" s="35"/>
      <c r="Z2" s="35"/>
    </row>
    <row r="3" spans="1:26" ht="14.5">
      <c r="A3" s="12" t="s">
        <v>0</v>
      </c>
      <c r="B3" s="14" t="s">
        <v>27</v>
      </c>
      <c r="D3" s="5"/>
      <c r="L3" s="5"/>
      <c r="S3" s="16" t="s">
        <v>4</v>
      </c>
      <c r="T3" t="s">
        <v>11</v>
      </c>
    </row>
    <row r="4" spans="1:26" ht="14.5">
      <c r="A4" s="3">
        <v>64</v>
      </c>
      <c r="B4" s="15">
        <f>AVERAGE(Sheet1!G2:G1339,Sheet1!D2:D1339)</f>
        <v>6635.7586659192884</v>
      </c>
      <c r="C4" s="3"/>
      <c r="J4" s="18" t="s">
        <v>1</v>
      </c>
      <c r="K4" s="18" t="s">
        <v>4</v>
      </c>
      <c r="L4" s="19" t="s">
        <v>30</v>
      </c>
      <c r="M4" s="19" t="s">
        <v>31</v>
      </c>
      <c r="N4" s="19" t="s">
        <v>32</v>
      </c>
      <c r="O4" s="19" t="s">
        <v>33</v>
      </c>
      <c r="S4" s="5" t="s">
        <v>39</v>
      </c>
      <c r="T4" s="5" t="s">
        <v>40</v>
      </c>
    </row>
    <row r="5" spans="1:26" ht="14.5">
      <c r="A5" s="3">
        <v>64</v>
      </c>
      <c r="B5" s="15">
        <f>AVERAGE(Sheet1!G3:G1340,Sheet1!D3:D1340)</f>
        <v>6629.4400037397218</v>
      </c>
      <c r="C5" s="3"/>
      <c r="J5" s="4" t="s">
        <v>7</v>
      </c>
      <c r="K5" s="4" t="s">
        <v>8</v>
      </c>
      <c r="L5" s="17">
        <f>IF(AND(J5="male", K5="yes"),1,0)</f>
        <v>0</v>
      </c>
      <c r="M5" s="5">
        <f>IF(AND(J5="female", K5="yes"), 1, 0)</f>
        <v>0</v>
      </c>
      <c r="N5" s="21">
        <f>COUNTIF(J5:J1342, "male")</f>
        <v>676</v>
      </c>
      <c r="O5" s="22">
        <f>COUNTIF(J5:J1342, "female")</f>
        <v>662</v>
      </c>
      <c r="S5" s="16" t="s">
        <v>5</v>
      </c>
      <c r="T5" t="s">
        <v>41</v>
      </c>
    </row>
    <row r="6" spans="1:26" ht="14.5">
      <c r="A6" s="3">
        <v>64</v>
      </c>
      <c r="B6" s="15">
        <f>AVERAGE(Sheet1!G4:G1341,Sheet1!D4:D1341)</f>
        <v>6616.7026609281502</v>
      </c>
      <c r="C6" s="3"/>
      <c r="J6" s="4" t="s">
        <v>10</v>
      </c>
      <c r="K6" s="4" t="s">
        <v>11</v>
      </c>
      <c r="L6" s="17">
        <f t="shared" ref="L6:L69" si="0">IF(AND(J6="male", K6="yes"),1,0)</f>
        <v>0</v>
      </c>
      <c r="M6" s="5">
        <f t="shared" ref="M6:M69" si="1">IF(AND(J6="female", K6="yes"), 1, 0)</f>
        <v>1</v>
      </c>
      <c r="S6" t="s">
        <v>13</v>
      </c>
      <c r="T6">
        <v>67</v>
      </c>
    </row>
    <row r="7" spans="1:26" ht="14.5">
      <c r="A7" s="3">
        <v>64</v>
      </c>
      <c r="B7" s="15">
        <f>AVERAGE(Sheet1!G5:G1342,Sheet1!D5:D1342)</f>
        <v>6616.0778988764105</v>
      </c>
      <c r="C7" s="3"/>
      <c r="J7" s="4" t="s">
        <v>10</v>
      </c>
      <c r="K7" s="4" t="s">
        <v>8</v>
      </c>
      <c r="L7" s="17">
        <f t="shared" si="0"/>
        <v>0</v>
      </c>
      <c r="M7" s="5">
        <f t="shared" si="1"/>
        <v>0</v>
      </c>
      <c r="S7" t="s">
        <v>9</v>
      </c>
      <c r="T7">
        <v>58</v>
      </c>
    </row>
    <row r="8" spans="1:26" ht="26">
      <c r="A8" s="3">
        <v>64</v>
      </c>
      <c r="B8" s="15">
        <f>AVERAGE(Sheet1!G6:G1343,Sheet1!D6:D1343)</f>
        <v>6603.0730734632743</v>
      </c>
      <c r="C8" s="3"/>
      <c r="J8" s="4" t="s">
        <v>10</v>
      </c>
      <c r="K8" s="4" t="s">
        <v>11</v>
      </c>
      <c r="L8" s="17">
        <f t="shared" si="0"/>
        <v>0</v>
      </c>
      <c r="M8" s="5">
        <f t="shared" si="1"/>
        <v>1</v>
      </c>
      <c r="N8" s="20" t="s">
        <v>34</v>
      </c>
      <c r="O8" s="20" t="s">
        <v>35</v>
      </c>
      <c r="S8" t="s">
        <v>14</v>
      </c>
      <c r="T8">
        <v>91</v>
      </c>
    </row>
    <row r="9" spans="1:26" ht="14.5">
      <c r="A9" s="3">
        <v>64</v>
      </c>
      <c r="B9" s="15">
        <f>AVERAGE(Sheet1!G7:G1344,Sheet1!D7:D1344)</f>
        <v>6602.8417704426165</v>
      </c>
      <c r="C9" s="3"/>
      <c r="J9" s="4" t="s">
        <v>7</v>
      </c>
      <c r="K9" s="4" t="s">
        <v>8</v>
      </c>
      <c r="L9" s="17">
        <f t="shared" si="0"/>
        <v>0</v>
      </c>
      <c r="M9" s="5">
        <f t="shared" si="1"/>
        <v>0</v>
      </c>
      <c r="N9" s="21">
        <f>SUM(L5:L1342)</f>
        <v>159</v>
      </c>
      <c r="O9" s="21">
        <f>SUM(M5:M1342)</f>
        <v>115</v>
      </c>
      <c r="S9" t="s">
        <v>12</v>
      </c>
      <c r="T9">
        <v>58</v>
      </c>
    </row>
    <row r="10" spans="1:26" ht="14.5">
      <c r="A10" s="3">
        <v>64</v>
      </c>
      <c r="B10" s="15">
        <f>AVERAGE(Sheet1!G8:G1345,Sheet1!D8:D1345)</f>
        <v>6601.6206644144213</v>
      </c>
      <c r="C10" s="3"/>
      <c r="J10" s="4" t="s">
        <v>10</v>
      </c>
      <c r="K10" s="4" t="s">
        <v>8</v>
      </c>
      <c r="L10" s="17">
        <f t="shared" si="0"/>
        <v>0</v>
      </c>
      <c r="M10" s="5">
        <f t="shared" si="1"/>
        <v>0</v>
      </c>
      <c r="S10" t="s">
        <v>29</v>
      </c>
      <c r="T10">
        <v>274</v>
      </c>
    </row>
    <row r="11" spans="1:26" ht="38" customHeight="1">
      <c r="A11" s="3">
        <v>64</v>
      </c>
      <c r="B11" s="15">
        <f>AVERAGE(Sheet1!G9:G1346,Sheet1!D9:D1346)</f>
        <v>6600.9492937640944</v>
      </c>
      <c r="C11" s="3"/>
      <c r="J11" s="4" t="s">
        <v>7</v>
      </c>
      <c r="K11" s="4" t="s">
        <v>8</v>
      </c>
      <c r="L11" s="17">
        <f t="shared" si="0"/>
        <v>0</v>
      </c>
      <c r="M11" s="5">
        <f t="shared" si="1"/>
        <v>0</v>
      </c>
      <c r="N11" s="23" t="s">
        <v>36</v>
      </c>
      <c r="O11" s="24" t="s">
        <v>37</v>
      </c>
    </row>
    <row r="12" spans="1:26" ht="14.5">
      <c r="A12" s="3">
        <v>64</v>
      </c>
      <c r="B12" s="15">
        <f>AVERAGE(Sheet1!G10:G1347,Sheet1!D10:D1347)</f>
        <v>6600.3888533834661</v>
      </c>
      <c r="C12" s="3"/>
      <c r="J12" s="4" t="s">
        <v>10</v>
      </c>
      <c r="K12" s="4" t="s">
        <v>8</v>
      </c>
      <c r="L12" s="17">
        <f t="shared" si="0"/>
        <v>0</v>
      </c>
      <c r="M12" s="5">
        <f t="shared" si="1"/>
        <v>0</v>
      </c>
      <c r="N12" s="21">
        <f>N9/N5</f>
        <v>0.23520710059171598</v>
      </c>
      <c r="O12" s="21">
        <f>O9/O5</f>
        <v>0.17371601208459214</v>
      </c>
    </row>
    <row r="13" spans="1:26" ht="14.5">
      <c r="A13" s="3">
        <v>64</v>
      </c>
      <c r="B13" s="15">
        <f>AVERAGE(Sheet1!G11:G1348,Sheet1!D11:D1348)</f>
        <v>6599.9304251316826</v>
      </c>
      <c r="C13" s="3"/>
      <c r="J13" s="4" t="s">
        <v>7</v>
      </c>
      <c r="K13" s="4" t="s">
        <v>8</v>
      </c>
      <c r="L13" s="17">
        <f t="shared" si="0"/>
        <v>0</v>
      </c>
      <c r="M13" s="5">
        <f t="shared" si="1"/>
        <v>0</v>
      </c>
    </row>
    <row r="14" spans="1:26" ht="14.5">
      <c r="A14" s="3">
        <v>64</v>
      </c>
      <c r="B14" s="15">
        <f>AVERAGE(Sheet1!G12:G1349,Sheet1!D12:D1349)</f>
        <v>6587.2461634036208</v>
      </c>
      <c r="C14" s="3"/>
      <c r="J14" s="4" t="s">
        <v>7</v>
      </c>
      <c r="K14" s="4" t="s">
        <v>11</v>
      </c>
      <c r="L14" s="17">
        <f t="shared" si="0"/>
        <v>1</v>
      </c>
      <c r="M14" s="5">
        <f t="shared" si="1"/>
        <v>0</v>
      </c>
    </row>
    <row r="15" spans="1:26" ht="14.5">
      <c r="A15" s="3">
        <v>64</v>
      </c>
      <c r="B15" s="15">
        <f>AVERAGE(Sheet1!G13:G1350,Sheet1!D13:D1350)</f>
        <v>6586.9987528259289</v>
      </c>
      <c r="C15" s="3"/>
      <c r="J15" s="4" t="s">
        <v>7</v>
      </c>
      <c r="K15" s="4" t="s">
        <v>8</v>
      </c>
      <c r="L15" s="17">
        <f t="shared" si="0"/>
        <v>0</v>
      </c>
      <c r="M15" s="5">
        <f t="shared" si="1"/>
        <v>0</v>
      </c>
    </row>
    <row r="16" spans="1:26" ht="14.5">
      <c r="A16" s="3">
        <v>64</v>
      </c>
      <c r="B16" s="15">
        <f>AVERAGE(Sheet1!G14:G1351,Sheet1!D14:D1351)</f>
        <v>6585.89990950227</v>
      </c>
      <c r="C16" s="3"/>
      <c r="J16" s="4" t="s">
        <v>10</v>
      </c>
      <c r="K16" s="4" t="s">
        <v>8</v>
      </c>
      <c r="L16" s="17">
        <f t="shared" si="0"/>
        <v>0</v>
      </c>
      <c r="M16" s="5">
        <f t="shared" si="1"/>
        <v>0</v>
      </c>
    </row>
    <row r="17" spans="1:13" ht="14.5">
      <c r="A17" s="3">
        <v>64</v>
      </c>
      <c r="B17" s="15">
        <f>AVERAGE(Sheet1!G15:G1352,Sheet1!D15:D1352)</f>
        <v>6585.4323132075551</v>
      </c>
      <c r="C17" s="3"/>
      <c r="J17" s="4" t="s">
        <v>7</v>
      </c>
      <c r="K17" s="4" t="s">
        <v>8</v>
      </c>
      <c r="L17" s="17">
        <f t="shared" si="0"/>
        <v>0</v>
      </c>
      <c r="M17" s="5">
        <f t="shared" si="1"/>
        <v>0</v>
      </c>
    </row>
    <row r="18" spans="1:13" ht="14.5">
      <c r="A18" s="3">
        <v>64</v>
      </c>
      <c r="B18" s="15">
        <f>AVERAGE(Sheet1!G16:G1353,Sheet1!D16:D1353)</f>
        <v>6580.1955135951739</v>
      </c>
      <c r="C18" s="3"/>
      <c r="J18" s="4" t="s">
        <v>10</v>
      </c>
      <c r="K18" s="4" t="s">
        <v>11</v>
      </c>
      <c r="L18" s="17">
        <f t="shared" si="0"/>
        <v>0</v>
      </c>
      <c r="M18" s="5">
        <f t="shared" si="1"/>
        <v>1</v>
      </c>
    </row>
    <row r="19" spans="1:13" ht="14.5">
      <c r="A19" s="3">
        <v>64</v>
      </c>
      <c r="B19" s="15">
        <f>AVERAGE(Sheet1!G17:G1354,Sheet1!D17:D1354)</f>
        <v>6579.7986318972116</v>
      </c>
      <c r="C19" s="3"/>
      <c r="J19" s="4" t="s">
        <v>7</v>
      </c>
      <c r="K19" s="4" t="s">
        <v>8</v>
      </c>
      <c r="L19" s="17">
        <f t="shared" si="0"/>
        <v>0</v>
      </c>
      <c r="M19" s="5">
        <f t="shared" si="1"/>
        <v>0</v>
      </c>
    </row>
    <row r="20" spans="1:13" ht="14.5">
      <c r="A20" s="3">
        <v>64</v>
      </c>
      <c r="B20" s="15">
        <f>AVERAGE(Sheet1!G18:G1355,Sheet1!D18:D1355)</f>
        <v>6579.3601172466042</v>
      </c>
      <c r="C20" s="3"/>
      <c r="J20" s="4" t="s">
        <v>10</v>
      </c>
      <c r="K20" s="4" t="s">
        <v>8</v>
      </c>
      <c r="L20" s="17">
        <f t="shared" si="0"/>
        <v>0</v>
      </c>
      <c r="M20" s="5">
        <f t="shared" si="1"/>
        <v>0</v>
      </c>
    </row>
    <row r="21" spans="1:13" ht="14.5">
      <c r="A21" s="3">
        <v>64</v>
      </c>
      <c r="B21" s="15">
        <f>AVERAGE(Sheet1!G19:G1356,Sheet1!D19:D1356)</f>
        <v>6578.9228993187071</v>
      </c>
      <c r="C21" s="3"/>
      <c r="J21" s="4" t="s">
        <v>10</v>
      </c>
      <c r="K21" s="4" t="s">
        <v>8</v>
      </c>
      <c r="L21" s="17">
        <f t="shared" si="0"/>
        <v>0</v>
      </c>
      <c r="M21" s="5">
        <f t="shared" si="1"/>
        <v>0</v>
      </c>
    </row>
    <row r="22" spans="1:13" ht="14.5">
      <c r="A22" s="3">
        <v>64</v>
      </c>
      <c r="B22" s="15">
        <f>AVERAGE(Sheet1!G20:G1357,Sheet1!D20:D1357)</f>
        <v>6577.8194015151594</v>
      </c>
      <c r="C22" s="3"/>
      <c r="J22" s="4" t="s">
        <v>10</v>
      </c>
      <c r="K22" s="4" t="s">
        <v>8</v>
      </c>
      <c r="L22" s="17">
        <f t="shared" si="0"/>
        <v>0</v>
      </c>
      <c r="M22" s="5">
        <f t="shared" si="1"/>
        <v>0</v>
      </c>
    </row>
    <row r="23" spans="1:13" ht="14.5">
      <c r="A23" s="3">
        <v>64</v>
      </c>
      <c r="B23" s="15">
        <f>AVERAGE(Sheet1!G21:G1358,Sheet1!D21:D1358)</f>
        <v>6571.6877331311689</v>
      </c>
      <c r="C23" s="3"/>
      <c r="J23" s="4" t="s">
        <v>10</v>
      </c>
      <c r="K23" s="4" t="s">
        <v>11</v>
      </c>
      <c r="L23" s="17">
        <f t="shared" si="0"/>
        <v>0</v>
      </c>
      <c r="M23" s="5">
        <f t="shared" si="1"/>
        <v>1</v>
      </c>
    </row>
    <row r="24" spans="1:13" ht="14.5">
      <c r="A24" s="3">
        <v>64</v>
      </c>
      <c r="B24" s="15">
        <f>AVERAGE(Sheet1!G22:G1359,Sheet1!D22:D1359)</f>
        <v>6571.2130804248945</v>
      </c>
      <c r="C24" s="3"/>
      <c r="J24" s="4" t="s">
        <v>7</v>
      </c>
      <c r="K24" s="4" t="s">
        <v>8</v>
      </c>
      <c r="L24" s="17">
        <f t="shared" si="0"/>
        <v>0</v>
      </c>
      <c r="M24" s="5">
        <f t="shared" si="1"/>
        <v>0</v>
      </c>
    </row>
    <row r="25" spans="1:13" ht="14.5">
      <c r="A25" s="3">
        <v>64</v>
      </c>
      <c r="B25" s="15">
        <f>AVERAGE(Sheet1!G23:G1360,Sheet1!D23:D1360)</f>
        <v>6557.3796583143621</v>
      </c>
      <c r="C25" s="3"/>
      <c r="J25" s="4" t="s">
        <v>7</v>
      </c>
      <c r="K25" s="4" t="s">
        <v>11</v>
      </c>
      <c r="L25" s="17">
        <f t="shared" si="0"/>
        <v>1</v>
      </c>
      <c r="M25" s="5">
        <f t="shared" si="1"/>
        <v>0</v>
      </c>
    </row>
    <row r="26" spans="1:13" ht="14.5">
      <c r="A26" s="3">
        <v>63</v>
      </c>
      <c r="B26" s="15">
        <f>AVERAGE(Sheet1!G24:G1361,Sheet1!D24:D1361)</f>
        <v>6552.1320326747827</v>
      </c>
      <c r="C26" s="3"/>
      <c r="J26" s="4" t="s">
        <v>7</v>
      </c>
      <c r="K26" s="4" t="s">
        <v>11</v>
      </c>
      <c r="L26" s="17">
        <f t="shared" si="0"/>
        <v>1</v>
      </c>
      <c r="M26" s="5">
        <f t="shared" si="1"/>
        <v>0</v>
      </c>
    </row>
    <row r="27" spans="1:13" ht="14.5">
      <c r="A27" s="3">
        <v>63</v>
      </c>
      <c r="B27" s="15">
        <f>AVERAGE(Sheet1!G25:G1362,Sheet1!D25:D1362)</f>
        <v>6551.6196463878432</v>
      </c>
      <c r="C27" s="3"/>
      <c r="J27" s="4" t="s">
        <v>10</v>
      </c>
      <c r="K27" s="4" t="s">
        <v>8</v>
      </c>
      <c r="L27" s="17">
        <f t="shared" si="0"/>
        <v>0</v>
      </c>
      <c r="M27" s="5">
        <f t="shared" si="1"/>
        <v>0</v>
      </c>
    </row>
    <row r="28" spans="1:13" ht="14.5">
      <c r="A28" s="3">
        <v>63</v>
      </c>
      <c r="B28" s="15">
        <f>AVERAGE(Sheet1!G26:G1363,Sheet1!D26:D1363)</f>
        <v>6551.3658942161437</v>
      </c>
      <c r="C28" s="3"/>
      <c r="J28" s="4" t="s">
        <v>7</v>
      </c>
      <c r="K28" s="4" t="s">
        <v>8</v>
      </c>
      <c r="L28" s="17">
        <f t="shared" si="0"/>
        <v>0</v>
      </c>
      <c r="M28" s="5">
        <f t="shared" si="1"/>
        <v>0</v>
      </c>
    </row>
    <row r="29" spans="1:13" ht="14.5">
      <c r="A29" s="3">
        <v>63</v>
      </c>
      <c r="B29" s="15">
        <f>AVERAGE(Sheet1!G27:G1364,Sheet1!D27:D1364)</f>
        <v>6538.436420411279</v>
      </c>
      <c r="C29" s="3"/>
      <c r="J29" s="4" t="s">
        <v>7</v>
      </c>
      <c r="K29" s="4" t="s">
        <v>11</v>
      </c>
      <c r="L29" s="17">
        <f t="shared" si="0"/>
        <v>1</v>
      </c>
      <c r="M29" s="5">
        <f t="shared" si="1"/>
        <v>0</v>
      </c>
    </row>
    <row r="30" spans="1:13" ht="14.5">
      <c r="A30" s="3">
        <v>63</v>
      </c>
      <c r="B30" s="15">
        <f>AVERAGE(Sheet1!G28:G1365,Sheet1!D28:D1365)</f>
        <v>6538.3112233231786</v>
      </c>
      <c r="C30" s="3"/>
      <c r="J30" s="4" t="s">
        <v>7</v>
      </c>
      <c r="K30" s="4" t="s">
        <v>8</v>
      </c>
      <c r="L30" s="17">
        <f t="shared" si="0"/>
        <v>0</v>
      </c>
      <c r="M30" s="5">
        <f t="shared" si="1"/>
        <v>0</v>
      </c>
    </row>
    <row r="31" spans="1:13" ht="14.5">
      <c r="A31" s="3">
        <v>63</v>
      </c>
      <c r="B31" s="15">
        <f>AVERAGE(Sheet1!G29:G1366,Sheet1!D29:D1366)</f>
        <v>6524.6774218154151</v>
      </c>
      <c r="C31" s="3"/>
      <c r="J31" s="4" t="s">
        <v>10</v>
      </c>
      <c r="K31" s="4" t="s">
        <v>11</v>
      </c>
      <c r="L31" s="17">
        <f t="shared" si="0"/>
        <v>0</v>
      </c>
      <c r="M31" s="5">
        <f t="shared" si="1"/>
        <v>1</v>
      </c>
    </row>
    <row r="32" spans="1:13" ht="14.5">
      <c r="A32" s="3">
        <v>63</v>
      </c>
      <c r="B32" s="15">
        <f>AVERAGE(Sheet1!G30:G1367,Sheet1!D30:D1367)</f>
        <v>6524.3600190839752</v>
      </c>
      <c r="C32" s="3"/>
      <c r="J32" s="4" t="s">
        <v>10</v>
      </c>
      <c r="K32" s="4" t="s">
        <v>8</v>
      </c>
      <c r="L32" s="17">
        <f t="shared" si="0"/>
        <v>0</v>
      </c>
      <c r="M32" s="5">
        <f t="shared" si="1"/>
        <v>0</v>
      </c>
    </row>
    <row r="33" spans="1:13" ht="14.5">
      <c r="A33" s="3">
        <v>63</v>
      </c>
      <c r="B33" s="15">
        <f>AVERAGE(Sheet1!G31:G1368,Sheet1!D31:D1368)</f>
        <v>6518.0672574484406</v>
      </c>
      <c r="C33" s="3"/>
      <c r="J33" s="4" t="s">
        <v>10</v>
      </c>
      <c r="K33" s="4" t="s">
        <v>11</v>
      </c>
      <c r="L33" s="17">
        <f t="shared" si="0"/>
        <v>0</v>
      </c>
      <c r="M33" s="5">
        <f t="shared" si="1"/>
        <v>1</v>
      </c>
    </row>
    <row r="34" spans="1:13" ht="14.5">
      <c r="A34" s="3">
        <v>63</v>
      </c>
      <c r="B34" s="15">
        <f>AVERAGE(Sheet1!G32:G1369,Sheet1!D32:D1369)</f>
        <v>6504.9666551987839</v>
      </c>
      <c r="C34" s="3"/>
      <c r="J34" s="4" t="s">
        <v>10</v>
      </c>
      <c r="K34" s="4" t="s">
        <v>11</v>
      </c>
      <c r="L34" s="17">
        <f t="shared" si="0"/>
        <v>0</v>
      </c>
      <c r="M34" s="5">
        <f t="shared" si="1"/>
        <v>1</v>
      </c>
    </row>
    <row r="35" spans="1:13" ht="14.5">
      <c r="A35" s="3">
        <v>63</v>
      </c>
      <c r="B35" s="15">
        <f>AVERAGE(Sheet1!G33:G1370,Sheet1!D33:D1370)</f>
        <v>6504.4898928844759</v>
      </c>
      <c r="C35" s="3"/>
      <c r="J35" s="4" t="s">
        <v>10</v>
      </c>
      <c r="K35" s="4" t="s">
        <v>8</v>
      </c>
      <c r="L35" s="17">
        <f t="shared" si="0"/>
        <v>0</v>
      </c>
      <c r="M35" s="5">
        <f t="shared" si="1"/>
        <v>0</v>
      </c>
    </row>
    <row r="36" spans="1:13" ht="14.5">
      <c r="A36" s="3">
        <v>63</v>
      </c>
      <c r="B36" s="15">
        <f>AVERAGE(Sheet1!G34:G1371,Sheet1!D34:D1371)</f>
        <v>6504.1174310872966</v>
      </c>
      <c r="C36" s="3"/>
      <c r="J36" s="4" t="s">
        <v>7</v>
      </c>
      <c r="K36" s="4" t="s">
        <v>8</v>
      </c>
      <c r="L36" s="17">
        <f t="shared" si="0"/>
        <v>0</v>
      </c>
      <c r="M36" s="5">
        <f t="shared" si="1"/>
        <v>0</v>
      </c>
    </row>
    <row r="37" spans="1:13" ht="14.5">
      <c r="A37" s="3">
        <v>63</v>
      </c>
      <c r="B37" s="15">
        <f>AVERAGE(Sheet1!G35:G1372,Sheet1!D35:D1372)</f>
        <v>6498.0092950191647</v>
      </c>
      <c r="C37" s="3"/>
      <c r="J37" s="4" t="s">
        <v>10</v>
      </c>
      <c r="K37" s="4" t="s">
        <v>11</v>
      </c>
      <c r="L37" s="17">
        <f t="shared" si="0"/>
        <v>0</v>
      </c>
      <c r="M37" s="5">
        <f t="shared" si="1"/>
        <v>1</v>
      </c>
    </row>
    <row r="38" spans="1:13" ht="14.5">
      <c r="A38" s="3">
        <v>63</v>
      </c>
      <c r="B38" s="15">
        <f>AVERAGE(Sheet1!G36:G1373,Sheet1!D36:D1373)</f>
        <v>6497.0268673312939</v>
      </c>
      <c r="C38" s="3"/>
      <c r="J38" s="4" t="s">
        <v>7</v>
      </c>
      <c r="K38" s="4" t="s">
        <v>8</v>
      </c>
      <c r="L38" s="17">
        <f t="shared" si="0"/>
        <v>0</v>
      </c>
      <c r="M38" s="5">
        <f t="shared" si="1"/>
        <v>0</v>
      </c>
    </row>
    <row r="39" spans="1:13" ht="14.5">
      <c r="A39" s="3">
        <v>63</v>
      </c>
      <c r="B39" s="15">
        <f>AVERAGE(Sheet1!G37:G1374,Sheet1!D37:D1374)</f>
        <v>6496.6841404451325</v>
      </c>
      <c r="C39" s="3"/>
      <c r="J39" s="4" t="s">
        <v>10</v>
      </c>
      <c r="K39" s="4" t="s">
        <v>8</v>
      </c>
      <c r="L39" s="17">
        <f t="shared" si="0"/>
        <v>0</v>
      </c>
      <c r="M39" s="5">
        <f t="shared" si="1"/>
        <v>0</v>
      </c>
    </row>
    <row r="40" spans="1:13" ht="14.5">
      <c r="A40" s="3">
        <v>63</v>
      </c>
      <c r="B40" s="15">
        <f>AVERAGE(Sheet1!G38:G1375,Sheet1!D38:D1375)</f>
        <v>6496.5316090629867</v>
      </c>
      <c r="C40" s="3"/>
      <c r="J40" s="4" t="s">
        <v>7</v>
      </c>
      <c r="K40" s="4" t="s">
        <v>8</v>
      </c>
      <c r="L40" s="17">
        <f t="shared" si="0"/>
        <v>0</v>
      </c>
      <c r="M40" s="5">
        <f t="shared" si="1"/>
        <v>0</v>
      </c>
    </row>
    <row r="41" spans="1:13" ht="14.5">
      <c r="A41" s="3">
        <v>63</v>
      </c>
      <c r="B41" s="15">
        <f>AVERAGE(Sheet1!G39:G1376,Sheet1!D39:D1376)</f>
        <v>6496.3776133743331</v>
      </c>
      <c r="C41" s="3"/>
      <c r="J41" s="4" t="s">
        <v>7</v>
      </c>
      <c r="K41" s="4" t="s">
        <v>8</v>
      </c>
      <c r="L41" s="17">
        <f t="shared" si="0"/>
        <v>0</v>
      </c>
      <c r="M41" s="5">
        <f t="shared" si="1"/>
        <v>0</v>
      </c>
    </row>
    <row r="42" spans="1:13" ht="14.5">
      <c r="A42" s="3">
        <v>63</v>
      </c>
      <c r="B42" s="15">
        <f>AVERAGE(Sheet1!G40:G1377,Sheet1!D40:D1377)</f>
        <v>6495.5390307692351</v>
      </c>
      <c r="C42" s="3"/>
      <c r="J42" s="4" t="s">
        <v>7</v>
      </c>
      <c r="K42" s="4" t="s">
        <v>8</v>
      </c>
      <c r="L42" s="17">
        <f t="shared" si="0"/>
        <v>0</v>
      </c>
      <c r="M42" s="5">
        <f t="shared" si="1"/>
        <v>0</v>
      </c>
    </row>
    <row r="43" spans="1:13" ht="14.5">
      <c r="A43" s="3">
        <v>63</v>
      </c>
      <c r="B43" s="15">
        <f>AVERAGE(Sheet1!G41:G1378,Sheet1!D41:D1378)</f>
        <v>6494.9675904541991</v>
      </c>
      <c r="C43" s="3"/>
      <c r="J43" s="4" t="s">
        <v>10</v>
      </c>
      <c r="K43" s="4" t="s">
        <v>8</v>
      </c>
      <c r="L43" s="17">
        <f t="shared" si="0"/>
        <v>0</v>
      </c>
      <c r="M43" s="5">
        <f t="shared" si="1"/>
        <v>0</v>
      </c>
    </row>
    <row r="44" spans="1:13" ht="14.5">
      <c r="A44" s="3">
        <v>63</v>
      </c>
      <c r="B44" s="15">
        <f>AVERAGE(Sheet1!G42:G1379,Sheet1!D42:D1379)</f>
        <v>6494.6216602465383</v>
      </c>
      <c r="C44" s="3"/>
      <c r="J44" s="4" t="s">
        <v>10</v>
      </c>
      <c r="K44" s="4" t="s">
        <v>8</v>
      </c>
      <c r="L44" s="17">
        <f t="shared" si="0"/>
        <v>0</v>
      </c>
      <c r="M44" s="5">
        <f t="shared" si="1"/>
        <v>0</v>
      </c>
    </row>
    <row r="45" spans="1:13" ht="14.5">
      <c r="A45" s="3">
        <v>63</v>
      </c>
      <c r="B45" s="15">
        <f>AVERAGE(Sheet1!G43:G1380,Sheet1!D43:D1380)</f>
        <v>6494.0967540478068</v>
      </c>
      <c r="C45" s="3"/>
      <c r="J45" s="4" t="s">
        <v>7</v>
      </c>
      <c r="K45" s="4" t="s">
        <v>8</v>
      </c>
      <c r="L45" s="17">
        <f t="shared" si="0"/>
        <v>0</v>
      </c>
      <c r="M45" s="5">
        <f t="shared" si="1"/>
        <v>0</v>
      </c>
    </row>
    <row r="46" spans="1:13" ht="14.5">
      <c r="A46" s="3">
        <v>63</v>
      </c>
      <c r="B46" s="15">
        <f>AVERAGE(Sheet1!G44:G1381,Sheet1!D44:D1381)</f>
        <v>6493.7162500000059</v>
      </c>
      <c r="C46" s="3"/>
      <c r="J46" s="4" t="s">
        <v>7</v>
      </c>
      <c r="K46" s="4" t="s">
        <v>8</v>
      </c>
      <c r="L46" s="17">
        <f t="shared" si="0"/>
        <v>0</v>
      </c>
      <c r="M46" s="5">
        <f t="shared" si="1"/>
        <v>0</v>
      </c>
    </row>
    <row r="47" spans="1:13" ht="14.5">
      <c r="A47" s="3">
        <v>63</v>
      </c>
      <c r="B47" s="15">
        <f>AVERAGE(Sheet1!G45:G1382,Sheet1!D45:D1382)</f>
        <v>6492.8756718146769</v>
      </c>
      <c r="C47" s="3"/>
      <c r="J47" s="4" t="s">
        <v>7</v>
      </c>
      <c r="K47" s="4" t="s">
        <v>8</v>
      </c>
      <c r="L47" s="17">
        <f t="shared" si="0"/>
        <v>0</v>
      </c>
      <c r="M47" s="5">
        <f t="shared" si="1"/>
        <v>0</v>
      </c>
    </row>
    <row r="48" spans="1:13" ht="14.5">
      <c r="A48" s="3">
        <v>63</v>
      </c>
      <c r="B48" s="15">
        <f>AVERAGE(Sheet1!G46:G1383,Sheet1!D46:D1383)</f>
        <v>6492.3853863987679</v>
      </c>
      <c r="C48" s="3"/>
      <c r="J48" s="4" t="s">
        <v>10</v>
      </c>
      <c r="K48" s="4" t="s">
        <v>8</v>
      </c>
      <c r="L48" s="17">
        <f t="shared" si="0"/>
        <v>0</v>
      </c>
      <c r="M48" s="5">
        <f t="shared" si="1"/>
        <v>0</v>
      </c>
    </row>
    <row r="49" spans="1:13" ht="14.5">
      <c r="A49" s="3">
        <v>62</v>
      </c>
      <c r="B49" s="15">
        <f>AVERAGE(Sheet1!G47:G1384,Sheet1!D47:D1384)</f>
        <v>6491.8188437741719</v>
      </c>
      <c r="C49" s="3"/>
      <c r="J49" s="4" t="s">
        <v>10</v>
      </c>
      <c r="K49" s="4" t="s">
        <v>8</v>
      </c>
      <c r="L49" s="17">
        <f t="shared" si="0"/>
        <v>0</v>
      </c>
      <c r="M49" s="5">
        <f t="shared" si="1"/>
        <v>0</v>
      </c>
    </row>
    <row r="50" spans="1:13" ht="14.5">
      <c r="A50" s="3">
        <v>62</v>
      </c>
      <c r="B50" s="15">
        <f>AVERAGE(Sheet1!G48:G1385,Sheet1!D48:D1385)</f>
        <v>6486.0815789473727</v>
      </c>
      <c r="C50" s="3"/>
      <c r="J50" s="4" t="s">
        <v>10</v>
      </c>
      <c r="K50" s="4" t="s">
        <v>11</v>
      </c>
      <c r="L50" s="17">
        <f t="shared" si="0"/>
        <v>0</v>
      </c>
      <c r="M50" s="5">
        <f t="shared" si="1"/>
        <v>1</v>
      </c>
    </row>
    <row r="51" spans="1:13" ht="14.5">
      <c r="A51" s="3">
        <v>62</v>
      </c>
      <c r="B51" s="15">
        <f>AVERAGE(Sheet1!G49:G1386,Sheet1!D49:D1386)</f>
        <v>6485.0579434546908</v>
      </c>
      <c r="C51" s="3"/>
      <c r="J51" s="4" t="s">
        <v>10</v>
      </c>
      <c r="K51" s="4" t="s">
        <v>8</v>
      </c>
      <c r="L51" s="17">
        <f t="shared" si="0"/>
        <v>0</v>
      </c>
      <c r="M51" s="5">
        <f t="shared" si="1"/>
        <v>0</v>
      </c>
    </row>
    <row r="52" spans="1:13" ht="14.5">
      <c r="A52" s="3">
        <v>62</v>
      </c>
      <c r="B52" s="15">
        <f>AVERAGE(Sheet1!G50:G1387,Sheet1!D50:D1387)</f>
        <v>6484.6825348837256</v>
      </c>
      <c r="C52" s="3"/>
      <c r="J52" s="4" t="s">
        <v>7</v>
      </c>
      <c r="K52" s="4" t="s">
        <v>8</v>
      </c>
      <c r="L52" s="17">
        <f t="shared" si="0"/>
        <v>0</v>
      </c>
      <c r="M52" s="5">
        <f t="shared" si="1"/>
        <v>0</v>
      </c>
    </row>
    <row r="53" spans="1:13" ht="14.5">
      <c r="A53" s="3">
        <v>62</v>
      </c>
      <c r="B53" s="15">
        <f>AVERAGE(Sheet1!G51:G1388,Sheet1!D51:D1388)</f>
        <v>6484.5340729247519</v>
      </c>
      <c r="C53" s="3"/>
      <c r="J53" s="4" t="s">
        <v>7</v>
      </c>
      <c r="K53" s="4" t="s">
        <v>8</v>
      </c>
      <c r="L53" s="17">
        <f t="shared" si="0"/>
        <v>0</v>
      </c>
      <c r="M53" s="5">
        <f t="shared" si="1"/>
        <v>0</v>
      </c>
    </row>
    <row r="54" spans="1:13" ht="14.5">
      <c r="A54" s="3">
        <v>62</v>
      </c>
      <c r="B54" s="15">
        <f>AVERAGE(Sheet1!G52:G1389,Sheet1!D52:D1389)</f>
        <v>6479.0865139751586</v>
      </c>
      <c r="C54" s="3"/>
      <c r="J54" s="4" t="s">
        <v>7</v>
      </c>
      <c r="K54" s="4" t="s">
        <v>8</v>
      </c>
      <c r="L54" s="17">
        <f t="shared" si="0"/>
        <v>0</v>
      </c>
      <c r="M54" s="5">
        <f t="shared" si="1"/>
        <v>0</v>
      </c>
    </row>
    <row r="55" spans="1:13" ht="14.5">
      <c r="A55" s="3">
        <v>62</v>
      </c>
      <c r="B55" s="15">
        <f>AVERAGE(Sheet1!G53:G1390,Sheet1!D53:D1390)</f>
        <v>6478.2030069930106</v>
      </c>
      <c r="C55" s="3"/>
      <c r="J55" s="4" t="s">
        <v>10</v>
      </c>
      <c r="K55" s="4" t="s">
        <v>8</v>
      </c>
      <c r="L55" s="17">
        <f t="shared" si="0"/>
        <v>0</v>
      </c>
      <c r="M55" s="5">
        <f t="shared" si="1"/>
        <v>0</v>
      </c>
    </row>
    <row r="56" spans="1:13" ht="14.5">
      <c r="A56" s="3">
        <v>62</v>
      </c>
      <c r="B56" s="15">
        <f>AVERAGE(Sheet1!G54:G1391,Sheet1!D54:D1391)</f>
        <v>6478.0029860031136</v>
      </c>
      <c r="C56" s="3"/>
      <c r="J56" s="4" t="s">
        <v>10</v>
      </c>
      <c r="K56" s="4" t="s">
        <v>8</v>
      </c>
      <c r="L56" s="17">
        <f t="shared" si="0"/>
        <v>0</v>
      </c>
      <c r="M56" s="5">
        <f t="shared" si="1"/>
        <v>0</v>
      </c>
    </row>
    <row r="57" spans="1:13" ht="14.5">
      <c r="A57" s="3">
        <v>62</v>
      </c>
      <c r="B57" s="15">
        <f>AVERAGE(Sheet1!G55:G1392,Sheet1!D55:D1392)</f>
        <v>6477.5798443579797</v>
      </c>
      <c r="C57" s="3"/>
      <c r="J57" s="4" t="s">
        <v>10</v>
      </c>
      <c r="K57" s="4" t="s">
        <v>8</v>
      </c>
      <c r="L57" s="17">
        <f t="shared" si="0"/>
        <v>0</v>
      </c>
      <c r="M57" s="5">
        <f t="shared" si="1"/>
        <v>0</v>
      </c>
    </row>
    <row r="58" spans="1:13" ht="14.5">
      <c r="A58" s="3">
        <v>62</v>
      </c>
      <c r="B58" s="15">
        <f>AVERAGE(Sheet1!G56:G1393,Sheet1!D56:D1393)</f>
        <v>6477.5790809968876</v>
      </c>
      <c r="C58" s="3"/>
      <c r="J58" s="4" t="s">
        <v>7</v>
      </c>
      <c r="K58" s="4" t="s">
        <v>8</v>
      </c>
      <c r="L58" s="17">
        <f t="shared" si="0"/>
        <v>0</v>
      </c>
      <c r="M58" s="5">
        <f t="shared" si="1"/>
        <v>0</v>
      </c>
    </row>
    <row r="59" spans="1:13" ht="14.5">
      <c r="A59" s="3">
        <v>62</v>
      </c>
      <c r="B59" s="15">
        <f>AVERAGE(Sheet1!G57:G1394,Sheet1!D57:D1394)</f>
        <v>6470.3047856586154</v>
      </c>
      <c r="C59" s="3"/>
      <c r="J59" s="4" t="s">
        <v>10</v>
      </c>
      <c r="K59" s="4" t="s">
        <v>8</v>
      </c>
      <c r="L59" s="17">
        <f t="shared" si="0"/>
        <v>0</v>
      </c>
      <c r="M59" s="5">
        <f t="shared" si="1"/>
        <v>0</v>
      </c>
    </row>
    <row r="60" spans="1:13" ht="14.5">
      <c r="A60" s="3">
        <v>62</v>
      </c>
      <c r="B60" s="15">
        <f>AVERAGE(Sheet1!G58:G1395,Sheet1!D58:D1395)</f>
        <v>6457.5241302652148</v>
      </c>
      <c r="C60" s="3"/>
      <c r="J60" s="4" t="s">
        <v>7</v>
      </c>
      <c r="K60" s="4" t="s">
        <v>11</v>
      </c>
      <c r="L60" s="17">
        <f t="shared" si="0"/>
        <v>1</v>
      </c>
      <c r="M60" s="5">
        <f t="shared" si="1"/>
        <v>0</v>
      </c>
    </row>
    <row r="61" spans="1:13" ht="14.5">
      <c r="A61" s="3">
        <v>62</v>
      </c>
      <c r="B61" s="15">
        <f>AVERAGE(Sheet1!G59:G1396,Sheet1!D59:D1396)</f>
        <v>6457.4990281030477</v>
      </c>
      <c r="C61" s="3"/>
      <c r="J61" s="4" t="s">
        <v>7</v>
      </c>
      <c r="K61" s="4" t="s">
        <v>8</v>
      </c>
      <c r="L61" s="17">
        <f t="shared" si="0"/>
        <v>0</v>
      </c>
      <c r="M61" s="5">
        <f t="shared" si="1"/>
        <v>0</v>
      </c>
    </row>
    <row r="62" spans="1:13" ht="14.5">
      <c r="A62" s="3">
        <v>62</v>
      </c>
      <c r="B62" s="15">
        <f>AVERAGE(Sheet1!G60:G1397,Sheet1!D60:D1397)</f>
        <v>6457.286933593753</v>
      </c>
      <c r="C62" s="3"/>
      <c r="J62" s="4" t="s">
        <v>10</v>
      </c>
      <c r="K62" s="4" t="s">
        <v>8</v>
      </c>
      <c r="L62" s="17">
        <f t="shared" si="0"/>
        <v>0</v>
      </c>
      <c r="M62" s="5">
        <f t="shared" si="1"/>
        <v>0</v>
      </c>
    </row>
    <row r="63" spans="1:13" ht="14.5">
      <c r="A63" s="3">
        <v>62</v>
      </c>
      <c r="B63" s="15">
        <f>AVERAGE(Sheet1!G61:G1398,Sheet1!D61:D1398)</f>
        <v>6457.0365715402695</v>
      </c>
      <c r="C63" s="3"/>
      <c r="J63" s="4" t="s">
        <v>7</v>
      </c>
      <c r="K63" s="4" t="s">
        <v>8</v>
      </c>
      <c r="L63" s="17">
        <f t="shared" si="0"/>
        <v>0</v>
      </c>
      <c r="M63" s="5">
        <f t="shared" si="1"/>
        <v>0</v>
      </c>
    </row>
    <row r="64" spans="1:13" ht="14.5">
      <c r="A64" s="3">
        <v>62</v>
      </c>
      <c r="B64" s="15">
        <f>AVERAGE(Sheet1!G62:G1399,Sheet1!D62:D1399)</f>
        <v>6456.8264593114272</v>
      </c>
      <c r="C64" s="3"/>
      <c r="J64" s="4" t="s">
        <v>10</v>
      </c>
      <c r="K64" s="4" t="s">
        <v>8</v>
      </c>
      <c r="L64" s="17">
        <f t="shared" si="0"/>
        <v>0</v>
      </c>
      <c r="M64" s="5">
        <f t="shared" si="1"/>
        <v>0</v>
      </c>
    </row>
    <row r="65" spans="1:13" ht="14.5">
      <c r="A65" s="3">
        <v>62</v>
      </c>
      <c r="B65" s="15">
        <f>AVERAGE(Sheet1!G63:G1400,Sheet1!D63:D1400)</f>
        <v>6456.6115544244358</v>
      </c>
      <c r="C65" s="3"/>
      <c r="J65" s="4" t="s">
        <v>10</v>
      </c>
      <c r="K65" s="4" t="s">
        <v>8</v>
      </c>
      <c r="L65" s="17">
        <f t="shared" si="0"/>
        <v>0</v>
      </c>
      <c r="M65" s="5">
        <f t="shared" si="1"/>
        <v>0</v>
      </c>
    </row>
    <row r="66" spans="1:13" ht="14.5">
      <c r="A66" s="3">
        <v>62</v>
      </c>
      <c r="B66" s="15">
        <f>AVERAGE(Sheet1!G64:G1401,Sheet1!D64:D1401)</f>
        <v>6456.3930681818219</v>
      </c>
      <c r="C66" s="3"/>
      <c r="J66" s="4" t="s">
        <v>10</v>
      </c>
      <c r="K66" s="4" t="s">
        <v>8</v>
      </c>
      <c r="L66" s="17">
        <f t="shared" si="0"/>
        <v>0</v>
      </c>
      <c r="M66" s="5">
        <f t="shared" si="1"/>
        <v>0</v>
      </c>
    </row>
    <row r="67" spans="1:13" ht="14.5">
      <c r="A67" s="3">
        <v>62</v>
      </c>
      <c r="B67" s="15">
        <f>AVERAGE(Sheet1!G65:G1402,Sheet1!D65:D1402)</f>
        <v>6456.3655843137294</v>
      </c>
      <c r="C67" s="3"/>
      <c r="J67" s="4" t="s">
        <v>7</v>
      </c>
      <c r="K67" s="4" t="s">
        <v>8</v>
      </c>
      <c r="L67" s="17">
        <f t="shared" si="0"/>
        <v>0</v>
      </c>
      <c r="M67" s="5">
        <f t="shared" si="1"/>
        <v>0</v>
      </c>
    </row>
    <row r="68" spans="1:13" ht="14.5">
      <c r="A68" s="3">
        <v>62</v>
      </c>
      <c r="B68" s="15">
        <f>AVERAGE(Sheet1!G66:G1403,Sheet1!D66:D1403)</f>
        <v>6455.5378649921549</v>
      </c>
      <c r="C68" s="3"/>
      <c r="J68" s="4" t="s">
        <v>10</v>
      </c>
      <c r="K68" s="4" t="s">
        <v>8</v>
      </c>
      <c r="L68" s="17">
        <f t="shared" si="0"/>
        <v>0</v>
      </c>
      <c r="M68" s="5">
        <f t="shared" si="1"/>
        <v>0</v>
      </c>
    </row>
    <row r="69" spans="1:13" ht="14.5">
      <c r="A69" s="3">
        <v>62</v>
      </c>
      <c r="B69" s="15">
        <f>AVERAGE(Sheet1!G67:G1404,Sheet1!D67:D1404)</f>
        <v>6455.1711233307187</v>
      </c>
      <c r="C69" s="3"/>
      <c r="J69" s="4" t="s">
        <v>10</v>
      </c>
      <c r="K69" s="4" t="s">
        <v>8</v>
      </c>
      <c r="L69" s="17">
        <f t="shared" si="0"/>
        <v>0</v>
      </c>
      <c r="M69" s="5">
        <f t="shared" si="1"/>
        <v>0</v>
      </c>
    </row>
    <row r="70" spans="1:13" ht="14.5">
      <c r="A70" s="3">
        <v>62</v>
      </c>
      <c r="B70" s="15">
        <f>AVERAGE(Sheet1!G68:G1405,Sheet1!D68:D1405)</f>
        <v>6441.8807075471732</v>
      </c>
      <c r="C70" s="3"/>
      <c r="J70" s="4" t="s">
        <v>7</v>
      </c>
      <c r="K70" s="4" t="s">
        <v>11</v>
      </c>
      <c r="L70" s="17">
        <f t="shared" ref="L70:L133" si="2">IF(AND(J70="male", K70="yes"),1,0)</f>
        <v>1</v>
      </c>
      <c r="M70" s="5">
        <f t="shared" ref="M70:M133" si="3">IF(AND(J70="female", K70="yes"), 1, 0)</f>
        <v>0</v>
      </c>
    </row>
    <row r="71" spans="1:13" ht="14.5">
      <c r="A71" s="3">
        <v>62</v>
      </c>
      <c r="B71" s="15">
        <f>AVERAGE(Sheet1!G69:G1406,Sheet1!D69:D1406)</f>
        <v>6435.8942525570446</v>
      </c>
      <c r="C71" s="3"/>
      <c r="J71" s="4" t="s">
        <v>7</v>
      </c>
      <c r="K71" s="4" t="s">
        <v>11</v>
      </c>
      <c r="L71" s="17">
        <f t="shared" si="2"/>
        <v>1</v>
      </c>
      <c r="M71" s="5">
        <f t="shared" si="3"/>
        <v>0</v>
      </c>
    </row>
    <row r="72" spans="1:13" ht="14.5">
      <c r="A72" s="3">
        <v>61</v>
      </c>
      <c r="B72" s="15">
        <f>AVERAGE(Sheet1!G70:G1407,Sheet1!D70:D1407)</f>
        <v>6435.8511181102385</v>
      </c>
      <c r="C72" s="3"/>
      <c r="J72" s="4" t="s">
        <v>7</v>
      </c>
      <c r="K72" s="4" t="s">
        <v>8</v>
      </c>
      <c r="L72" s="17">
        <f t="shared" si="2"/>
        <v>0</v>
      </c>
      <c r="M72" s="5">
        <f t="shared" si="3"/>
        <v>0</v>
      </c>
    </row>
    <row r="73" spans="1:13" ht="14.5">
      <c r="A73" s="3">
        <v>61</v>
      </c>
      <c r="B73" s="15">
        <f>AVERAGE(Sheet1!G71:G1408,Sheet1!D71:D1408)</f>
        <v>6435.3131481481505</v>
      </c>
      <c r="C73" s="3"/>
      <c r="J73" s="4" t="s">
        <v>10</v>
      </c>
      <c r="K73" s="4" t="s">
        <v>8</v>
      </c>
      <c r="L73" s="17">
        <f t="shared" si="2"/>
        <v>0</v>
      </c>
      <c r="M73" s="5">
        <f t="shared" si="3"/>
        <v>0</v>
      </c>
    </row>
    <row r="74" spans="1:13" ht="14.5">
      <c r="A74" s="3">
        <v>61</v>
      </c>
      <c r="B74" s="15">
        <f>AVERAGE(Sheet1!G72:G1409,Sheet1!D72:D1409)</f>
        <v>6428.1859542586772</v>
      </c>
      <c r="C74" s="3"/>
      <c r="J74" s="4" t="s">
        <v>10</v>
      </c>
      <c r="K74" s="4" t="s">
        <v>11</v>
      </c>
      <c r="L74" s="17">
        <f t="shared" si="2"/>
        <v>0</v>
      </c>
      <c r="M74" s="5">
        <f t="shared" si="3"/>
        <v>1</v>
      </c>
    </row>
    <row r="75" spans="1:13" ht="14.5">
      <c r="A75" s="3">
        <v>61</v>
      </c>
      <c r="B75" s="15">
        <f>AVERAGE(Sheet1!G73:G1410,Sheet1!D73:D1410)</f>
        <v>6427.8860378847694</v>
      </c>
      <c r="C75" s="3"/>
      <c r="J75" s="4" t="s">
        <v>10</v>
      </c>
      <c r="K75" s="4" t="s">
        <v>8</v>
      </c>
      <c r="L75" s="17">
        <f t="shared" si="2"/>
        <v>0</v>
      </c>
      <c r="M75" s="5">
        <f t="shared" si="3"/>
        <v>0</v>
      </c>
    </row>
    <row r="76" spans="1:13" ht="14.5">
      <c r="A76" s="3">
        <v>61</v>
      </c>
      <c r="B76" s="15">
        <f>AVERAGE(Sheet1!G74:G1411,Sheet1!D74:D1411)</f>
        <v>6428.0037954186437</v>
      </c>
      <c r="C76" s="3"/>
      <c r="J76" s="4" t="s">
        <v>7</v>
      </c>
      <c r="K76" s="4" t="s">
        <v>8</v>
      </c>
      <c r="L76" s="17">
        <f t="shared" si="2"/>
        <v>0</v>
      </c>
      <c r="M76" s="5">
        <f t="shared" si="3"/>
        <v>0</v>
      </c>
    </row>
    <row r="77" spans="1:13" ht="14.5">
      <c r="A77" s="3">
        <v>61</v>
      </c>
      <c r="B77" s="15">
        <f>AVERAGE(Sheet1!G75:G1412,Sheet1!D75:D1412)</f>
        <v>6413.9079249011884</v>
      </c>
      <c r="C77" s="3"/>
      <c r="J77" s="4" t="s">
        <v>10</v>
      </c>
      <c r="K77" s="4" t="s">
        <v>11</v>
      </c>
      <c r="L77" s="17">
        <f t="shared" si="2"/>
        <v>0</v>
      </c>
      <c r="M77" s="5">
        <f t="shared" si="3"/>
        <v>1</v>
      </c>
    </row>
    <row r="78" spans="1:13" ht="14.5">
      <c r="A78" s="3">
        <v>61</v>
      </c>
      <c r="B78" s="15">
        <f>AVERAGE(Sheet1!G76:G1413,Sheet1!D76:D1413)</f>
        <v>6413.6700988924076</v>
      </c>
      <c r="C78" s="3"/>
      <c r="J78" s="4" t="s">
        <v>10</v>
      </c>
      <c r="K78" s="4" t="s">
        <v>8</v>
      </c>
      <c r="L78" s="17">
        <f t="shared" si="2"/>
        <v>0</v>
      </c>
      <c r="M78" s="5">
        <f t="shared" si="3"/>
        <v>0</v>
      </c>
    </row>
    <row r="79" spans="1:13" ht="14.5">
      <c r="A79" s="3">
        <v>61</v>
      </c>
      <c r="B79" s="15">
        <f>AVERAGE(Sheet1!G77:G1414,Sheet1!D77:D1414)</f>
        <v>6413.437438638166</v>
      </c>
      <c r="C79" s="3"/>
      <c r="J79" s="4" t="s">
        <v>10</v>
      </c>
      <c r="K79" s="4" t="s">
        <v>8</v>
      </c>
      <c r="L79" s="17">
        <f t="shared" si="2"/>
        <v>0</v>
      </c>
      <c r="M79" s="5">
        <f t="shared" si="3"/>
        <v>0</v>
      </c>
    </row>
    <row r="80" spans="1:13" ht="14.5">
      <c r="A80" s="3">
        <v>61</v>
      </c>
      <c r="B80" s="15">
        <f>AVERAGE(Sheet1!G78:G1415,Sheet1!D78:D1415)</f>
        <v>6400.0569968304299</v>
      </c>
      <c r="C80" s="3"/>
      <c r="J80" s="4" t="s">
        <v>7</v>
      </c>
      <c r="K80" s="4" t="s">
        <v>11</v>
      </c>
      <c r="L80" s="17">
        <f t="shared" si="2"/>
        <v>1</v>
      </c>
      <c r="M80" s="5">
        <f t="shared" si="3"/>
        <v>0</v>
      </c>
    </row>
    <row r="81" spans="1:13" ht="14.5">
      <c r="A81" s="3">
        <v>61</v>
      </c>
      <c r="B81" s="15">
        <f>AVERAGE(Sheet1!G79:G1416,Sheet1!D79:D1416)</f>
        <v>6393.6852498017461</v>
      </c>
      <c r="C81" s="3"/>
      <c r="J81" s="4" t="s">
        <v>7</v>
      </c>
      <c r="K81" s="4" t="s">
        <v>11</v>
      </c>
      <c r="L81" s="17">
        <f t="shared" si="2"/>
        <v>1</v>
      </c>
      <c r="M81" s="5">
        <f t="shared" si="3"/>
        <v>0</v>
      </c>
    </row>
    <row r="82" spans="1:13" ht="14.5">
      <c r="A82" s="3">
        <v>61</v>
      </c>
      <c r="B82" s="15">
        <f>AVERAGE(Sheet1!G80:G1417,Sheet1!D80:D1417)</f>
        <v>6389.0321865079377</v>
      </c>
      <c r="C82" s="3"/>
      <c r="J82" s="4" t="s">
        <v>10</v>
      </c>
      <c r="K82" s="4" t="s">
        <v>8</v>
      </c>
      <c r="L82" s="17">
        <f t="shared" si="2"/>
        <v>0</v>
      </c>
      <c r="M82" s="5">
        <f t="shared" si="3"/>
        <v>0</v>
      </c>
    </row>
    <row r="83" spans="1:13" ht="14.5">
      <c r="A83" s="3">
        <v>61</v>
      </c>
      <c r="B83" s="15">
        <f>AVERAGE(Sheet1!G81:G1418,Sheet1!D81:D1418)</f>
        <v>6389.1132088959503</v>
      </c>
      <c r="C83" s="3"/>
      <c r="J83" s="4" t="s">
        <v>7</v>
      </c>
      <c r="K83" s="4" t="s">
        <v>8</v>
      </c>
      <c r="L83" s="17">
        <f t="shared" si="2"/>
        <v>0</v>
      </c>
      <c r="M83" s="5">
        <f t="shared" si="3"/>
        <v>0</v>
      </c>
    </row>
    <row r="84" spans="1:13" ht="14.5">
      <c r="A84" s="3">
        <v>61</v>
      </c>
      <c r="B84" s="15">
        <f>AVERAGE(Sheet1!G82:G1419,Sheet1!D82:D1419)</f>
        <v>6388.772424483308</v>
      </c>
      <c r="C84" s="3"/>
      <c r="J84" s="4" t="s">
        <v>10</v>
      </c>
      <c r="K84" s="4" t="s">
        <v>8</v>
      </c>
      <c r="L84" s="17">
        <f t="shared" si="2"/>
        <v>0</v>
      </c>
      <c r="M84" s="5">
        <f t="shared" si="3"/>
        <v>0</v>
      </c>
    </row>
    <row r="85" spans="1:13" ht="14.5">
      <c r="A85" s="3">
        <v>61</v>
      </c>
      <c r="B85" s="15">
        <f>AVERAGE(Sheet1!G83:G1420,Sheet1!D83:D1420)</f>
        <v>6388.6267143993646</v>
      </c>
      <c r="C85" s="3"/>
      <c r="J85" s="4" t="s">
        <v>7</v>
      </c>
      <c r="K85" s="4" t="s">
        <v>8</v>
      </c>
      <c r="L85" s="17">
        <f t="shared" si="2"/>
        <v>0</v>
      </c>
      <c r="M85" s="5">
        <f t="shared" si="3"/>
        <v>0</v>
      </c>
    </row>
    <row r="86" spans="1:13" ht="14.5">
      <c r="A86" s="3">
        <v>61</v>
      </c>
      <c r="B86" s="15">
        <f>AVERAGE(Sheet1!G84:G1421,Sheet1!D84:D1421)</f>
        <v>6382.5888813694282</v>
      </c>
      <c r="C86" s="3"/>
      <c r="J86" s="4" t="s">
        <v>7</v>
      </c>
      <c r="K86" s="4" t="s">
        <v>8</v>
      </c>
      <c r="L86" s="17">
        <f t="shared" si="2"/>
        <v>0</v>
      </c>
      <c r="M86" s="5">
        <f t="shared" si="3"/>
        <v>0</v>
      </c>
    </row>
    <row r="87" spans="1:13" ht="14.5">
      <c r="A87" s="3">
        <v>61</v>
      </c>
      <c r="B87" s="15">
        <f>AVERAGE(Sheet1!G85:G1422,Sheet1!D85:D1422)</f>
        <v>6382.0484661354594</v>
      </c>
      <c r="C87" s="3"/>
      <c r="J87" s="4" t="s">
        <v>7</v>
      </c>
      <c r="K87" s="4" t="s">
        <v>8</v>
      </c>
      <c r="L87" s="17">
        <f t="shared" si="2"/>
        <v>0</v>
      </c>
      <c r="M87" s="5">
        <f t="shared" si="3"/>
        <v>0</v>
      </c>
    </row>
    <row r="88" spans="1:13" ht="14.5">
      <c r="A88" s="3">
        <v>61</v>
      </c>
      <c r="B88" s="15">
        <f>AVERAGE(Sheet1!G86:G1423,Sheet1!D86:D1423)</f>
        <v>6381.9027312599683</v>
      </c>
      <c r="C88" s="3"/>
      <c r="J88" s="4" t="s">
        <v>7</v>
      </c>
      <c r="K88" s="4" t="s">
        <v>8</v>
      </c>
      <c r="L88" s="17">
        <f t="shared" si="2"/>
        <v>0</v>
      </c>
      <c r="M88" s="5">
        <f t="shared" si="3"/>
        <v>0</v>
      </c>
    </row>
    <row r="89" spans="1:13" ht="14.5">
      <c r="A89" s="3">
        <v>61</v>
      </c>
      <c r="B89" s="15">
        <f>AVERAGE(Sheet1!G87:G1424,Sheet1!D87:D1424)</f>
        <v>6381.7829888268161</v>
      </c>
      <c r="C89" s="3"/>
      <c r="J89" s="4" t="s">
        <v>10</v>
      </c>
      <c r="K89" s="4" t="s">
        <v>8</v>
      </c>
      <c r="L89" s="17">
        <f t="shared" si="2"/>
        <v>0</v>
      </c>
      <c r="M89" s="5">
        <f t="shared" si="3"/>
        <v>0</v>
      </c>
    </row>
    <row r="90" spans="1:13" ht="14.5">
      <c r="A90" s="3">
        <v>61</v>
      </c>
      <c r="B90" s="15">
        <f>AVERAGE(Sheet1!G88:G1425,Sheet1!D88:D1425)</f>
        <v>6381.6718250798731</v>
      </c>
      <c r="C90" s="3"/>
      <c r="J90" s="4" t="s">
        <v>10</v>
      </c>
      <c r="K90" s="4" t="s">
        <v>8</v>
      </c>
      <c r="L90" s="17">
        <f t="shared" si="2"/>
        <v>0</v>
      </c>
      <c r="M90" s="5">
        <f t="shared" si="3"/>
        <v>0</v>
      </c>
    </row>
    <row r="91" spans="1:13" ht="14.5">
      <c r="A91" s="3">
        <v>61</v>
      </c>
      <c r="B91" s="15">
        <f>AVERAGE(Sheet1!G89:G1426,Sheet1!D89:D1426)</f>
        <v>6372.1510671462829</v>
      </c>
      <c r="C91" s="3"/>
      <c r="J91" s="4" t="s">
        <v>10</v>
      </c>
      <c r="K91" s="4" t="s">
        <v>8</v>
      </c>
      <c r="L91" s="17">
        <f t="shared" si="2"/>
        <v>0</v>
      </c>
      <c r="M91" s="5">
        <f t="shared" si="3"/>
        <v>0</v>
      </c>
    </row>
    <row r="92" spans="1:13" ht="14.5">
      <c r="A92" s="3">
        <v>61</v>
      </c>
      <c r="B92" s="15">
        <f>AVERAGE(Sheet1!G90:G1427,Sheet1!D90:D1427)</f>
        <v>6372.0687599999992</v>
      </c>
      <c r="C92" s="3"/>
      <c r="J92" s="4" t="s">
        <v>7</v>
      </c>
      <c r="K92" s="4" t="s">
        <v>8</v>
      </c>
      <c r="L92" s="17">
        <f t="shared" si="2"/>
        <v>0</v>
      </c>
      <c r="M92" s="5">
        <f t="shared" si="3"/>
        <v>0</v>
      </c>
    </row>
    <row r="93" spans="1:13" ht="14.5">
      <c r="A93" s="3">
        <v>61</v>
      </c>
      <c r="B93" s="15">
        <f>AVERAGE(Sheet1!G91:G1428,Sheet1!D91:D1428)</f>
        <v>6358.1933626901509</v>
      </c>
      <c r="C93" s="3"/>
      <c r="J93" s="4" t="s">
        <v>7</v>
      </c>
      <c r="K93" s="4" t="s">
        <v>11</v>
      </c>
      <c r="L93" s="17">
        <f t="shared" si="2"/>
        <v>1</v>
      </c>
      <c r="M93" s="5">
        <f t="shared" si="3"/>
        <v>0</v>
      </c>
    </row>
    <row r="94" spans="1:13" ht="14.5">
      <c r="A94" s="3">
        <v>61</v>
      </c>
      <c r="B94" s="15">
        <f>AVERAGE(Sheet1!G92:G1429,Sheet1!D92:D1429)</f>
        <v>6358.0223076923057</v>
      </c>
      <c r="C94" s="3"/>
      <c r="J94" s="4" t="s">
        <v>7</v>
      </c>
      <c r="K94" s="4" t="s">
        <v>8</v>
      </c>
      <c r="L94" s="17">
        <f t="shared" si="2"/>
        <v>0</v>
      </c>
      <c r="M94" s="5">
        <f t="shared" si="3"/>
        <v>0</v>
      </c>
    </row>
    <row r="95" spans="1:13" ht="14.5">
      <c r="A95" s="3">
        <v>60</v>
      </c>
      <c r="B95" s="15">
        <f>AVERAGE(Sheet1!G93:G1430,Sheet1!D93:D1430)</f>
        <v>6351.4363753007201</v>
      </c>
      <c r="C95" s="3"/>
      <c r="J95" s="4" t="s">
        <v>10</v>
      </c>
      <c r="K95" s="4" t="s">
        <v>11</v>
      </c>
      <c r="L95" s="17">
        <f t="shared" si="2"/>
        <v>0</v>
      </c>
      <c r="M95" s="5">
        <f t="shared" si="3"/>
        <v>1</v>
      </c>
    </row>
    <row r="96" spans="1:13" ht="14.5">
      <c r="A96" s="3">
        <v>60</v>
      </c>
      <c r="B96" s="15">
        <f>AVERAGE(Sheet1!G94:G1431,Sheet1!D94:D1431)</f>
        <v>6344.9274398073821</v>
      </c>
      <c r="C96" s="3"/>
      <c r="J96" s="4" t="s">
        <v>10</v>
      </c>
      <c r="K96" s="4" t="s">
        <v>8</v>
      </c>
      <c r="L96" s="17">
        <f t="shared" si="2"/>
        <v>0</v>
      </c>
      <c r="M96" s="5">
        <f t="shared" si="3"/>
        <v>0</v>
      </c>
    </row>
    <row r="97" spans="1:13" ht="14.5">
      <c r="A97" s="3">
        <v>60</v>
      </c>
      <c r="B97" s="15">
        <f>AVERAGE(Sheet1!G95:G1432,Sheet1!D95:D1432)</f>
        <v>6344.710975903613</v>
      </c>
      <c r="C97" s="3"/>
      <c r="J97" s="4" t="s">
        <v>10</v>
      </c>
      <c r="K97" s="4" t="s">
        <v>8</v>
      </c>
      <c r="L97" s="17">
        <f t="shared" si="2"/>
        <v>0</v>
      </c>
      <c r="M97" s="5">
        <f t="shared" si="3"/>
        <v>0</v>
      </c>
    </row>
    <row r="98" spans="1:13" ht="14.5">
      <c r="A98" s="3">
        <v>60</v>
      </c>
      <c r="B98" s="15">
        <f>AVERAGE(Sheet1!G96:G1433,Sheet1!D96:D1433)</f>
        <v>6330.4489429260439</v>
      </c>
      <c r="C98" s="3"/>
      <c r="J98" s="4" t="s">
        <v>7</v>
      </c>
      <c r="K98" s="4" t="s">
        <v>11</v>
      </c>
      <c r="L98" s="17">
        <f t="shared" si="2"/>
        <v>1</v>
      </c>
      <c r="M98" s="5">
        <f t="shared" si="3"/>
        <v>0</v>
      </c>
    </row>
    <row r="99" spans="1:13" ht="14.5">
      <c r="A99" s="3">
        <v>60</v>
      </c>
      <c r="B99" s="15">
        <f>AVERAGE(Sheet1!G97:G1434,Sheet1!D97:D1434)</f>
        <v>6330.4614119066764</v>
      </c>
      <c r="C99" s="3"/>
      <c r="J99" s="4" t="s">
        <v>10</v>
      </c>
      <c r="K99" s="4" t="s">
        <v>8</v>
      </c>
      <c r="L99" s="17">
        <f t="shared" si="2"/>
        <v>0</v>
      </c>
      <c r="M99" s="5">
        <f t="shared" si="3"/>
        <v>0</v>
      </c>
    </row>
    <row r="100" spans="1:13" ht="14.5">
      <c r="A100" s="3">
        <v>60</v>
      </c>
      <c r="B100" s="15">
        <f>AVERAGE(Sheet1!G98:G1435,Sheet1!D98:D1435)</f>
        <v>6323.376437198066</v>
      </c>
      <c r="C100" s="3"/>
      <c r="J100" s="4" t="s">
        <v>7</v>
      </c>
      <c r="K100" s="4" t="s">
        <v>8</v>
      </c>
      <c r="L100" s="17">
        <f t="shared" si="2"/>
        <v>0</v>
      </c>
      <c r="M100" s="5">
        <f t="shared" si="3"/>
        <v>0</v>
      </c>
    </row>
    <row r="101" spans="1:13" ht="14.5">
      <c r="A101" s="3">
        <v>60</v>
      </c>
      <c r="B101" s="15">
        <f>AVERAGE(Sheet1!G99:G1436,Sheet1!D99:D1436)</f>
        <v>6323.2291941982267</v>
      </c>
      <c r="C101" s="3"/>
      <c r="J101" s="4" t="s">
        <v>10</v>
      </c>
      <c r="K101" s="4" t="s">
        <v>8</v>
      </c>
      <c r="L101" s="17">
        <f t="shared" si="2"/>
        <v>0</v>
      </c>
      <c r="M101" s="5">
        <f t="shared" si="3"/>
        <v>0</v>
      </c>
    </row>
    <row r="102" spans="1:13" ht="14.5">
      <c r="A102" s="3">
        <v>60</v>
      </c>
      <c r="B102" s="15">
        <f>AVERAGE(Sheet1!G100:G1437,Sheet1!D100:D1437)</f>
        <v>6323.2282903225796</v>
      </c>
      <c r="C102" s="3"/>
      <c r="J102" s="4" t="s">
        <v>10</v>
      </c>
      <c r="K102" s="4" t="s">
        <v>8</v>
      </c>
      <c r="L102" s="17">
        <f t="shared" si="2"/>
        <v>0</v>
      </c>
      <c r="M102" s="5">
        <f t="shared" si="3"/>
        <v>0</v>
      </c>
    </row>
    <row r="103" spans="1:13" ht="14.5">
      <c r="A103" s="3">
        <v>60</v>
      </c>
      <c r="B103" s="15">
        <f>AVERAGE(Sheet1!G101:G1438,Sheet1!D101:D1438)</f>
        <v>6323.4316303470532</v>
      </c>
      <c r="C103" s="3"/>
      <c r="J103" s="4" t="s">
        <v>7</v>
      </c>
      <c r="K103" s="4" t="s">
        <v>8</v>
      </c>
      <c r="L103" s="17">
        <f t="shared" si="2"/>
        <v>0</v>
      </c>
      <c r="M103" s="5">
        <f t="shared" si="3"/>
        <v>0</v>
      </c>
    </row>
    <row r="104" spans="1:13" ht="14.5">
      <c r="A104" s="3">
        <v>60</v>
      </c>
      <c r="B104" s="15">
        <f>AVERAGE(Sheet1!G102:G1439,Sheet1!D102:D1439)</f>
        <v>6323.2013287560576</v>
      </c>
      <c r="C104" s="3"/>
      <c r="J104" s="4" t="s">
        <v>10</v>
      </c>
      <c r="K104" s="4" t="s">
        <v>8</v>
      </c>
      <c r="L104" s="17">
        <f t="shared" si="2"/>
        <v>0</v>
      </c>
      <c r="M104" s="5">
        <f t="shared" si="3"/>
        <v>0</v>
      </c>
    </row>
    <row r="105" spans="1:13" ht="14.5">
      <c r="A105" s="3">
        <v>60</v>
      </c>
      <c r="B105" s="15">
        <f>AVERAGE(Sheet1!G103:G1440,Sheet1!D103:D1440)</f>
        <v>6323.2046443007266</v>
      </c>
      <c r="C105" s="3"/>
      <c r="J105" s="4" t="s">
        <v>10</v>
      </c>
      <c r="K105" s="4" t="s">
        <v>8</v>
      </c>
      <c r="L105" s="17">
        <f t="shared" si="2"/>
        <v>0</v>
      </c>
      <c r="M105" s="5">
        <f t="shared" si="3"/>
        <v>0</v>
      </c>
    </row>
    <row r="106" spans="1:13" ht="14.5">
      <c r="A106" s="3">
        <v>60</v>
      </c>
      <c r="B106" s="15">
        <f>AVERAGE(Sheet1!G104:G1441,Sheet1!D104:D1441)</f>
        <v>6322.6882969255657</v>
      </c>
      <c r="C106" s="3"/>
      <c r="J106" s="4" t="s">
        <v>7</v>
      </c>
      <c r="K106" s="4" t="s">
        <v>8</v>
      </c>
      <c r="L106" s="17">
        <f t="shared" si="2"/>
        <v>0</v>
      </c>
      <c r="M106" s="5">
        <f t="shared" si="3"/>
        <v>0</v>
      </c>
    </row>
    <row r="107" spans="1:13" ht="14.5">
      <c r="A107" s="3">
        <v>60</v>
      </c>
      <c r="B107" s="15">
        <f>AVERAGE(Sheet1!G105:G1442,Sheet1!D105:D1442)</f>
        <v>6322.6536315789472</v>
      </c>
      <c r="C107" s="3"/>
      <c r="J107" s="4" t="s">
        <v>7</v>
      </c>
      <c r="K107" s="4" t="s">
        <v>8</v>
      </c>
      <c r="L107" s="17">
        <f t="shared" si="2"/>
        <v>0</v>
      </c>
      <c r="M107" s="5">
        <f t="shared" si="3"/>
        <v>0</v>
      </c>
    </row>
    <row r="108" spans="1:13" ht="14.5">
      <c r="A108" s="3">
        <v>60</v>
      </c>
      <c r="B108" s="15">
        <f>AVERAGE(Sheet1!G106:G1443,Sheet1!D106:D1443)</f>
        <v>6322.4184683954618</v>
      </c>
      <c r="C108" s="3"/>
      <c r="J108" s="4" t="s">
        <v>10</v>
      </c>
      <c r="K108" s="4" t="s">
        <v>8</v>
      </c>
      <c r="L108" s="17">
        <f t="shared" si="2"/>
        <v>0</v>
      </c>
      <c r="M108" s="5">
        <f t="shared" si="3"/>
        <v>0</v>
      </c>
    </row>
    <row r="109" spans="1:13" ht="14.5">
      <c r="A109" s="3">
        <v>60</v>
      </c>
      <c r="B109" s="15">
        <f>AVERAGE(Sheet1!G107:G1444,Sheet1!D107:D1444)</f>
        <v>6308.8383008921319</v>
      </c>
      <c r="C109" s="3"/>
      <c r="J109" s="4" t="s">
        <v>7</v>
      </c>
      <c r="K109" s="4" t="s">
        <v>11</v>
      </c>
      <c r="L109" s="17">
        <f t="shared" si="2"/>
        <v>1</v>
      </c>
      <c r="M109" s="5">
        <f t="shared" si="3"/>
        <v>0</v>
      </c>
    </row>
    <row r="110" spans="1:13" ht="14.5">
      <c r="A110" s="3">
        <v>60</v>
      </c>
      <c r="B110" s="15">
        <f>AVERAGE(Sheet1!G108:G1445,Sheet1!D108:D1445)</f>
        <v>6309.0293344155825</v>
      </c>
      <c r="C110" s="3"/>
      <c r="J110" s="4" t="s">
        <v>7</v>
      </c>
      <c r="K110" s="4" t="s">
        <v>8</v>
      </c>
      <c r="L110" s="17">
        <f t="shared" si="2"/>
        <v>0</v>
      </c>
      <c r="M110" s="5">
        <f t="shared" si="3"/>
        <v>0</v>
      </c>
    </row>
    <row r="111" spans="1:13" ht="14.5">
      <c r="A111" s="3">
        <v>60</v>
      </c>
      <c r="B111" s="15">
        <f>AVERAGE(Sheet1!G109:G1446,Sheet1!D109:D1446)</f>
        <v>6308.8280584890317</v>
      </c>
      <c r="C111" s="3"/>
      <c r="J111" s="4" t="s">
        <v>7</v>
      </c>
      <c r="K111" s="4" t="s">
        <v>8</v>
      </c>
      <c r="L111" s="17">
        <f t="shared" si="2"/>
        <v>0</v>
      </c>
      <c r="M111" s="5">
        <f t="shared" si="3"/>
        <v>0</v>
      </c>
    </row>
    <row r="112" spans="1:13" ht="14.5">
      <c r="A112" s="3">
        <v>60</v>
      </c>
      <c r="B112" s="15">
        <f>AVERAGE(Sheet1!G110:G1447,Sheet1!D110:D1447)</f>
        <v>6308.7778495934954</v>
      </c>
      <c r="C112" s="3"/>
      <c r="J112" s="4" t="s">
        <v>7</v>
      </c>
      <c r="K112" s="4" t="s">
        <v>8</v>
      </c>
      <c r="L112" s="17">
        <f t="shared" si="2"/>
        <v>0</v>
      </c>
      <c r="M112" s="5">
        <f t="shared" si="3"/>
        <v>0</v>
      </c>
    </row>
    <row r="113" spans="1:13" ht="14.5">
      <c r="A113" s="3">
        <v>60</v>
      </c>
      <c r="B113" s="15">
        <f>AVERAGE(Sheet1!G111:G1448,Sheet1!D111:D1448)</f>
        <v>6308.8160740439371</v>
      </c>
      <c r="C113" s="3"/>
      <c r="J113" s="4" t="s">
        <v>7</v>
      </c>
      <c r="K113" s="4" t="s">
        <v>8</v>
      </c>
      <c r="L113" s="17">
        <f t="shared" si="2"/>
        <v>0</v>
      </c>
      <c r="M113" s="5">
        <f t="shared" si="3"/>
        <v>0</v>
      </c>
    </row>
    <row r="114" spans="1:13" ht="14.5">
      <c r="A114" s="3">
        <v>60</v>
      </c>
      <c r="B114" s="15">
        <f>AVERAGE(Sheet1!G112:G1449,Sheet1!D112:D1449)</f>
        <v>6295.6274226384357</v>
      </c>
      <c r="C114" s="3"/>
      <c r="J114" s="4" t="s">
        <v>10</v>
      </c>
      <c r="K114" s="4" t="s">
        <v>11</v>
      </c>
      <c r="L114" s="17">
        <f t="shared" si="2"/>
        <v>0</v>
      </c>
      <c r="M114" s="5">
        <f t="shared" si="3"/>
        <v>1</v>
      </c>
    </row>
    <row r="115" spans="1:13" ht="14.5">
      <c r="A115" s="3">
        <v>60</v>
      </c>
      <c r="B115" s="15">
        <f>AVERAGE(Sheet1!G113:G1450,Sheet1!D113:D1450)</f>
        <v>6280.9239568052144</v>
      </c>
      <c r="C115" s="3"/>
      <c r="J115" s="4" t="s">
        <v>7</v>
      </c>
      <c r="K115" s="4" t="s">
        <v>11</v>
      </c>
      <c r="L115" s="17">
        <f t="shared" si="2"/>
        <v>1</v>
      </c>
      <c r="M115" s="5">
        <f t="shared" si="3"/>
        <v>0</v>
      </c>
    </row>
    <row r="116" spans="1:13" ht="14.5">
      <c r="A116" s="3">
        <v>60</v>
      </c>
      <c r="B116" s="15">
        <f>AVERAGE(Sheet1!G114:G1451,Sheet1!D114:D1451)</f>
        <v>6280.8902120717767</v>
      </c>
      <c r="C116" s="3"/>
      <c r="J116" s="4" t="s">
        <v>10</v>
      </c>
      <c r="K116" s="4" t="s">
        <v>8</v>
      </c>
      <c r="L116" s="17">
        <f t="shared" si="2"/>
        <v>0</v>
      </c>
      <c r="M116" s="5">
        <f t="shared" si="3"/>
        <v>0</v>
      </c>
    </row>
    <row r="117" spans="1:13" ht="14.5">
      <c r="A117" s="3">
        <v>60</v>
      </c>
      <c r="B117" s="15">
        <f>AVERAGE(Sheet1!G115:G1452,Sheet1!D115:D1452)</f>
        <v>6280.6279632653059</v>
      </c>
      <c r="C117" s="3"/>
      <c r="J117" s="4" t="s">
        <v>10</v>
      </c>
      <c r="K117" s="4" t="s">
        <v>8</v>
      </c>
      <c r="L117" s="17">
        <f t="shared" si="2"/>
        <v>0</v>
      </c>
      <c r="M117" s="5">
        <f t="shared" si="3"/>
        <v>0</v>
      </c>
    </row>
    <row r="118" spans="1:13" ht="14.5">
      <c r="A118" s="3">
        <v>59</v>
      </c>
      <c r="B118" s="15">
        <f>AVERAGE(Sheet1!G116:G1453,Sheet1!D116:D1453)</f>
        <v>6264.2760130718952</v>
      </c>
      <c r="C118" s="3"/>
      <c r="J118" s="4" t="s">
        <v>7</v>
      </c>
      <c r="K118" s="4" t="s">
        <v>11</v>
      </c>
      <c r="L118" s="17">
        <f t="shared" si="2"/>
        <v>1</v>
      </c>
      <c r="M118" s="5">
        <f t="shared" si="3"/>
        <v>0</v>
      </c>
    </row>
    <row r="119" spans="1:13" ht="14.5">
      <c r="A119" s="3">
        <v>59</v>
      </c>
      <c r="B119" s="15">
        <f>AVERAGE(Sheet1!G117:G1454,Sheet1!D117:D1454)</f>
        <v>6263.6727514309077</v>
      </c>
      <c r="C119" s="3"/>
      <c r="J119" s="4" t="s">
        <v>10</v>
      </c>
      <c r="K119" s="4" t="s">
        <v>8</v>
      </c>
      <c r="L119" s="17">
        <f t="shared" si="2"/>
        <v>0</v>
      </c>
      <c r="M119" s="5">
        <f t="shared" si="3"/>
        <v>0</v>
      </c>
    </row>
    <row r="120" spans="1:13" ht="14.5">
      <c r="A120" s="3">
        <v>59</v>
      </c>
      <c r="B120" s="15">
        <f>AVERAGE(Sheet1!G118:G1455,Sheet1!D118:D1455)</f>
        <v>6256.4466489361703</v>
      </c>
      <c r="C120" s="3"/>
      <c r="J120" s="4" t="s">
        <v>7</v>
      </c>
      <c r="K120" s="4" t="s">
        <v>11</v>
      </c>
      <c r="L120" s="17">
        <f t="shared" si="2"/>
        <v>1</v>
      </c>
      <c r="M120" s="5">
        <f t="shared" si="3"/>
        <v>0</v>
      </c>
    </row>
    <row r="121" spans="1:13" ht="14.5">
      <c r="A121" s="3">
        <v>59</v>
      </c>
      <c r="B121" s="15">
        <f>AVERAGE(Sheet1!G119:G1456,Sheet1!D119:D1456)</f>
        <v>6256.3227559377574</v>
      </c>
      <c r="C121" s="3"/>
      <c r="J121" s="4" t="s">
        <v>10</v>
      </c>
      <c r="K121" s="4" t="s">
        <v>8</v>
      </c>
      <c r="L121" s="17">
        <f t="shared" si="2"/>
        <v>0</v>
      </c>
      <c r="M121" s="5">
        <f t="shared" si="3"/>
        <v>0</v>
      </c>
    </row>
    <row r="122" spans="1:13" ht="14.5">
      <c r="A122" s="3">
        <v>59</v>
      </c>
      <c r="B122" s="15">
        <f>AVERAGE(Sheet1!G120:G1457,Sheet1!D120:D1457)</f>
        <v>6256.6380614754107</v>
      </c>
      <c r="C122" s="3"/>
      <c r="J122" s="4" t="s">
        <v>7</v>
      </c>
      <c r="K122" s="4" t="s">
        <v>8</v>
      </c>
      <c r="L122" s="17">
        <f t="shared" si="2"/>
        <v>0</v>
      </c>
      <c r="M122" s="5">
        <f t="shared" si="3"/>
        <v>0</v>
      </c>
    </row>
    <row r="123" spans="1:13" ht="14.5">
      <c r="A123" s="3">
        <v>59</v>
      </c>
      <c r="B123" s="15">
        <f>AVERAGE(Sheet1!G121:G1458,Sheet1!D121:D1458)</f>
        <v>6256.0264889253503</v>
      </c>
      <c r="C123" s="3"/>
      <c r="J123" s="4" t="s">
        <v>10</v>
      </c>
      <c r="K123" s="4" t="s">
        <v>8</v>
      </c>
      <c r="L123" s="17">
        <f t="shared" si="2"/>
        <v>0</v>
      </c>
      <c r="M123" s="5">
        <f t="shared" si="3"/>
        <v>0</v>
      </c>
    </row>
    <row r="124" spans="1:13" ht="14.5">
      <c r="A124" s="3">
        <v>59</v>
      </c>
      <c r="B124" s="15">
        <f>AVERAGE(Sheet1!G122:G1459,Sheet1!D122:D1459)</f>
        <v>6256.0992405582929</v>
      </c>
      <c r="C124" s="3"/>
      <c r="J124" s="4" t="s">
        <v>7</v>
      </c>
      <c r="K124" s="4" t="s">
        <v>8</v>
      </c>
      <c r="L124" s="17">
        <f t="shared" si="2"/>
        <v>0</v>
      </c>
      <c r="M124" s="5">
        <f t="shared" si="3"/>
        <v>0</v>
      </c>
    </row>
    <row r="125" spans="1:13" ht="14.5">
      <c r="A125" s="3">
        <v>59</v>
      </c>
      <c r="B125" s="15">
        <f>AVERAGE(Sheet1!G123:G1460,Sheet1!D123:D1460)</f>
        <v>6255.2440920295812</v>
      </c>
      <c r="C125" s="3"/>
      <c r="J125" s="4" t="s">
        <v>10</v>
      </c>
      <c r="K125" s="4" t="s">
        <v>8</v>
      </c>
      <c r="L125" s="17">
        <f t="shared" si="2"/>
        <v>0</v>
      </c>
      <c r="M125" s="5">
        <f t="shared" si="3"/>
        <v>0</v>
      </c>
    </row>
    <row r="126" spans="1:13" ht="14.5">
      <c r="A126" s="3">
        <v>59</v>
      </c>
      <c r="B126" s="15">
        <f>AVERAGE(Sheet1!G124:G1461,Sheet1!D124:D1461)</f>
        <v>6255.0712705592114</v>
      </c>
      <c r="C126" s="3"/>
      <c r="J126" s="4" t="s">
        <v>7</v>
      </c>
      <c r="K126" s="4" t="s">
        <v>8</v>
      </c>
      <c r="L126" s="17">
        <f t="shared" si="2"/>
        <v>0</v>
      </c>
      <c r="M126" s="5">
        <f t="shared" si="3"/>
        <v>0</v>
      </c>
    </row>
    <row r="127" spans="1:13" ht="14.5">
      <c r="A127" s="3">
        <v>59</v>
      </c>
      <c r="B127" s="15">
        <f>AVERAGE(Sheet1!G125:G1462,Sheet1!D125:D1462)</f>
        <v>6240.5084526748979</v>
      </c>
      <c r="C127" s="3"/>
      <c r="J127" s="4" t="s">
        <v>10</v>
      </c>
      <c r="K127" s="4" t="s">
        <v>11</v>
      </c>
      <c r="L127" s="17">
        <f t="shared" si="2"/>
        <v>0</v>
      </c>
      <c r="M127" s="5">
        <f t="shared" si="3"/>
        <v>1</v>
      </c>
    </row>
    <row r="128" spans="1:13" ht="14.5">
      <c r="A128" s="3">
        <v>59</v>
      </c>
      <c r="B128" s="15">
        <f>AVERAGE(Sheet1!G126:G1463,Sheet1!D126:D1463)</f>
        <v>6233.9977924217474</v>
      </c>
      <c r="C128" s="3"/>
      <c r="J128" s="4" t="s">
        <v>10</v>
      </c>
      <c r="K128" s="4" t="s">
        <v>8</v>
      </c>
      <c r="L128" s="17">
        <f t="shared" si="2"/>
        <v>0</v>
      </c>
      <c r="M128" s="5">
        <f t="shared" si="3"/>
        <v>0</v>
      </c>
    </row>
    <row r="129" spans="1:13" ht="14.5">
      <c r="A129" s="3">
        <v>59</v>
      </c>
      <c r="B129" s="15">
        <f>AVERAGE(Sheet1!G127:G1464,Sheet1!D127:D1464)</f>
        <v>6230.1523660346247</v>
      </c>
      <c r="C129" s="3"/>
      <c r="J129" s="4" t="s">
        <v>7</v>
      </c>
      <c r="K129" s="4" t="s">
        <v>8</v>
      </c>
      <c r="L129" s="17">
        <f t="shared" si="2"/>
        <v>0</v>
      </c>
      <c r="M129" s="5">
        <f t="shared" si="3"/>
        <v>0</v>
      </c>
    </row>
    <row r="130" spans="1:13" ht="14.5">
      <c r="A130" s="3">
        <v>59</v>
      </c>
      <c r="B130" s="15">
        <f>AVERAGE(Sheet1!G128:G1465,Sheet1!D128:D1465)</f>
        <v>6229.9594678217827</v>
      </c>
      <c r="C130" s="3"/>
      <c r="J130" s="4" t="s">
        <v>7</v>
      </c>
      <c r="K130" s="4" t="s">
        <v>8</v>
      </c>
      <c r="L130" s="17">
        <f t="shared" si="2"/>
        <v>0</v>
      </c>
      <c r="M130" s="5">
        <f t="shared" si="3"/>
        <v>0</v>
      </c>
    </row>
    <row r="131" spans="1:13" ht="14.5">
      <c r="A131" s="3">
        <v>59</v>
      </c>
      <c r="B131" s="15">
        <f>AVERAGE(Sheet1!G129:G1466,Sheet1!D129:D1466)</f>
        <v>6229.7715772089177</v>
      </c>
      <c r="C131" s="3"/>
      <c r="J131" s="4" t="s">
        <v>7</v>
      </c>
      <c r="K131" s="4" t="s">
        <v>8</v>
      </c>
      <c r="L131" s="17">
        <f t="shared" si="2"/>
        <v>0</v>
      </c>
      <c r="M131" s="5">
        <f t="shared" si="3"/>
        <v>0</v>
      </c>
    </row>
    <row r="132" spans="1:13" ht="14.5">
      <c r="A132" s="3">
        <v>59</v>
      </c>
      <c r="B132" s="15">
        <f>AVERAGE(Sheet1!G130:G1467,Sheet1!D130:D1467)</f>
        <v>6224.3090826446278</v>
      </c>
      <c r="C132" s="3"/>
      <c r="J132" s="4" t="s">
        <v>10</v>
      </c>
      <c r="K132" s="4" t="s">
        <v>11</v>
      </c>
      <c r="L132" s="17">
        <f t="shared" si="2"/>
        <v>0</v>
      </c>
      <c r="M132" s="5">
        <f t="shared" si="3"/>
        <v>1</v>
      </c>
    </row>
    <row r="133" spans="1:13" ht="14.5">
      <c r="A133" s="3">
        <v>59</v>
      </c>
      <c r="B133" s="15">
        <f>AVERAGE(Sheet1!G131:G1468,Sheet1!D131:D1468)</f>
        <v>6224.4410132340763</v>
      </c>
      <c r="C133" s="3"/>
      <c r="J133" s="4" t="s">
        <v>7</v>
      </c>
      <c r="K133" s="4" t="s">
        <v>8</v>
      </c>
      <c r="L133" s="17">
        <f t="shared" si="2"/>
        <v>0</v>
      </c>
      <c r="M133" s="5">
        <f t="shared" si="3"/>
        <v>0</v>
      </c>
    </row>
    <row r="134" spans="1:13" ht="14.5">
      <c r="A134" s="3">
        <v>59</v>
      </c>
      <c r="B134" s="15">
        <f>AVERAGE(Sheet1!G132:G1469,Sheet1!D132:D1469)</f>
        <v>6224.5255960264894</v>
      </c>
      <c r="C134" s="3"/>
      <c r="J134" s="4" t="s">
        <v>10</v>
      </c>
      <c r="K134" s="4" t="s">
        <v>8</v>
      </c>
      <c r="L134" s="17">
        <f t="shared" ref="L134:L197" si="4">IF(AND(J134="male", K134="yes"),1,0)</f>
        <v>0</v>
      </c>
      <c r="M134" s="5">
        <f t="shared" ref="M134:M197" si="5">IF(AND(J134="female", K134="yes"), 1, 0)</f>
        <v>0</v>
      </c>
    </row>
    <row r="135" spans="1:13" ht="14.5">
      <c r="A135" s="3">
        <v>59</v>
      </c>
      <c r="B135" s="15">
        <f>AVERAGE(Sheet1!G133:G1470,Sheet1!D133:D1470)</f>
        <v>6223.8788815244407</v>
      </c>
      <c r="C135" s="3"/>
      <c r="J135" s="4" t="s">
        <v>10</v>
      </c>
      <c r="K135" s="4" t="s">
        <v>8</v>
      </c>
      <c r="L135" s="17">
        <f t="shared" si="4"/>
        <v>0</v>
      </c>
      <c r="M135" s="5">
        <f t="shared" si="5"/>
        <v>0</v>
      </c>
    </row>
    <row r="136" spans="1:13" ht="14.5">
      <c r="A136" s="3">
        <v>59</v>
      </c>
      <c r="B136" s="15">
        <f>AVERAGE(Sheet1!G134:G1471,Sheet1!D134:D1471)</f>
        <v>6223.8065671641789</v>
      </c>
      <c r="C136" s="3"/>
      <c r="J136" s="4" t="s">
        <v>10</v>
      </c>
      <c r="K136" s="4" t="s">
        <v>8</v>
      </c>
      <c r="L136" s="17">
        <f t="shared" si="4"/>
        <v>0</v>
      </c>
      <c r="M136" s="5">
        <f t="shared" si="5"/>
        <v>0</v>
      </c>
    </row>
    <row r="137" spans="1:13" ht="14.5">
      <c r="A137" s="3">
        <v>59</v>
      </c>
      <c r="B137" s="15">
        <f>AVERAGE(Sheet1!G135:G1472,Sheet1!D135:D1472)</f>
        <v>6223.8578838174262</v>
      </c>
      <c r="C137" s="3"/>
      <c r="J137" s="4" t="s">
        <v>7</v>
      </c>
      <c r="K137" s="4" t="s">
        <v>8</v>
      </c>
      <c r="L137" s="17">
        <f t="shared" si="4"/>
        <v>0</v>
      </c>
      <c r="M137" s="5">
        <f t="shared" si="5"/>
        <v>0</v>
      </c>
    </row>
    <row r="138" spans="1:13" ht="14.5">
      <c r="A138" s="3">
        <v>59</v>
      </c>
      <c r="B138" s="15">
        <f>AVERAGE(Sheet1!G136:G1473,Sheet1!D136:D1473)</f>
        <v>6223.053068936877</v>
      </c>
      <c r="C138" s="3"/>
      <c r="J138" s="4" t="s">
        <v>10</v>
      </c>
      <c r="K138" s="4" t="s">
        <v>8</v>
      </c>
      <c r="L138" s="17">
        <f t="shared" si="4"/>
        <v>0</v>
      </c>
      <c r="M138" s="5">
        <f t="shared" si="5"/>
        <v>0</v>
      </c>
    </row>
    <row r="139" spans="1:13" ht="14.5">
      <c r="A139" s="3">
        <v>59</v>
      </c>
      <c r="B139" s="15">
        <f>AVERAGE(Sheet1!G137:G1474,Sheet1!D137:D1474)</f>
        <v>6223.1412967581036</v>
      </c>
      <c r="C139" s="3"/>
      <c r="J139" s="4" t="s">
        <v>10</v>
      </c>
      <c r="K139" s="4" t="s">
        <v>8</v>
      </c>
      <c r="L139" s="17">
        <f t="shared" si="4"/>
        <v>0</v>
      </c>
      <c r="M139" s="5">
        <f t="shared" si="5"/>
        <v>0</v>
      </c>
    </row>
    <row r="140" spans="1:13" ht="14.5">
      <c r="A140" s="3">
        <v>59</v>
      </c>
      <c r="B140" s="15">
        <f>AVERAGE(Sheet1!G138:G1475,Sheet1!D138:D1475)</f>
        <v>6223.2749459234592</v>
      </c>
      <c r="C140" s="3"/>
      <c r="J140" s="4" t="s">
        <v>7</v>
      </c>
      <c r="K140" s="4" t="s">
        <v>8</v>
      </c>
      <c r="L140" s="17">
        <f t="shared" si="4"/>
        <v>0</v>
      </c>
      <c r="M140" s="5">
        <f t="shared" si="5"/>
        <v>0</v>
      </c>
    </row>
    <row r="141" spans="1:13" ht="14.5">
      <c r="A141" s="3">
        <v>59</v>
      </c>
      <c r="B141" s="15">
        <f>AVERAGE(Sheet1!G139:G1476,Sheet1!D139:D1476)</f>
        <v>6208.0689925062452</v>
      </c>
      <c r="C141" s="3"/>
      <c r="J141" s="4" t="s">
        <v>7</v>
      </c>
      <c r="K141" s="4" t="s">
        <v>11</v>
      </c>
      <c r="L141" s="17">
        <f t="shared" si="4"/>
        <v>1</v>
      </c>
      <c r="M141" s="5">
        <f t="shared" si="5"/>
        <v>0</v>
      </c>
    </row>
    <row r="142" spans="1:13" ht="14.5">
      <c r="A142" s="3">
        <v>59</v>
      </c>
      <c r="B142" s="15">
        <f>AVERAGE(Sheet1!G140:G1477,Sheet1!D140:D1477)</f>
        <v>6197.8621291666668</v>
      </c>
      <c r="C142" s="3"/>
      <c r="J142" s="4" t="s">
        <v>10</v>
      </c>
      <c r="K142" s="4" t="s">
        <v>8</v>
      </c>
      <c r="L142" s="17">
        <f t="shared" si="4"/>
        <v>0</v>
      </c>
      <c r="M142" s="5">
        <f t="shared" si="5"/>
        <v>0</v>
      </c>
    </row>
    <row r="143" spans="1:13" ht="14.5">
      <c r="A143" s="3">
        <v>58</v>
      </c>
      <c r="B143" s="15">
        <f>AVERAGE(Sheet1!G141:G1478,Sheet1!D141:D1478)</f>
        <v>6197.8819599666385</v>
      </c>
      <c r="C143" s="3"/>
      <c r="J143" s="4" t="s">
        <v>7</v>
      </c>
      <c r="K143" s="4" t="s">
        <v>8</v>
      </c>
      <c r="L143" s="17">
        <f t="shared" si="4"/>
        <v>0</v>
      </c>
      <c r="M143" s="5">
        <f t="shared" si="5"/>
        <v>0</v>
      </c>
    </row>
    <row r="144" spans="1:13" ht="14.5">
      <c r="A144" s="3">
        <v>58</v>
      </c>
      <c r="B144" s="15">
        <f>AVERAGE(Sheet1!G142:G1479,Sheet1!D142:D1479)</f>
        <v>6183.2314065108521</v>
      </c>
      <c r="C144" s="3"/>
      <c r="J144" s="4" t="s">
        <v>7</v>
      </c>
      <c r="K144" s="4" t="s">
        <v>11</v>
      </c>
      <c r="L144" s="17">
        <f t="shared" si="4"/>
        <v>1</v>
      </c>
      <c r="M144" s="5">
        <f t="shared" si="5"/>
        <v>0</v>
      </c>
    </row>
    <row r="145" spans="1:13" ht="14.5">
      <c r="A145" s="3">
        <v>58</v>
      </c>
      <c r="B145" s="15">
        <f>AVERAGE(Sheet1!G143:G1480,Sheet1!D143:D1480)</f>
        <v>6182.7122305764415</v>
      </c>
      <c r="C145" s="3"/>
      <c r="J145" s="4" t="s">
        <v>10</v>
      </c>
      <c r="K145" s="4" t="s">
        <v>8</v>
      </c>
      <c r="L145" s="17">
        <f t="shared" si="4"/>
        <v>0</v>
      </c>
      <c r="M145" s="5">
        <f t="shared" si="5"/>
        <v>0</v>
      </c>
    </row>
    <row r="146" spans="1:13" ht="14.5">
      <c r="A146" s="3">
        <v>58</v>
      </c>
      <c r="B146" s="15">
        <f>AVERAGE(Sheet1!G144:G1481,Sheet1!D144:D1481)</f>
        <v>6182.8868938127098</v>
      </c>
      <c r="C146" s="3"/>
      <c r="J146" s="4" t="s">
        <v>7</v>
      </c>
      <c r="K146" s="4" t="s">
        <v>8</v>
      </c>
      <c r="L146" s="17">
        <f t="shared" si="4"/>
        <v>0</v>
      </c>
      <c r="M146" s="5">
        <f t="shared" si="5"/>
        <v>0</v>
      </c>
    </row>
    <row r="147" spans="1:13" ht="14.5">
      <c r="A147" s="3">
        <v>58</v>
      </c>
      <c r="B147" s="15">
        <f>AVERAGE(Sheet1!G145:G1482,Sheet1!D145:D1482)</f>
        <v>6183.2987949790795</v>
      </c>
      <c r="C147" s="3"/>
      <c r="J147" s="4" t="s">
        <v>7</v>
      </c>
      <c r="K147" s="4" t="s">
        <v>8</v>
      </c>
      <c r="L147" s="17">
        <f t="shared" si="4"/>
        <v>0</v>
      </c>
      <c r="M147" s="5">
        <f t="shared" si="5"/>
        <v>0</v>
      </c>
    </row>
    <row r="148" spans="1:13" ht="14.5">
      <c r="A148" s="3">
        <v>58</v>
      </c>
      <c r="B148" s="15">
        <f>AVERAGE(Sheet1!G146:G1483,Sheet1!D146:D1483)</f>
        <v>6183.5629145728644</v>
      </c>
      <c r="C148" s="3"/>
      <c r="J148" s="4" t="s">
        <v>7</v>
      </c>
      <c r="K148" s="4" t="s">
        <v>8</v>
      </c>
      <c r="L148" s="17">
        <f t="shared" si="4"/>
        <v>0</v>
      </c>
      <c r="M148" s="5">
        <f t="shared" si="5"/>
        <v>0</v>
      </c>
    </row>
    <row r="149" spans="1:13" ht="14.5">
      <c r="A149" s="3">
        <v>58</v>
      </c>
      <c r="B149" s="15">
        <f>AVERAGE(Sheet1!G147:G1484,Sheet1!D147:D1484)</f>
        <v>6178.5921626152558</v>
      </c>
      <c r="C149" s="3"/>
      <c r="J149" s="4" t="s">
        <v>10</v>
      </c>
      <c r="K149" s="4" t="s">
        <v>8</v>
      </c>
      <c r="L149" s="17">
        <f t="shared" si="4"/>
        <v>0</v>
      </c>
      <c r="M149" s="5">
        <f t="shared" si="5"/>
        <v>0</v>
      </c>
    </row>
    <row r="150" spans="1:13" ht="14.5">
      <c r="A150" s="3">
        <v>58</v>
      </c>
      <c r="B150" s="15">
        <f>AVERAGE(Sheet1!G148:G1485,Sheet1!D148:D1485)</f>
        <v>6178.8102936241612</v>
      </c>
      <c r="C150" s="3"/>
      <c r="J150" s="4" t="s">
        <v>10</v>
      </c>
      <c r="K150" s="4" t="s">
        <v>8</v>
      </c>
      <c r="L150" s="17">
        <f t="shared" si="4"/>
        <v>0</v>
      </c>
      <c r="M150" s="5">
        <f t="shared" si="5"/>
        <v>0</v>
      </c>
    </row>
    <row r="151" spans="1:13" ht="14.5">
      <c r="A151" s="3">
        <v>58</v>
      </c>
      <c r="B151" s="15">
        <f>AVERAGE(Sheet1!G149:G1486,Sheet1!D149:D1486)</f>
        <v>6178.9836901763229</v>
      </c>
      <c r="C151" s="3"/>
      <c r="J151" s="4" t="s">
        <v>7</v>
      </c>
      <c r="K151" s="4" t="s">
        <v>8</v>
      </c>
      <c r="L151" s="17">
        <f t="shared" si="4"/>
        <v>0</v>
      </c>
      <c r="M151" s="5">
        <f t="shared" si="5"/>
        <v>0</v>
      </c>
    </row>
    <row r="152" spans="1:13" ht="14.5">
      <c r="A152" s="3">
        <v>58</v>
      </c>
      <c r="B152" s="15">
        <f>AVERAGE(Sheet1!G150:G1487,Sheet1!D150:D1487)</f>
        <v>6179.1944285714289</v>
      </c>
      <c r="C152" s="3"/>
      <c r="J152" s="4" t="s">
        <v>10</v>
      </c>
      <c r="K152" s="4" t="s">
        <v>8</v>
      </c>
      <c r="L152" s="17">
        <f t="shared" si="4"/>
        <v>0</v>
      </c>
      <c r="M152" s="5">
        <f t="shared" si="5"/>
        <v>0</v>
      </c>
    </row>
    <row r="153" spans="1:13" ht="14.5">
      <c r="A153" s="3">
        <v>58</v>
      </c>
      <c r="B153" s="15">
        <f>AVERAGE(Sheet1!G151:G1488,Sheet1!D151:D1488)</f>
        <v>6179.6131118587045</v>
      </c>
      <c r="C153" s="3"/>
      <c r="J153" s="4" t="s">
        <v>7</v>
      </c>
      <c r="K153" s="4" t="s">
        <v>8</v>
      </c>
      <c r="L153" s="17">
        <f t="shared" si="4"/>
        <v>0</v>
      </c>
      <c r="M153" s="5">
        <f t="shared" si="5"/>
        <v>0</v>
      </c>
    </row>
    <row r="154" spans="1:13" ht="14.5">
      <c r="A154" s="3">
        <v>58</v>
      </c>
      <c r="B154" s="15">
        <f>AVERAGE(Sheet1!G152:G1489,Sheet1!D152:D1489)</f>
        <v>6179.6704882154881</v>
      </c>
      <c r="C154" s="3"/>
      <c r="J154" s="4" t="s">
        <v>10</v>
      </c>
      <c r="K154" s="4" t="s">
        <v>8</v>
      </c>
      <c r="L154" s="17">
        <f t="shared" si="4"/>
        <v>0</v>
      </c>
      <c r="M154" s="5">
        <f t="shared" si="5"/>
        <v>0</v>
      </c>
    </row>
    <row r="155" spans="1:13" ht="14.5">
      <c r="A155" s="3">
        <v>58</v>
      </c>
      <c r="B155" s="15">
        <f>AVERAGE(Sheet1!G153:G1490,Sheet1!D153:D1490)</f>
        <v>6179.8882224094359</v>
      </c>
      <c r="C155" s="3"/>
      <c r="J155" s="4" t="s">
        <v>10</v>
      </c>
      <c r="K155" s="4" t="s">
        <v>8</v>
      </c>
      <c r="L155" s="17">
        <f t="shared" si="4"/>
        <v>0</v>
      </c>
      <c r="M155" s="5">
        <f t="shared" si="5"/>
        <v>0</v>
      </c>
    </row>
    <row r="156" spans="1:13" ht="14.5">
      <c r="A156" s="3">
        <v>58</v>
      </c>
      <c r="B156" s="15">
        <f>AVERAGE(Sheet1!G154:G1491,Sheet1!D154:D1491)</f>
        <v>6180.3072048903887</v>
      </c>
      <c r="C156" s="3"/>
      <c r="J156" s="4" t="s">
        <v>7</v>
      </c>
      <c r="K156" s="4" t="s">
        <v>8</v>
      </c>
      <c r="L156" s="17">
        <f t="shared" si="4"/>
        <v>0</v>
      </c>
      <c r="M156" s="5">
        <f t="shared" si="5"/>
        <v>0</v>
      </c>
    </row>
    <row r="157" spans="1:13" ht="14.5">
      <c r="A157" s="3">
        <v>58</v>
      </c>
      <c r="B157" s="15">
        <f>AVERAGE(Sheet1!G155:G1492,Sheet1!D155:D1492)</f>
        <v>6180.2775274261612</v>
      </c>
      <c r="C157" s="3"/>
      <c r="J157" s="4" t="s">
        <v>10</v>
      </c>
      <c r="K157" s="4" t="s">
        <v>8</v>
      </c>
      <c r="L157" s="17">
        <f t="shared" si="4"/>
        <v>0</v>
      </c>
      <c r="M157" s="5">
        <f t="shared" si="5"/>
        <v>0</v>
      </c>
    </row>
    <row r="158" spans="1:13" ht="14.5">
      <c r="A158" s="3">
        <v>58</v>
      </c>
      <c r="B158" s="15">
        <f>AVERAGE(Sheet1!G156:G1493,Sheet1!D156:D1493)</f>
        <v>6180.3319805743249</v>
      </c>
      <c r="C158" s="3"/>
      <c r="J158" s="4" t="s">
        <v>10</v>
      </c>
      <c r="K158" s="4" t="s">
        <v>8</v>
      </c>
      <c r="L158" s="17">
        <f t="shared" si="4"/>
        <v>0</v>
      </c>
      <c r="M158" s="5">
        <f t="shared" si="5"/>
        <v>0</v>
      </c>
    </row>
    <row r="159" spans="1:13" ht="14.5">
      <c r="A159" s="3">
        <v>58</v>
      </c>
      <c r="B159" s="15">
        <f>AVERAGE(Sheet1!G157:G1494,Sheet1!D157:D1494)</f>
        <v>6180.5546703296714</v>
      </c>
      <c r="C159" s="3"/>
      <c r="J159" s="4" t="s">
        <v>10</v>
      </c>
      <c r="K159" s="4" t="s">
        <v>8</v>
      </c>
      <c r="L159" s="17">
        <f t="shared" si="4"/>
        <v>0</v>
      </c>
      <c r="M159" s="5">
        <f t="shared" si="5"/>
        <v>0</v>
      </c>
    </row>
    <row r="160" spans="1:13" ht="14.5">
      <c r="A160" s="3">
        <v>58</v>
      </c>
      <c r="B160" s="15">
        <f>AVERAGE(Sheet1!G158:G1495,Sheet1!D158:D1495)</f>
        <v>6180.7716624365485</v>
      </c>
      <c r="C160" s="3"/>
      <c r="J160" s="4" t="s">
        <v>10</v>
      </c>
      <c r="K160" s="4" t="s">
        <v>8</v>
      </c>
      <c r="L160" s="17">
        <f t="shared" si="4"/>
        <v>0</v>
      </c>
      <c r="M160" s="5">
        <f t="shared" si="5"/>
        <v>0</v>
      </c>
    </row>
    <row r="161" spans="1:13" ht="14.5">
      <c r="A161" s="3">
        <v>58</v>
      </c>
      <c r="B161" s="15">
        <f>AVERAGE(Sheet1!G159:G1496,Sheet1!D159:D1496)</f>
        <v>6181.033141405589</v>
      </c>
      <c r="C161" s="3"/>
      <c r="J161" s="4" t="s">
        <v>7</v>
      </c>
      <c r="K161" s="4" t="s">
        <v>8</v>
      </c>
      <c r="L161" s="17">
        <f t="shared" si="4"/>
        <v>0</v>
      </c>
      <c r="M161" s="5">
        <f t="shared" si="5"/>
        <v>0</v>
      </c>
    </row>
    <row r="162" spans="1:13" ht="14.5">
      <c r="A162" s="3">
        <v>58</v>
      </c>
      <c r="B162" s="15">
        <f>AVERAGE(Sheet1!G160:G1497,Sheet1!D160:D1497)</f>
        <v>6181.4563559322032</v>
      </c>
      <c r="C162" s="3"/>
      <c r="J162" s="4" t="s">
        <v>7</v>
      </c>
      <c r="K162" s="4" t="s">
        <v>8</v>
      </c>
      <c r="L162" s="17">
        <f t="shared" si="4"/>
        <v>0</v>
      </c>
      <c r="M162" s="5">
        <f t="shared" si="5"/>
        <v>0</v>
      </c>
    </row>
    <row r="163" spans="1:13" ht="14.5">
      <c r="A163" s="3">
        <v>58</v>
      </c>
      <c r="B163" s="15">
        <f>AVERAGE(Sheet1!G161:G1498,Sheet1!D161:D1498)</f>
        <v>6181.5102459711625</v>
      </c>
      <c r="C163" s="3"/>
      <c r="J163" s="4" t="s">
        <v>10</v>
      </c>
      <c r="K163" s="4" t="s">
        <v>8</v>
      </c>
      <c r="L163" s="17">
        <f t="shared" si="4"/>
        <v>0</v>
      </c>
      <c r="M163" s="5">
        <f t="shared" si="5"/>
        <v>0</v>
      </c>
    </row>
    <row r="164" spans="1:13" ht="14.5">
      <c r="A164" s="3">
        <v>58</v>
      </c>
      <c r="B164" s="15">
        <f>AVERAGE(Sheet1!G162:G1499,Sheet1!D162:D1499)</f>
        <v>6181.2313242784385</v>
      </c>
      <c r="C164" s="3"/>
      <c r="J164" s="4" t="s">
        <v>10</v>
      </c>
      <c r="K164" s="4" t="s">
        <v>8</v>
      </c>
      <c r="L164" s="17">
        <f t="shared" si="4"/>
        <v>0</v>
      </c>
      <c r="M164" s="5">
        <f t="shared" si="5"/>
        <v>0</v>
      </c>
    </row>
    <row r="165" spans="1:13" ht="14.5">
      <c r="A165" s="3">
        <v>58</v>
      </c>
      <c r="B165" s="15">
        <f>AVERAGE(Sheet1!G163:G1500,Sheet1!D163:D1500)</f>
        <v>6181.4115293118102</v>
      </c>
      <c r="C165" s="3"/>
      <c r="J165" s="4" t="s">
        <v>7</v>
      </c>
      <c r="K165" s="4" t="s">
        <v>8</v>
      </c>
      <c r="L165" s="17">
        <f t="shared" si="4"/>
        <v>0</v>
      </c>
      <c r="M165" s="5">
        <f t="shared" si="5"/>
        <v>0</v>
      </c>
    </row>
    <row r="166" spans="1:13" ht="14.5">
      <c r="A166" s="3">
        <v>58</v>
      </c>
      <c r="B166" s="15">
        <f>AVERAGE(Sheet1!G164:G1501,Sheet1!D164:D1501)</f>
        <v>6181.8440561224488</v>
      </c>
      <c r="C166" s="3"/>
      <c r="J166" s="4" t="s">
        <v>7</v>
      </c>
      <c r="K166" s="4" t="s">
        <v>8</v>
      </c>
      <c r="L166" s="17">
        <f t="shared" si="4"/>
        <v>0</v>
      </c>
      <c r="M166" s="5">
        <f t="shared" si="5"/>
        <v>0</v>
      </c>
    </row>
    <row r="167" spans="1:13" ht="14.5">
      <c r="A167" s="3">
        <v>58</v>
      </c>
      <c r="B167" s="15">
        <f>AVERAGE(Sheet1!G165:G1502,Sheet1!D165:D1502)</f>
        <v>6181.9033489361709</v>
      </c>
      <c r="C167" s="3"/>
      <c r="J167" s="4" t="s">
        <v>10</v>
      </c>
      <c r="K167" s="4" t="s">
        <v>8</v>
      </c>
      <c r="L167" s="17">
        <f t="shared" si="4"/>
        <v>0</v>
      </c>
      <c r="M167" s="5">
        <f t="shared" si="5"/>
        <v>0</v>
      </c>
    </row>
    <row r="168" spans="1:13" ht="14.5">
      <c r="A168" s="3">
        <v>57</v>
      </c>
      <c r="B168" s="15">
        <f>AVERAGE(Sheet1!G166:G1503,Sheet1!D166:D1503)</f>
        <v>6182.0876235093701</v>
      </c>
      <c r="C168" s="3"/>
      <c r="J168" s="4" t="s">
        <v>7</v>
      </c>
      <c r="K168" s="4" t="s">
        <v>8</v>
      </c>
      <c r="L168" s="17">
        <f t="shared" si="4"/>
        <v>0</v>
      </c>
      <c r="M168" s="5">
        <f t="shared" si="5"/>
        <v>0</v>
      </c>
    </row>
    <row r="169" spans="1:13" ht="14.5">
      <c r="A169" s="3">
        <v>57</v>
      </c>
      <c r="B169" s="15">
        <f>AVERAGE(Sheet1!G167:G1504,Sheet1!D167:D1504)</f>
        <v>6182.5170843989781</v>
      </c>
      <c r="C169" s="3"/>
      <c r="J169" s="4" t="s">
        <v>7</v>
      </c>
      <c r="K169" s="4" t="s">
        <v>8</v>
      </c>
      <c r="L169" s="17">
        <f t="shared" si="4"/>
        <v>0</v>
      </c>
      <c r="M169" s="5">
        <f t="shared" si="5"/>
        <v>0</v>
      </c>
    </row>
    <row r="170" spans="1:13" ht="14.5">
      <c r="A170" s="3">
        <v>57</v>
      </c>
      <c r="B170" s="15">
        <f>AVERAGE(Sheet1!G168:G1505,Sheet1!D168:D1505)</f>
        <v>6169.2005716723561</v>
      </c>
      <c r="C170" s="3"/>
      <c r="J170" s="4" t="s">
        <v>10</v>
      </c>
      <c r="K170" s="4" t="s">
        <v>11</v>
      </c>
      <c r="L170" s="17">
        <f t="shared" si="4"/>
        <v>0</v>
      </c>
      <c r="M170" s="5">
        <f t="shared" si="5"/>
        <v>1</v>
      </c>
    </row>
    <row r="171" spans="1:13" ht="14.5">
      <c r="A171" s="3">
        <v>57</v>
      </c>
      <c r="B171" s="15">
        <f>AVERAGE(Sheet1!G169:G1506,Sheet1!D169:D1506)</f>
        <v>6169.0682877882155</v>
      </c>
      <c r="C171" s="3"/>
      <c r="J171" s="4" t="s">
        <v>10</v>
      </c>
      <c r="K171" s="4" t="s">
        <v>8</v>
      </c>
      <c r="L171" s="17">
        <f t="shared" si="4"/>
        <v>0</v>
      </c>
      <c r="M171" s="5">
        <f t="shared" si="5"/>
        <v>0</v>
      </c>
    </row>
    <row r="172" spans="1:13" ht="14.5">
      <c r="A172" s="3">
        <v>57</v>
      </c>
      <c r="B172" s="15">
        <f>AVERAGE(Sheet1!G170:G1507,Sheet1!D170:D1507)</f>
        <v>6169.3981324786337</v>
      </c>
      <c r="C172" s="3"/>
      <c r="J172" s="4" t="s">
        <v>7</v>
      </c>
      <c r="K172" s="4" t="s">
        <v>8</v>
      </c>
      <c r="L172" s="17">
        <f t="shared" si="4"/>
        <v>0</v>
      </c>
      <c r="M172" s="5">
        <f t="shared" si="5"/>
        <v>0</v>
      </c>
    </row>
    <row r="173" spans="1:13" ht="14.5">
      <c r="A173" s="3">
        <v>57</v>
      </c>
      <c r="B173" s="15">
        <f>AVERAGE(Sheet1!G171:G1508,Sheet1!D171:D1508)</f>
        <v>6169.6154918733973</v>
      </c>
      <c r="C173" s="3"/>
      <c r="J173" s="4" t="s">
        <v>10</v>
      </c>
      <c r="K173" s="4" t="s">
        <v>8</v>
      </c>
      <c r="L173" s="17">
        <f t="shared" si="4"/>
        <v>0</v>
      </c>
      <c r="M173" s="5">
        <f t="shared" si="5"/>
        <v>0</v>
      </c>
    </row>
    <row r="174" spans="1:13" ht="14.5">
      <c r="A174" s="3">
        <v>57</v>
      </c>
      <c r="B174" s="15">
        <f>AVERAGE(Sheet1!G172:G1509,Sheet1!D172:D1509)</f>
        <v>6169.7481720890428</v>
      </c>
      <c r="C174" s="3"/>
      <c r="J174" s="4" t="s">
        <v>10</v>
      </c>
      <c r="K174" s="4" t="s">
        <v>8</v>
      </c>
      <c r="L174" s="17">
        <f t="shared" si="4"/>
        <v>0</v>
      </c>
      <c r="M174" s="5">
        <f t="shared" si="5"/>
        <v>0</v>
      </c>
    </row>
    <row r="175" spans="1:13" ht="14.5">
      <c r="A175" s="3">
        <v>57</v>
      </c>
      <c r="B175" s="15">
        <f>AVERAGE(Sheet1!G173:G1510,Sheet1!D173:D1510)</f>
        <v>6169.9618466152542</v>
      </c>
      <c r="C175" s="3"/>
      <c r="J175" s="4" t="s">
        <v>10</v>
      </c>
      <c r="K175" s="4" t="s">
        <v>8</v>
      </c>
      <c r="L175" s="17">
        <f t="shared" si="4"/>
        <v>0</v>
      </c>
      <c r="M175" s="5">
        <f t="shared" si="5"/>
        <v>0</v>
      </c>
    </row>
    <row r="176" spans="1:13" ht="14.5">
      <c r="A176" s="3">
        <v>57</v>
      </c>
      <c r="B176" s="15">
        <f>AVERAGE(Sheet1!G174:G1511,Sheet1!D174:D1511)</f>
        <v>6170.3411963979433</v>
      </c>
      <c r="C176" s="3"/>
      <c r="J176" s="4" t="s">
        <v>10</v>
      </c>
      <c r="K176" s="4" t="s">
        <v>8</v>
      </c>
      <c r="L176" s="17">
        <f t="shared" si="4"/>
        <v>0</v>
      </c>
      <c r="M176" s="5">
        <f t="shared" si="5"/>
        <v>0</v>
      </c>
    </row>
    <row r="177" spans="1:13" ht="14.5">
      <c r="A177" s="3">
        <v>57</v>
      </c>
      <c r="B177" s="15">
        <f>AVERAGE(Sheet1!G175:G1512,Sheet1!D175:D1512)</f>
        <v>6154.7464163090153</v>
      </c>
      <c r="C177" s="3"/>
      <c r="J177" s="4" t="s">
        <v>7</v>
      </c>
      <c r="K177" s="4" t="s">
        <v>11</v>
      </c>
      <c r="L177" s="17">
        <f t="shared" si="4"/>
        <v>1</v>
      </c>
      <c r="M177" s="5">
        <f t="shared" si="5"/>
        <v>0</v>
      </c>
    </row>
    <row r="178" spans="1:13" ht="14.5">
      <c r="A178" s="3">
        <v>57</v>
      </c>
      <c r="B178" s="15">
        <f>AVERAGE(Sheet1!G176:G1513,Sheet1!D176:D1513)</f>
        <v>6154.3527018900377</v>
      </c>
      <c r="C178" s="3"/>
      <c r="J178" s="4" t="s">
        <v>10</v>
      </c>
      <c r="K178" s="4" t="s">
        <v>8</v>
      </c>
      <c r="L178" s="17">
        <f t="shared" si="4"/>
        <v>0</v>
      </c>
      <c r="M178" s="5">
        <f t="shared" si="5"/>
        <v>0</v>
      </c>
    </row>
    <row r="179" spans="1:13" ht="14.5">
      <c r="A179" s="3">
        <v>57</v>
      </c>
      <c r="B179" s="15">
        <f>AVERAGE(Sheet1!G177:G1514,Sheet1!D177:D1514)</f>
        <v>6153.4542949269162</v>
      </c>
      <c r="C179" s="3"/>
      <c r="J179" s="4" t="s">
        <v>10</v>
      </c>
      <c r="K179" s="4" t="s">
        <v>8</v>
      </c>
      <c r="L179" s="17">
        <f t="shared" si="4"/>
        <v>0</v>
      </c>
      <c r="M179" s="5">
        <f t="shared" si="5"/>
        <v>0</v>
      </c>
    </row>
    <row r="180" spans="1:13" ht="14.5">
      <c r="A180" s="3">
        <v>57</v>
      </c>
      <c r="B180" s="15">
        <f>AVERAGE(Sheet1!G178:G1515,Sheet1!D178:D1515)</f>
        <v>6149.2001936316728</v>
      </c>
      <c r="C180" s="3"/>
      <c r="J180" s="4" t="s">
        <v>10</v>
      </c>
      <c r="K180" s="4" t="s">
        <v>8</v>
      </c>
      <c r="L180" s="17">
        <f t="shared" si="4"/>
        <v>0</v>
      </c>
      <c r="M180" s="5">
        <f t="shared" si="5"/>
        <v>0</v>
      </c>
    </row>
    <row r="181" spans="1:13" ht="14.5">
      <c r="A181" s="3">
        <v>57</v>
      </c>
      <c r="B181" s="15">
        <f>AVERAGE(Sheet1!G179:G1516,Sheet1!D179:D1516)</f>
        <v>6149.3964814814854</v>
      </c>
      <c r="C181" s="3"/>
      <c r="J181" s="4" t="s">
        <v>10</v>
      </c>
      <c r="K181" s="4" t="s">
        <v>8</v>
      </c>
      <c r="L181" s="17">
        <f t="shared" si="4"/>
        <v>0</v>
      </c>
      <c r="M181" s="5">
        <f t="shared" si="5"/>
        <v>0</v>
      </c>
    </row>
    <row r="182" spans="1:13" ht="14.5">
      <c r="A182" s="3">
        <v>57</v>
      </c>
      <c r="B182" s="15">
        <f>AVERAGE(Sheet1!G180:G1517,Sheet1!D180:D1517)</f>
        <v>6142.8296206896584</v>
      </c>
      <c r="C182" s="3"/>
      <c r="J182" s="4" t="s">
        <v>10</v>
      </c>
      <c r="K182" s="4" t="s">
        <v>11</v>
      </c>
      <c r="L182" s="17">
        <f t="shared" si="4"/>
        <v>0</v>
      </c>
      <c r="M182" s="5">
        <f t="shared" si="5"/>
        <v>1</v>
      </c>
    </row>
    <row r="183" spans="1:13" ht="14.5">
      <c r="A183" s="3">
        <v>57</v>
      </c>
      <c r="B183" s="15">
        <f>AVERAGE(Sheet1!G181:G1518,Sheet1!D181:D1518)</f>
        <v>6143.3991673856799</v>
      </c>
      <c r="C183" s="3"/>
      <c r="J183" s="4" t="s">
        <v>7</v>
      </c>
      <c r="K183" s="4" t="s">
        <v>8</v>
      </c>
      <c r="L183" s="17">
        <f t="shared" si="4"/>
        <v>0</v>
      </c>
      <c r="M183" s="5">
        <f t="shared" si="5"/>
        <v>0</v>
      </c>
    </row>
    <row r="184" spans="1:13" ht="14.5">
      <c r="A184" s="3">
        <v>57</v>
      </c>
      <c r="B184" s="15">
        <f>AVERAGE(Sheet1!G182:G1519,Sheet1!D182:D1519)</f>
        <v>6143.7055872193459</v>
      </c>
      <c r="C184" s="3"/>
      <c r="J184" s="4" t="s">
        <v>7</v>
      </c>
      <c r="K184" s="4" t="s">
        <v>8</v>
      </c>
      <c r="L184" s="17">
        <f t="shared" si="4"/>
        <v>0</v>
      </c>
      <c r="M184" s="5">
        <f t="shared" si="5"/>
        <v>0</v>
      </c>
    </row>
    <row r="185" spans="1:13" ht="14.5">
      <c r="A185" s="3">
        <v>57</v>
      </c>
      <c r="B185" s="15">
        <f>AVERAGE(Sheet1!G183:G1520,Sheet1!D183:D1520)</f>
        <v>6137.2531114952499</v>
      </c>
      <c r="C185" s="3"/>
      <c r="J185" s="4" t="s">
        <v>7</v>
      </c>
      <c r="K185" s="4" t="s">
        <v>11</v>
      </c>
      <c r="L185" s="17">
        <f t="shared" si="4"/>
        <v>1</v>
      </c>
      <c r="M185" s="5">
        <f t="shared" si="5"/>
        <v>0</v>
      </c>
    </row>
    <row r="186" spans="1:13" ht="14.5">
      <c r="A186" s="3">
        <v>57</v>
      </c>
      <c r="B186" s="15">
        <f>AVERAGE(Sheet1!G184:G1521,Sheet1!D184:D1521)</f>
        <v>6137.3951427335678</v>
      </c>
      <c r="C186" s="3"/>
      <c r="J186" s="4" t="s">
        <v>7</v>
      </c>
      <c r="K186" s="4" t="s">
        <v>8</v>
      </c>
      <c r="L186" s="17">
        <f t="shared" si="4"/>
        <v>0</v>
      </c>
      <c r="M186" s="5">
        <f t="shared" si="5"/>
        <v>0</v>
      </c>
    </row>
    <row r="187" spans="1:13" ht="14.5">
      <c r="A187" s="3">
        <v>57</v>
      </c>
      <c r="B187" s="15">
        <f>AVERAGE(Sheet1!G185:G1522,Sheet1!D185:D1522)</f>
        <v>6137.499670995674</v>
      </c>
      <c r="C187" s="3"/>
      <c r="J187" s="4" t="s">
        <v>10</v>
      </c>
      <c r="K187" s="4" t="s">
        <v>8</v>
      </c>
      <c r="L187" s="17">
        <f t="shared" si="4"/>
        <v>0</v>
      </c>
      <c r="M187" s="5">
        <f t="shared" si="5"/>
        <v>0</v>
      </c>
    </row>
    <row r="188" spans="1:13" ht="14.5">
      <c r="A188" s="3">
        <v>57</v>
      </c>
      <c r="B188" s="15">
        <f>AVERAGE(Sheet1!G186:G1523,Sheet1!D186:D1523)</f>
        <v>6137.8203509532095</v>
      </c>
      <c r="C188" s="3"/>
      <c r="J188" s="4" t="s">
        <v>7</v>
      </c>
      <c r="K188" s="4" t="s">
        <v>8</v>
      </c>
      <c r="L188" s="17">
        <f t="shared" si="4"/>
        <v>0</v>
      </c>
      <c r="M188" s="5">
        <f t="shared" si="5"/>
        <v>0</v>
      </c>
    </row>
    <row r="189" spans="1:13" ht="14.5">
      <c r="A189" s="3">
        <v>57</v>
      </c>
      <c r="B189" s="15">
        <f>AVERAGE(Sheet1!G187:G1524,Sheet1!D187:D1524)</f>
        <v>6138.1327623590669</v>
      </c>
      <c r="C189" s="3"/>
      <c r="J189" s="4" t="s">
        <v>7</v>
      </c>
      <c r="K189" s="4" t="s">
        <v>8</v>
      </c>
      <c r="L189" s="17">
        <f t="shared" si="4"/>
        <v>0</v>
      </c>
      <c r="M189" s="5">
        <f t="shared" si="5"/>
        <v>0</v>
      </c>
    </row>
    <row r="190" spans="1:13" ht="14.5">
      <c r="A190" s="3">
        <v>57</v>
      </c>
      <c r="B190" s="15">
        <f>AVERAGE(Sheet1!G188:G1525,Sheet1!D188:D1525)</f>
        <v>6138.5333854166711</v>
      </c>
      <c r="C190" s="3"/>
      <c r="J190" s="4" t="s">
        <v>7</v>
      </c>
      <c r="K190" s="4" t="s">
        <v>8</v>
      </c>
      <c r="L190" s="17">
        <f t="shared" si="4"/>
        <v>0</v>
      </c>
      <c r="M190" s="5">
        <f t="shared" si="5"/>
        <v>0</v>
      </c>
    </row>
    <row r="191" spans="1:13" ht="14.5">
      <c r="A191" s="3">
        <v>57</v>
      </c>
      <c r="B191" s="15">
        <f>AVERAGE(Sheet1!G189:G1526,Sheet1!D189:D1526)</f>
        <v>6134.8705039096476</v>
      </c>
      <c r="C191" s="3"/>
      <c r="J191" s="4" t="s">
        <v>7</v>
      </c>
      <c r="K191" s="4" t="s">
        <v>8</v>
      </c>
      <c r="L191" s="17">
        <f t="shared" si="4"/>
        <v>0</v>
      </c>
      <c r="M191" s="5">
        <f t="shared" si="5"/>
        <v>0</v>
      </c>
    </row>
    <row r="192" spans="1:13" ht="14.5">
      <c r="A192" s="3">
        <v>57</v>
      </c>
      <c r="B192" s="15">
        <f>AVERAGE(Sheet1!G190:G1527,Sheet1!D190:D1527)</f>
        <v>6135.4301739130469</v>
      </c>
      <c r="C192" s="3"/>
      <c r="J192" s="4" t="s">
        <v>7</v>
      </c>
      <c r="K192" s="4" t="s">
        <v>8</v>
      </c>
      <c r="L192" s="17">
        <f t="shared" si="4"/>
        <v>0</v>
      </c>
      <c r="M192" s="5">
        <f t="shared" si="5"/>
        <v>0</v>
      </c>
    </row>
    <row r="193" spans="1:13" ht="14.5">
      <c r="A193" s="3">
        <v>57</v>
      </c>
      <c r="B193" s="15">
        <f>AVERAGE(Sheet1!G191:G1528,Sheet1!D191:D1528)</f>
        <v>6136.0009007832923</v>
      </c>
      <c r="C193" s="3"/>
      <c r="J193" s="4" t="s">
        <v>7</v>
      </c>
      <c r="K193" s="4" t="s">
        <v>8</v>
      </c>
      <c r="L193" s="17">
        <f t="shared" si="4"/>
        <v>0</v>
      </c>
      <c r="M193" s="5">
        <f t="shared" si="5"/>
        <v>0</v>
      </c>
    </row>
    <row r="194" spans="1:13" ht="14.5">
      <c r="A194" s="3">
        <v>56</v>
      </c>
      <c r="B194" s="15">
        <f>AVERAGE(Sheet1!G192:G1529,Sheet1!D192:D1529)</f>
        <v>6135.8444686411176</v>
      </c>
      <c r="C194" s="3"/>
      <c r="J194" s="4" t="s">
        <v>10</v>
      </c>
      <c r="K194" s="4" t="s">
        <v>8</v>
      </c>
      <c r="L194" s="17">
        <f t="shared" si="4"/>
        <v>0</v>
      </c>
      <c r="M194" s="5">
        <f t="shared" si="5"/>
        <v>0</v>
      </c>
    </row>
    <row r="195" spans="1:13" ht="14.5">
      <c r="A195" s="3">
        <v>56</v>
      </c>
      <c r="B195" s="15">
        <f>AVERAGE(Sheet1!G193:G1530,Sheet1!D193:D1530)</f>
        <v>6136.3592763731494</v>
      </c>
      <c r="C195" s="3"/>
      <c r="J195" s="4" t="s">
        <v>10</v>
      </c>
      <c r="K195" s="4" t="s">
        <v>8</v>
      </c>
      <c r="L195" s="17">
        <f t="shared" si="4"/>
        <v>0</v>
      </c>
      <c r="M195" s="5">
        <f t="shared" si="5"/>
        <v>0</v>
      </c>
    </row>
    <row r="196" spans="1:13" ht="14.5">
      <c r="A196" s="3">
        <v>56</v>
      </c>
      <c r="B196" s="15">
        <f>AVERAGE(Sheet1!G194:G1531,Sheet1!D194:D1531)</f>
        <v>6137.088041012219</v>
      </c>
      <c r="C196" s="3"/>
      <c r="J196" s="4" t="s">
        <v>7</v>
      </c>
      <c r="K196" s="4" t="s">
        <v>8</v>
      </c>
      <c r="L196" s="17">
        <f t="shared" si="4"/>
        <v>0</v>
      </c>
      <c r="M196" s="5">
        <f t="shared" si="5"/>
        <v>0</v>
      </c>
    </row>
    <row r="197" spans="1:13" ht="14.5">
      <c r="A197" s="3">
        <v>56</v>
      </c>
      <c r="B197" s="15">
        <f>AVERAGE(Sheet1!G195:G1532,Sheet1!D195:D1532)</f>
        <v>6137.6124934497839</v>
      </c>
      <c r="C197" s="3"/>
      <c r="J197" s="4" t="s">
        <v>10</v>
      </c>
      <c r="K197" s="4" t="s">
        <v>8</v>
      </c>
      <c r="L197" s="17">
        <f t="shared" si="4"/>
        <v>0</v>
      </c>
      <c r="M197" s="5">
        <f t="shared" si="5"/>
        <v>0</v>
      </c>
    </row>
    <row r="198" spans="1:13" ht="14.5">
      <c r="A198" s="3">
        <v>56</v>
      </c>
      <c r="B198" s="15">
        <f>AVERAGE(Sheet1!G196:G1533,Sheet1!D196:D1533)</f>
        <v>6133.1818006993035</v>
      </c>
      <c r="C198" s="3"/>
      <c r="J198" s="4" t="s">
        <v>7</v>
      </c>
      <c r="K198" s="4" t="s">
        <v>11</v>
      </c>
      <c r="L198" s="17">
        <f t="shared" ref="L198:L261" si="6">IF(AND(J198="male", K198="yes"),1,0)</f>
        <v>1</v>
      </c>
      <c r="M198" s="5">
        <f t="shared" ref="M198:M261" si="7">IF(AND(J198="female", K198="yes"), 1, 0)</f>
        <v>0</v>
      </c>
    </row>
    <row r="199" spans="1:13" ht="14.5">
      <c r="A199" s="3">
        <v>56</v>
      </c>
      <c r="B199" s="15">
        <f>AVERAGE(Sheet1!G197:G1534,Sheet1!D197:D1534)</f>
        <v>6133.278486439197</v>
      </c>
      <c r="C199" s="3"/>
      <c r="J199" s="4" t="s">
        <v>10</v>
      </c>
      <c r="K199" s="4" t="s">
        <v>8</v>
      </c>
      <c r="L199" s="17">
        <f t="shared" si="6"/>
        <v>0</v>
      </c>
      <c r="M199" s="5">
        <f t="shared" si="7"/>
        <v>0</v>
      </c>
    </row>
    <row r="200" spans="1:13" ht="14.5">
      <c r="A200" s="3">
        <v>56</v>
      </c>
      <c r="B200" s="15">
        <f>AVERAGE(Sheet1!G198:G1535,Sheet1!D198:D1535)</f>
        <v>6119.4191943958003</v>
      </c>
      <c r="C200" s="3"/>
      <c r="J200" s="4" t="s">
        <v>7</v>
      </c>
      <c r="K200" s="4" t="s">
        <v>11</v>
      </c>
      <c r="L200" s="17">
        <f t="shared" si="6"/>
        <v>1</v>
      </c>
      <c r="M200" s="5">
        <f t="shared" si="7"/>
        <v>0</v>
      </c>
    </row>
    <row r="201" spans="1:13" ht="14.5">
      <c r="A201" s="3">
        <v>56</v>
      </c>
      <c r="B201" s="15">
        <f>AVERAGE(Sheet1!G199:G1536,Sheet1!D199:D1536)</f>
        <v>6119.4066301489956</v>
      </c>
      <c r="C201" s="3"/>
      <c r="J201" s="4" t="s">
        <v>10</v>
      </c>
      <c r="K201" s="4" t="s">
        <v>8</v>
      </c>
      <c r="L201" s="17">
        <f t="shared" si="6"/>
        <v>0</v>
      </c>
      <c r="M201" s="5">
        <f t="shared" si="7"/>
        <v>0</v>
      </c>
    </row>
    <row r="202" spans="1:13" ht="14.5">
      <c r="A202" s="3">
        <v>56</v>
      </c>
      <c r="B202" s="15">
        <f>AVERAGE(Sheet1!G200:G1537,Sheet1!D200:D1537)</f>
        <v>6119.6612061403548</v>
      </c>
      <c r="C202" s="3"/>
      <c r="J202" s="4" t="s">
        <v>10</v>
      </c>
      <c r="K202" s="4" t="s">
        <v>8</v>
      </c>
      <c r="L202" s="17">
        <f t="shared" si="6"/>
        <v>0</v>
      </c>
      <c r="M202" s="5">
        <f t="shared" si="7"/>
        <v>0</v>
      </c>
    </row>
    <row r="203" spans="1:13" ht="14.5">
      <c r="A203" s="3">
        <v>56</v>
      </c>
      <c r="B203" s="15">
        <f>AVERAGE(Sheet1!G201:G1538,Sheet1!D201:D1538)</f>
        <v>6119.137085162427</v>
      </c>
      <c r="C203" s="3"/>
      <c r="J203" s="4" t="s">
        <v>10</v>
      </c>
      <c r="K203" s="4" t="s">
        <v>8</v>
      </c>
      <c r="L203" s="17">
        <f t="shared" si="6"/>
        <v>0</v>
      </c>
      <c r="M203" s="5">
        <f t="shared" si="7"/>
        <v>0</v>
      </c>
    </row>
    <row r="204" spans="1:13" ht="14.5">
      <c r="A204" s="3">
        <v>56</v>
      </c>
      <c r="B204" s="15">
        <f>AVERAGE(Sheet1!G202:G1539,Sheet1!D202:D1539)</f>
        <v>6113.0421572935002</v>
      </c>
      <c r="C204" s="3"/>
      <c r="J204" s="4" t="s">
        <v>7</v>
      </c>
      <c r="K204" s="4" t="s">
        <v>11</v>
      </c>
      <c r="L204" s="17">
        <f t="shared" si="6"/>
        <v>1</v>
      </c>
      <c r="M204" s="5">
        <f t="shared" si="7"/>
        <v>0</v>
      </c>
    </row>
    <row r="205" spans="1:13" ht="14.5">
      <c r="A205" s="3">
        <v>56</v>
      </c>
      <c r="B205" s="15">
        <f>AVERAGE(Sheet1!G203:G1540,Sheet1!D203:D1540)</f>
        <v>6113.3816754617437</v>
      </c>
      <c r="C205" s="3"/>
      <c r="J205" s="4" t="s">
        <v>10</v>
      </c>
      <c r="K205" s="4" t="s">
        <v>8</v>
      </c>
      <c r="L205" s="17">
        <f t="shared" si="6"/>
        <v>0</v>
      </c>
      <c r="M205" s="5">
        <f t="shared" si="7"/>
        <v>0</v>
      </c>
    </row>
    <row r="206" spans="1:13" ht="14.5">
      <c r="A206" s="3">
        <v>56</v>
      </c>
      <c r="B206" s="15">
        <f>AVERAGE(Sheet1!G204:G1541,Sheet1!D204:D1541)</f>
        <v>6114.0970598591584</v>
      </c>
      <c r="C206" s="3"/>
      <c r="J206" s="4" t="s">
        <v>7</v>
      </c>
      <c r="K206" s="4" t="s">
        <v>8</v>
      </c>
      <c r="L206" s="17">
        <f t="shared" si="6"/>
        <v>0</v>
      </c>
      <c r="M206" s="5">
        <f t="shared" si="7"/>
        <v>0</v>
      </c>
    </row>
    <row r="207" spans="1:13" ht="14.5">
      <c r="A207" s="3">
        <v>56</v>
      </c>
      <c r="B207" s="15">
        <f>AVERAGE(Sheet1!G205:G1542,Sheet1!D205:D1542)</f>
        <v>6114.5652422907524</v>
      </c>
      <c r="C207" s="3"/>
      <c r="J207" s="4" t="s">
        <v>7</v>
      </c>
      <c r="K207" s="4" t="s">
        <v>8</v>
      </c>
      <c r="L207" s="17">
        <f t="shared" si="6"/>
        <v>0</v>
      </c>
      <c r="M207" s="5">
        <f t="shared" si="7"/>
        <v>0</v>
      </c>
    </row>
    <row r="208" spans="1:13" ht="14.5">
      <c r="A208" s="3">
        <v>56</v>
      </c>
      <c r="B208" s="15">
        <f>AVERAGE(Sheet1!G206:G1543,Sheet1!D206:D1543)</f>
        <v>6114.38171075838</v>
      </c>
      <c r="C208" s="3"/>
      <c r="J208" s="4" t="s">
        <v>10</v>
      </c>
      <c r="K208" s="4" t="s">
        <v>8</v>
      </c>
      <c r="L208" s="17">
        <f t="shared" si="6"/>
        <v>0</v>
      </c>
      <c r="M208" s="5">
        <f t="shared" si="7"/>
        <v>0</v>
      </c>
    </row>
    <row r="209" spans="1:13" ht="14.5">
      <c r="A209" s="3">
        <v>56</v>
      </c>
      <c r="B209" s="15">
        <f>AVERAGE(Sheet1!G207:G1544,Sheet1!D207:D1544)</f>
        <v>6114.5868137687585</v>
      </c>
      <c r="C209" s="3"/>
      <c r="J209" s="4" t="s">
        <v>7</v>
      </c>
      <c r="K209" s="4" t="s">
        <v>8</v>
      </c>
      <c r="L209" s="17">
        <f t="shared" si="6"/>
        <v>0</v>
      </c>
      <c r="M209" s="5">
        <f t="shared" si="7"/>
        <v>0</v>
      </c>
    </row>
    <row r="210" spans="1:13" ht="14.5">
      <c r="A210" s="3">
        <v>56</v>
      </c>
      <c r="B210" s="15">
        <f>AVERAGE(Sheet1!G208:G1545,Sheet1!D208:D1545)</f>
        <v>6115.0985777385195</v>
      </c>
      <c r="C210" s="3"/>
      <c r="J210" s="4" t="s">
        <v>10</v>
      </c>
      <c r="K210" s="4" t="s">
        <v>8</v>
      </c>
      <c r="L210" s="17">
        <f t="shared" si="6"/>
        <v>0</v>
      </c>
      <c r="M210" s="5">
        <f t="shared" si="7"/>
        <v>0</v>
      </c>
    </row>
    <row r="211" spans="1:13" ht="14.5">
      <c r="A211" s="3">
        <v>56</v>
      </c>
      <c r="B211" s="15">
        <f>AVERAGE(Sheet1!G209:G1546,Sheet1!D209:D1546)</f>
        <v>6115.3514854111436</v>
      </c>
      <c r="C211" s="3"/>
      <c r="J211" s="4" t="s">
        <v>10</v>
      </c>
      <c r="K211" s="4" t="s">
        <v>8</v>
      </c>
      <c r="L211" s="17">
        <f t="shared" si="6"/>
        <v>0</v>
      </c>
      <c r="M211" s="5">
        <f t="shared" si="7"/>
        <v>0</v>
      </c>
    </row>
    <row r="212" spans="1:13" ht="14.5">
      <c r="A212" s="3">
        <v>56</v>
      </c>
      <c r="B212" s="15">
        <f>AVERAGE(Sheet1!G210:G1547,Sheet1!D210:D1547)</f>
        <v>6115.0318141592952</v>
      </c>
      <c r="C212" s="3"/>
      <c r="J212" s="4" t="s">
        <v>7</v>
      </c>
      <c r="K212" s="4" t="s">
        <v>8</v>
      </c>
      <c r="L212" s="17">
        <f t="shared" si="6"/>
        <v>0</v>
      </c>
      <c r="M212" s="5">
        <f t="shared" si="7"/>
        <v>0</v>
      </c>
    </row>
    <row r="213" spans="1:13" ht="14.5">
      <c r="A213" s="3">
        <v>56</v>
      </c>
      <c r="B213" s="15">
        <f>AVERAGE(Sheet1!G211:G1548,Sheet1!D211:D1548)</f>
        <v>6114.9713684676735</v>
      </c>
      <c r="C213" s="3"/>
      <c r="J213" s="4" t="s">
        <v>7</v>
      </c>
      <c r="K213" s="4" t="s">
        <v>8</v>
      </c>
      <c r="L213" s="17">
        <f t="shared" si="6"/>
        <v>0</v>
      </c>
      <c r="M213" s="5">
        <f t="shared" si="7"/>
        <v>0</v>
      </c>
    </row>
    <row r="214" spans="1:13" ht="14.5">
      <c r="A214" s="3">
        <v>56</v>
      </c>
      <c r="B214" s="15">
        <f>AVERAGE(Sheet1!G212:G1549,Sheet1!D212:D1549)</f>
        <v>6115.5270833333361</v>
      </c>
      <c r="C214" s="3"/>
      <c r="J214" s="4" t="s">
        <v>7</v>
      </c>
      <c r="K214" s="4" t="s">
        <v>8</v>
      </c>
      <c r="L214" s="17">
        <f t="shared" si="6"/>
        <v>0</v>
      </c>
      <c r="M214" s="5">
        <f t="shared" si="7"/>
        <v>0</v>
      </c>
    </row>
    <row r="215" spans="1:13" ht="14.5">
      <c r="A215" s="3">
        <v>56</v>
      </c>
      <c r="B215" s="15">
        <f>AVERAGE(Sheet1!G213:G1550,Sheet1!D213:D1550)</f>
        <v>6101.514299023961</v>
      </c>
      <c r="C215" s="3"/>
      <c r="J215" s="4" t="s">
        <v>7</v>
      </c>
      <c r="K215" s="4" t="s">
        <v>11</v>
      </c>
      <c r="L215" s="17">
        <f t="shared" si="6"/>
        <v>1</v>
      </c>
      <c r="M215" s="5">
        <f t="shared" si="7"/>
        <v>0</v>
      </c>
    </row>
    <row r="216" spans="1:13" ht="14.5">
      <c r="A216" s="3">
        <v>56</v>
      </c>
      <c r="B216" s="15">
        <f>AVERAGE(Sheet1!G214:G1551,Sheet1!D214:D1551)</f>
        <v>6101.7564431616383</v>
      </c>
      <c r="C216" s="3"/>
      <c r="J216" s="4" t="s">
        <v>10</v>
      </c>
      <c r="K216" s="4" t="s">
        <v>8</v>
      </c>
      <c r="L216" s="17">
        <f t="shared" si="6"/>
        <v>0</v>
      </c>
      <c r="M216" s="5">
        <f t="shared" si="7"/>
        <v>0</v>
      </c>
    </row>
    <row r="217" spans="1:13" ht="14.5">
      <c r="A217" s="3">
        <v>56</v>
      </c>
      <c r="B217" s="15">
        <f>AVERAGE(Sheet1!G215:G1552,Sheet1!D215:D1552)</f>
        <v>6101.9912800000038</v>
      </c>
      <c r="C217" s="3"/>
      <c r="J217" s="4" t="s">
        <v>10</v>
      </c>
      <c r="K217" s="4" t="s">
        <v>8</v>
      </c>
      <c r="L217" s="17">
        <f t="shared" si="6"/>
        <v>0</v>
      </c>
      <c r="M217" s="5">
        <f t="shared" si="7"/>
        <v>0</v>
      </c>
    </row>
    <row r="218" spans="1:13" ht="14.5">
      <c r="A218" s="3">
        <v>56</v>
      </c>
      <c r="B218" s="15">
        <f>AVERAGE(Sheet1!G216:G1553,Sheet1!D216:D1553)</f>
        <v>6102.714986654807</v>
      </c>
      <c r="C218" s="3"/>
      <c r="J218" s="4" t="s">
        <v>7</v>
      </c>
      <c r="K218" s="4" t="s">
        <v>8</v>
      </c>
      <c r="L218" s="17">
        <f t="shared" si="6"/>
        <v>0</v>
      </c>
      <c r="M218" s="5">
        <f t="shared" si="7"/>
        <v>0</v>
      </c>
    </row>
    <row r="219" spans="1:13" ht="14.5">
      <c r="A219" s="3">
        <v>56</v>
      </c>
      <c r="B219" s="15">
        <f>AVERAGE(Sheet1!G217:G1554,Sheet1!D217:D1554)</f>
        <v>6103.2100044523622</v>
      </c>
      <c r="C219" s="3"/>
      <c r="J219" s="4" t="s">
        <v>10</v>
      </c>
      <c r="K219" s="4" t="s">
        <v>8</v>
      </c>
      <c r="L219" s="17">
        <f t="shared" si="6"/>
        <v>0</v>
      </c>
      <c r="M219" s="5">
        <f t="shared" si="7"/>
        <v>0</v>
      </c>
    </row>
    <row r="220" spans="1:13" ht="14.5">
      <c r="A220" s="3">
        <v>55</v>
      </c>
      <c r="B220" s="15">
        <f>AVERAGE(Sheet1!G218:G1555,Sheet1!D218:D1555)</f>
        <v>6103.9284491978624</v>
      </c>
      <c r="C220" s="3"/>
      <c r="J220" s="4" t="s">
        <v>7</v>
      </c>
      <c r="K220" s="4" t="s">
        <v>8</v>
      </c>
      <c r="L220" s="17">
        <f t="shared" si="6"/>
        <v>0</v>
      </c>
      <c r="M220" s="5">
        <f t="shared" si="7"/>
        <v>0</v>
      </c>
    </row>
    <row r="221" spans="1:13" ht="14.5">
      <c r="A221" s="3">
        <v>55</v>
      </c>
      <c r="B221" s="15">
        <f>AVERAGE(Sheet1!G219:G1556,Sheet1!D219:D1556)</f>
        <v>6103.9004504906352</v>
      </c>
      <c r="C221" s="3"/>
      <c r="J221" s="4" t="s">
        <v>10</v>
      </c>
      <c r="K221" s="4" t="s">
        <v>8</v>
      </c>
      <c r="L221" s="17">
        <f t="shared" si="6"/>
        <v>0</v>
      </c>
      <c r="M221" s="5">
        <f t="shared" si="7"/>
        <v>0</v>
      </c>
    </row>
    <row r="222" spans="1:13" ht="14.5">
      <c r="A222" s="3">
        <v>55</v>
      </c>
      <c r="B222" s="15">
        <f>AVERAGE(Sheet1!G220:G1557,Sheet1!D220:D1557)</f>
        <v>6100.1404151785728</v>
      </c>
      <c r="C222" s="3"/>
      <c r="J222" s="4" t="s">
        <v>7</v>
      </c>
      <c r="K222" s="4" t="s">
        <v>8</v>
      </c>
      <c r="L222" s="17">
        <f t="shared" si="6"/>
        <v>0</v>
      </c>
      <c r="M222" s="5">
        <f t="shared" si="7"/>
        <v>0</v>
      </c>
    </row>
    <row r="223" spans="1:13" ht="14.5">
      <c r="A223" s="3">
        <v>55</v>
      </c>
      <c r="B223" s="15">
        <f>AVERAGE(Sheet1!G221:G1558,Sheet1!D221:D1558)</f>
        <v>6100.6398346738169</v>
      </c>
      <c r="C223" s="3"/>
      <c r="J223" s="4" t="s">
        <v>10</v>
      </c>
      <c r="K223" s="4" t="s">
        <v>8</v>
      </c>
      <c r="L223" s="17">
        <f t="shared" si="6"/>
        <v>0</v>
      </c>
      <c r="M223" s="5">
        <f t="shared" si="7"/>
        <v>0</v>
      </c>
    </row>
    <row r="224" spans="1:13" ht="14.5">
      <c r="A224" s="3">
        <v>55</v>
      </c>
      <c r="B224" s="15">
        <f>AVERAGE(Sheet1!G222:G1559,Sheet1!D222:D1559)</f>
        <v>6101.5231082289811</v>
      </c>
      <c r="C224" s="3"/>
      <c r="J224" s="4" t="s">
        <v>7</v>
      </c>
      <c r="K224" s="4" t="s">
        <v>8</v>
      </c>
      <c r="L224" s="17">
        <f t="shared" si="6"/>
        <v>0</v>
      </c>
      <c r="M224" s="5">
        <f t="shared" si="7"/>
        <v>0</v>
      </c>
    </row>
    <row r="225" spans="1:13" ht="14.5">
      <c r="A225" s="3">
        <v>55</v>
      </c>
      <c r="B225" s="15">
        <f>AVERAGE(Sheet1!G223:G1560,Sheet1!D223:D1560)</f>
        <v>6101.6662085944499</v>
      </c>
      <c r="C225" s="3"/>
      <c r="J225" s="4" t="s">
        <v>10</v>
      </c>
      <c r="K225" s="4" t="s">
        <v>8</v>
      </c>
      <c r="L225" s="17">
        <f t="shared" si="6"/>
        <v>0</v>
      </c>
      <c r="M225" s="5">
        <f t="shared" si="7"/>
        <v>0</v>
      </c>
    </row>
    <row r="226" spans="1:13" ht="14.5">
      <c r="A226" s="3">
        <v>55</v>
      </c>
      <c r="B226" s="15">
        <f>AVERAGE(Sheet1!G224:G1561,Sheet1!D224:D1561)</f>
        <v>6101.7617114695349</v>
      </c>
      <c r="C226" s="3"/>
      <c r="J226" s="4" t="s">
        <v>7</v>
      </c>
      <c r="K226" s="4" t="s">
        <v>8</v>
      </c>
      <c r="L226" s="17">
        <f t="shared" si="6"/>
        <v>0</v>
      </c>
      <c r="M226" s="5">
        <f t="shared" si="7"/>
        <v>0</v>
      </c>
    </row>
    <row r="227" spans="1:13" ht="14.5">
      <c r="A227" s="3">
        <v>55</v>
      </c>
      <c r="B227" s="15">
        <f>AVERAGE(Sheet1!G225:G1562,Sheet1!D225:D1562)</f>
        <v>6091.4668206278038</v>
      </c>
      <c r="C227" s="3"/>
      <c r="J227" s="4" t="s">
        <v>10</v>
      </c>
      <c r="K227" s="4" t="s">
        <v>8</v>
      </c>
      <c r="L227" s="17">
        <f t="shared" si="6"/>
        <v>0</v>
      </c>
      <c r="M227" s="5">
        <f t="shared" si="7"/>
        <v>0</v>
      </c>
    </row>
    <row r="228" spans="1:13" ht="14.5">
      <c r="A228" s="3">
        <v>55</v>
      </c>
      <c r="B228" s="15">
        <f>AVERAGE(Sheet1!G226:G1563,Sheet1!D226:D1563)</f>
        <v>6091.0775044883312</v>
      </c>
      <c r="C228" s="3"/>
      <c r="J228" s="4" t="s">
        <v>10</v>
      </c>
      <c r="K228" s="4" t="s">
        <v>8</v>
      </c>
      <c r="L228" s="17">
        <f t="shared" si="6"/>
        <v>0</v>
      </c>
      <c r="M228" s="5">
        <f t="shared" si="7"/>
        <v>0</v>
      </c>
    </row>
    <row r="229" spans="1:13" ht="14.5">
      <c r="A229" s="3">
        <v>55</v>
      </c>
      <c r="B229" s="15">
        <f>AVERAGE(Sheet1!G227:G1564,Sheet1!D227:D1564)</f>
        <v>6091.2131985624446</v>
      </c>
      <c r="C229" s="3"/>
      <c r="J229" s="4" t="s">
        <v>10</v>
      </c>
      <c r="K229" s="4" t="s">
        <v>8</v>
      </c>
      <c r="L229" s="17">
        <f t="shared" si="6"/>
        <v>0</v>
      </c>
      <c r="M229" s="5">
        <f t="shared" si="7"/>
        <v>0</v>
      </c>
    </row>
    <row r="230" spans="1:13" ht="14.5">
      <c r="A230" s="3">
        <v>55</v>
      </c>
      <c r="B230" s="15">
        <f>AVERAGE(Sheet1!G228:G1565,Sheet1!D228:D1565)</f>
        <v>6077.669464928058</v>
      </c>
      <c r="C230" s="3"/>
      <c r="J230" s="4" t="s">
        <v>7</v>
      </c>
      <c r="K230" s="4" t="s">
        <v>11</v>
      </c>
      <c r="L230" s="17">
        <f t="shared" si="6"/>
        <v>1</v>
      </c>
      <c r="M230" s="5">
        <f t="shared" si="7"/>
        <v>0</v>
      </c>
    </row>
    <row r="231" spans="1:13" ht="14.5">
      <c r="A231" s="3">
        <v>55</v>
      </c>
      <c r="B231" s="15">
        <f>AVERAGE(Sheet1!G229:G1566,Sheet1!D229:D1566)</f>
        <v>6073.7873087308735</v>
      </c>
      <c r="C231" s="3"/>
      <c r="J231" s="4" t="s">
        <v>7</v>
      </c>
      <c r="K231" s="4" t="s">
        <v>8</v>
      </c>
      <c r="L231" s="17">
        <f t="shared" si="6"/>
        <v>0</v>
      </c>
      <c r="M231" s="5">
        <f t="shared" si="7"/>
        <v>0</v>
      </c>
    </row>
    <row r="232" spans="1:13" ht="14.5">
      <c r="A232" s="3">
        <v>55</v>
      </c>
      <c r="B232" s="15">
        <f>AVERAGE(Sheet1!G230:G1567,Sheet1!D230:D1567)</f>
        <v>6073.9060495495505</v>
      </c>
      <c r="C232" s="3"/>
      <c r="J232" s="4" t="s">
        <v>10</v>
      </c>
      <c r="K232" s="4" t="s">
        <v>8</v>
      </c>
      <c r="L232" s="17">
        <f t="shared" si="6"/>
        <v>0</v>
      </c>
      <c r="M232" s="5">
        <f t="shared" si="7"/>
        <v>0</v>
      </c>
    </row>
    <row r="233" spans="1:13" ht="14.5">
      <c r="A233" s="3">
        <v>55</v>
      </c>
      <c r="B233" s="15">
        <f>AVERAGE(Sheet1!G231:G1568,Sheet1!D231:D1568)</f>
        <v>6074.5526555455381</v>
      </c>
      <c r="C233" s="3"/>
      <c r="J233" s="4" t="s">
        <v>10</v>
      </c>
      <c r="K233" s="4" t="s">
        <v>8</v>
      </c>
      <c r="L233" s="17">
        <f t="shared" si="6"/>
        <v>0</v>
      </c>
      <c r="M233" s="5">
        <f t="shared" si="7"/>
        <v>0</v>
      </c>
    </row>
    <row r="234" spans="1:13" ht="14.5">
      <c r="A234" s="3">
        <v>55</v>
      </c>
      <c r="B234" s="15">
        <f>AVERAGE(Sheet1!G232:G1569,Sheet1!D232:D1569)</f>
        <v>6074.3993637184121</v>
      </c>
      <c r="C234" s="3"/>
      <c r="J234" s="4" t="s">
        <v>10</v>
      </c>
      <c r="K234" s="4" t="s">
        <v>8</v>
      </c>
      <c r="L234" s="17">
        <f t="shared" si="6"/>
        <v>0</v>
      </c>
      <c r="M234" s="5">
        <f t="shared" si="7"/>
        <v>0</v>
      </c>
    </row>
    <row r="235" spans="1:13" ht="14.5">
      <c r="A235" s="3">
        <v>55</v>
      </c>
      <c r="B235" s="15">
        <f>AVERAGE(Sheet1!G233:G1570,Sheet1!D233:D1570)</f>
        <v>6075.0981752484195</v>
      </c>
      <c r="C235" s="3"/>
      <c r="J235" s="4" t="s">
        <v>7</v>
      </c>
      <c r="K235" s="4" t="s">
        <v>8</v>
      </c>
      <c r="L235" s="17">
        <f t="shared" si="6"/>
        <v>0</v>
      </c>
      <c r="M235" s="5">
        <f t="shared" si="7"/>
        <v>0</v>
      </c>
    </row>
    <row r="236" spans="1:13" ht="14.5">
      <c r="A236" s="3">
        <v>55</v>
      </c>
      <c r="B236" s="15">
        <f>AVERAGE(Sheet1!G234:G1571,Sheet1!D234:D1571)</f>
        <v>6075.0432504520795</v>
      </c>
      <c r="C236" s="3"/>
      <c r="J236" s="4" t="s">
        <v>10</v>
      </c>
      <c r="K236" s="4" t="s">
        <v>8</v>
      </c>
      <c r="L236" s="17">
        <f t="shared" si="6"/>
        <v>0</v>
      </c>
      <c r="M236" s="5">
        <f t="shared" si="7"/>
        <v>0</v>
      </c>
    </row>
    <row r="237" spans="1:13" ht="14.5">
      <c r="A237" s="3">
        <v>55</v>
      </c>
      <c r="B237" s="15">
        <f>AVERAGE(Sheet1!G235:G1572,Sheet1!D235:D1572)</f>
        <v>6060.439760180996</v>
      </c>
      <c r="C237" s="3"/>
      <c r="J237" s="4" t="s">
        <v>10</v>
      </c>
      <c r="K237" s="4" t="s">
        <v>11</v>
      </c>
      <c r="L237" s="17">
        <f t="shared" si="6"/>
        <v>0</v>
      </c>
      <c r="M237" s="5">
        <f t="shared" si="7"/>
        <v>1</v>
      </c>
    </row>
    <row r="238" spans="1:13" ht="14.5">
      <c r="A238" s="3">
        <v>55</v>
      </c>
      <c r="B238" s="15">
        <f>AVERAGE(Sheet1!G236:G1573,Sheet1!D236:D1573)</f>
        <v>6060.7684782608703</v>
      </c>
      <c r="C238" s="3"/>
      <c r="J238" s="4" t="s">
        <v>7</v>
      </c>
      <c r="K238" s="4" t="s">
        <v>8</v>
      </c>
      <c r="L238" s="17">
        <f t="shared" si="6"/>
        <v>0</v>
      </c>
      <c r="M238" s="5">
        <f t="shared" si="7"/>
        <v>0</v>
      </c>
    </row>
    <row r="239" spans="1:13" ht="14.5">
      <c r="A239" s="3">
        <v>55</v>
      </c>
      <c r="B239" s="15">
        <f>AVERAGE(Sheet1!G237:G1574,Sheet1!D237:D1574)</f>
        <v>6061.4606980961007</v>
      </c>
      <c r="C239" s="3"/>
      <c r="J239" s="4" t="s">
        <v>7</v>
      </c>
      <c r="K239" s="4" t="s">
        <v>8</v>
      </c>
      <c r="L239" s="17">
        <f t="shared" si="6"/>
        <v>0</v>
      </c>
      <c r="M239" s="5">
        <f t="shared" si="7"/>
        <v>0</v>
      </c>
    </row>
    <row r="240" spans="1:13" ht="14.5">
      <c r="A240" s="3">
        <v>55</v>
      </c>
      <c r="B240" s="15">
        <f>AVERAGE(Sheet1!G238:G1575,Sheet1!D238:D1575)</f>
        <v>6062.0625907441017</v>
      </c>
      <c r="C240" s="3"/>
      <c r="J240" s="4" t="s">
        <v>7</v>
      </c>
      <c r="K240" s="4" t="s">
        <v>8</v>
      </c>
      <c r="L240" s="17">
        <f t="shared" si="6"/>
        <v>0</v>
      </c>
      <c r="M240" s="5">
        <f t="shared" si="7"/>
        <v>0</v>
      </c>
    </row>
    <row r="241" spans="1:13" ht="14.5">
      <c r="A241" s="3">
        <v>55</v>
      </c>
      <c r="B241" s="15">
        <f>AVERAGE(Sheet1!G239:G1576,Sheet1!D239:D1576)</f>
        <v>6062.4429654859223</v>
      </c>
      <c r="C241" s="3"/>
      <c r="J241" s="4" t="s">
        <v>10</v>
      </c>
      <c r="K241" s="4" t="s">
        <v>8</v>
      </c>
      <c r="L241" s="17">
        <f t="shared" si="6"/>
        <v>0</v>
      </c>
      <c r="M241" s="5">
        <f t="shared" si="7"/>
        <v>0</v>
      </c>
    </row>
    <row r="242" spans="1:13" ht="14.5">
      <c r="A242" s="3">
        <v>55</v>
      </c>
      <c r="B242" s="15">
        <f>AVERAGE(Sheet1!G240:G1577,Sheet1!D240:D1577)</f>
        <v>6063.0413272727274</v>
      </c>
      <c r="C242" s="3"/>
      <c r="J242" s="4" t="s">
        <v>7</v>
      </c>
      <c r="K242" s="4" t="s">
        <v>8</v>
      </c>
      <c r="L242" s="17">
        <f t="shared" si="6"/>
        <v>0</v>
      </c>
      <c r="M242" s="5">
        <f t="shared" si="7"/>
        <v>0</v>
      </c>
    </row>
    <row r="243" spans="1:13" ht="14.5">
      <c r="A243" s="3">
        <v>55</v>
      </c>
      <c r="B243" s="15">
        <f>AVERAGE(Sheet1!G241:G1578,Sheet1!D241:D1578)</f>
        <v>6063.9109554140123</v>
      </c>
      <c r="C243" s="3"/>
      <c r="J243" s="4" t="s">
        <v>7</v>
      </c>
      <c r="K243" s="4" t="s">
        <v>8</v>
      </c>
      <c r="L243" s="17">
        <f t="shared" si="6"/>
        <v>0</v>
      </c>
      <c r="M243" s="5">
        <f t="shared" si="7"/>
        <v>0</v>
      </c>
    </row>
    <row r="244" spans="1:13" ht="14.5">
      <c r="A244" s="3">
        <v>55</v>
      </c>
      <c r="B244" s="15">
        <f>AVERAGE(Sheet1!G242:G1579,Sheet1!D242:D1579)</f>
        <v>6064.5188160291436</v>
      </c>
      <c r="C244" s="3"/>
      <c r="J244" s="4" t="s">
        <v>7</v>
      </c>
      <c r="K244" s="4" t="s">
        <v>8</v>
      </c>
      <c r="L244" s="17">
        <f t="shared" si="6"/>
        <v>0</v>
      </c>
      <c r="M244" s="5">
        <f t="shared" si="7"/>
        <v>0</v>
      </c>
    </row>
    <row r="245" spans="1:13" ht="14.5">
      <c r="A245" s="3">
        <v>55</v>
      </c>
      <c r="B245" s="15">
        <f>AVERAGE(Sheet1!G243:G1580,Sheet1!D243:D1580)</f>
        <v>6056.3430902461241</v>
      </c>
      <c r="C245" s="3"/>
      <c r="J245" s="4" t="s">
        <v>7</v>
      </c>
      <c r="K245" s="4" t="s">
        <v>8</v>
      </c>
      <c r="L245" s="17">
        <f t="shared" si="6"/>
        <v>0</v>
      </c>
      <c r="M245" s="5">
        <f t="shared" si="7"/>
        <v>0</v>
      </c>
    </row>
    <row r="246" spans="1:13" ht="14.5">
      <c r="A246" s="3">
        <v>54</v>
      </c>
      <c r="B246" s="15">
        <f>AVERAGE(Sheet1!G244:G1581,Sheet1!D244:D1581)</f>
        <v>6056.9855246350353</v>
      </c>
      <c r="C246" s="3"/>
      <c r="J246" s="4" t="s">
        <v>10</v>
      </c>
      <c r="K246" s="4" t="s">
        <v>8</v>
      </c>
      <c r="L246" s="17">
        <f t="shared" si="6"/>
        <v>0</v>
      </c>
      <c r="M246" s="5">
        <f t="shared" si="7"/>
        <v>0</v>
      </c>
    </row>
    <row r="247" spans="1:13" ht="14.5">
      <c r="A247" s="3">
        <v>54</v>
      </c>
      <c r="B247" s="15">
        <f>AVERAGE(Sheet1!G245:G1582,Sheet1!D245:D1582)</f>
        <v>6056.9881050228305</v>
      </c>
      <c r="C247" s="3"/>
      <c r="J247" s="4" t="s">
        <v>10</v>
      </c>
      <c r="K247" s="4" t="s">
        <v>8</v>
      </c>
      <c r="L247" s="17">
        <f t="shared" si="6"/>
        <v>0</v>
      </c>
      <c r="M247" s="5">
        <f t="shared" si="7"/>
        <v>0</v>
      </c>
    </row>
    <row r="248" spans="1:13" ht="14.5">
      <c r="A248" s="3">
        <v>54</v>
      </c>
      <c r="B248" s="15">
        <f>AVERAGE(Sheet1!G246:G1583,Sheet1!D246:D1583)</f>
        <v>6057.5766453382075</v>
      </c>
      <c r="C248" s="3"/>
      <c r="J248" s="4" t="s">
        <v>7</v>
      </c>
      <c r="K248" s="4" t="s">
        <v>8</v>
      </c>
      <c r="L248" s="17">
        <f t="shared" si="6"/>
        <v>0</v>
      </c>
      <c r="M248" s="5">
        <f t="shared" si="7"/>
        <v>0</v>
      </c>
    </row>
    <row r="249" spans="1:13" ht="14.5">
      <c r="A249" s="3">
        <v>54</v>
      </c>
      <c r="B249" s="15">
        <f>AVERAGE(Sheet1!G247:G1584,Sheet1!D247:D1584)</f>
        <v>6050.618467520585</v>
      </c>
      <c r="C249" s="3"/>
      <c r="J249" s="4" t="s">
        <v>10</v>
      </c>
      <c r="K249" s="4" t="s">
        <v>8</v>
      </c>
      <c r="L249" s="17">
        <f t="shared" si="6"/>
        <v>0</v>
      </c>
      <c r="M249" s="5">
        <f t="shared" si="7"/>
        <v>0</v>
      </c>
    </row>
    <row r="250" spans="1:13" ht="14.5">
      <c r="A250" s="3">
        <v>54</v>
      </c>
      <c r="B250" s="15">
        <f>AVERAGE(Sheet1!G248:G1585,Sheet1!D248:D1585)</f>
        <v>6051.373818681318</v>
      </c>
      <c r="C250" s="3"/>
      <c r="J250" s="4" t="s">
        <v>7</v>
      </c>
      <c r="K250" s="4" t="s">
        <v>8</v>
      </c>
      <c r="L250" s="17">
        <f t="shared" si="6"/>
        <v>0</v>
      </c>
      <c r="M250" s="5">
        <f t="shared" si="7"/>
        <v>0</v>
      </c>
    </row>
    <row r="251" spans="1:13" ht="14.5">
      <c r="A251" s="3">
        <v>54</v>
      </c>
      <c r="B251" s="15">
        <f>AVERAGE(Sheet1!G249:G1586,Sheet1!D249:D1586)</f>
        <v>6052.1371769019242</v>
      </c>
      <c r="C251" s="3"/>
      <c r="J251" s="4" t="s">
        <v>7</v>
      </c>
      <c r="K251" s="4" t="s">
        <v>8</v>
      </c>
      <c r="L251" s="17">
        <f t="shared" si="6"/>
        <v>0</v>
      </c>
      <c r="M251" s="5">
        <f t="shared" si="7"/>
        <v>0</v>
      </c>
    </row>
    <row r="252" spans="1:13" ht="14.5">
      <c r="A252" s="3">
        <v>54</v>
      </c>
      <c r="B252" s="15">
        <f>AVERAGE(Sheet1!G250:G1587,Sheet1!D250:D1587)</f>
        <v>6046.4618532110071</v>
      </c>
      <c r="C252" s="3"/>
      <c r="J252" s="4" t="s">
        <v>7</v>
      </c>
      <c r="K252" s="4" t="s">
        <v>8</v>
      </c>
      <c r="L252" s="17">
        <f t="shared" si="6"/>
        <v>0</v>
      </c>
      <c r="M252" s="5">
        <f t="shared" si="7"/>
        <v>0</v>
      </c>
    </row>
    <row r="253" spans="1:13" ht="14.5">
      <c r="A253" s="3">
        <v>54</v>
      </c>
      <c r="B253" s="15">
        <f>AVERAGE(Sheet1!G251:G1588,Sheet1!D251:D1588)</f>
        <v>6031.6915013774087</v>
      </c>
      <c r="C253" s="3"/>
      <c r="J253" s="4" t="s">
        <v>7</v>
      </c>
      <c r="K253" s="4" t="s">
        <v>11</v>
      </c>
      <c r="L253" s="17">
        <f t="shared" si="6"/>
        <v>1</v>
      </c>
      <c r="M253" s="5">
        <f t="shared" si="7"/>
        <v>0</v>
      </c>
    </row>
    <row r="254" spans="1:13" ht="14.5">
      <c r="A254" s="3">
        <v>54</v>
      </c>
      <c r="B254" s="15">
        <f>AVERAGE(Sheet1!G252:G1589,Sheet1!D252:D1589)</f>
        <v>6014.9227527573521</v>
      </c>
      <c r="C254" s="3"/>
      <c r="J254" s="4" t="s">
        <v>7</v>
      </c>
      <c r="K254" s="4" t="s">
        <v>11</v>
      </c>
      <c r="L254" s="17">
        <f t="shared" si="6"/>
        <v>1</v>
      </c>
      <c r="M254" s="5">
        <f t="shared" si="7"/>
        <v>0</v>
      </c>
    </row>
    <row r="255" spans="1:13" ht="14.5">
      <c r="A255" s="3">
        <v>54</v>
      </c>
      <c r="B255" s="15">
        <f>AVERAGE(Sheet1!G253:G1590,Sheet1!D253:D1590)</f>
        <v>6015.6563201471927</v>
      </c>
      <c r="C255" s="3"/>
      <c r="J255" s="4" t="s">
        <v>7</v>
      </c>
      <c r="K255" s="4" t="s">
        <v>8</v>
      </c>
      <c r="L255" s="17">
        <f t="shared" si="6"/>
        <v>0</v>
      </c>
      <c r="M255" s="5">
        <f t="shared" si="7"/>
        <v>0</v>
      </c>
    </row>
    <row r="256" spans="1:13" ht="14.5">
      <c r="A256" s="3">
        <v>54</v>
      </c>
      <c r="B256" s="15">
        <f>AVERAGE(Sheet1!G254:G1591,Sheet1!D254:D1591)</f>
        <v>6009.5080755064446</v>
      </c>
      <c r="C256" s="3"/>
      <c r="J256" s="4" t="s">
        <v>7</v>
      </c>
      <c r="K256" s="4" t="s">
        <v>11</v>
      </c>
      <c r="L256" s="17">
        <f t="shared" si="6"/>
        <v>1</v>
      </c>
      <c r="M256" s="5">
        <f t="shared" si="7"/>
        <v>0</v>
      </c>
    </row>
    <row r="257" spans="1:13" ht="14.5">
      <c r="A257" s="3">
        <v>54</v>
      </c>
      <c r="B257" s="15">
        <f>AVERAGE(Sheet1!G255:G1592,Sheet1!D255:D1592)</f>
        <v>6009.2964009216585</v>
      </c>
      <c r="C257" s="3"/>
      <c r="J257" s="4" t="s">
        <v>10</v>
      </c>
      <c r="K257" s="4" t="s">
        <v>8</v>
      </c>
      <c r="L257" s="17">
        <f t="shared" si="6"/>
        <v>0</v>
      </c>
      <c r="M257" s="5">
        <f t="shared" si="7"/>
        <v>0</v>
      </c>
    </row>
    <row r="258" spans="1:13" ht="14.5">
      <c r="A258" s="3">
        <v>54</v>
      </c>
      <c r="B258" s="15">
        <f>AVERAGE(Sheet1!G256:G1593,Sheet1!D256:D1593)</f>
        <v>5985.4256273062711</v>
      </c>
      <c r="C258" s="3"/>
      <c r="J258" s="4" t="s">
        <v>10</v>
      </c>
      <c r="K258" s="4" t="s">
        <v>11</v>
      </c>
      <c r="L258" s="17">
        <f t="shared" si="6"/>
        <v>0</v>
      </c>
      <c r="M258" s="5">
        <f t="shared" si="7"/>
        <v>1</v>
      </c>
    </row>
    <row r="259" spans="1:13" ht="14.5">
      <c r="A259" s="3">
        <v>54</v>
      </c>
      <c r="B259" s="15">
        <f>AVERAGE(Sheet1!G257:G1594,Sheet1!D257:D1594)</f>
        <v>5986.2286518928886</v>
      </c>
      <c r="C259" s="3"/>
      <c r="J259" s="4" t="s">
        <v>7</v>
      </c>
      <c r="K259" s="4" t="s">
        <v>8</v>
      </c>
      <c r="L259" s="17">
        <f t="shared" si="6"/>
        <v>0</v>
      </c>
      <c r="M259" s="5">
        <f t="shared" si="7"/>
        <v>0</v>
      </c>
    </row>
    <row r="260" spans="1:13" ht="14.5">
      <c r="A260" s="3">
        <v>54</v>
      </c>
      <c r="B260" s="15">
        <f>AVERAGE(Sheet1!G258:G1595,Sheet1!D258:D1595)</f>
        <v>5986.4282994454697</v>
      </c>
      <c r="C260" s="3"/>
      <c r="J260" s="4" t="s">
        <v>10</v>
      </c>
      <c r="K260" s="4" t="s">
        <v>8</v>
      </c>
      <c r="L260" s="17">
        <f t="shared" si="6"/>
        <v>0</v>
      </c>
      <c r="M260" s="5">
        <f t="shared" si="7"/>
        <v>0</v>
      </c>
    </row>
    <row r="261" spans="1:13" ht="14.5">
      <c r="A261" s="3">
        <v>54</v>
      </c>
      <c r="B261" s="15">
        <f>AVERAGE(Sheet1!G259:G1596,Sheet1!D259:D1596)</f>
        <v>5986.9134643848274</v>
      </c>
      <c r="C261" s="3"/>
      <c r="J261" s="4" t="s">
        <v>10</v>
      </c>
      <c r="K261" s="4" t="s">
        <v>8</v>
      </c>
      <c r="L261" s="17">
        <f t="shared" si="6"/>
        <v>0</v>
      </c>
      <c r="M261" s="5">
        <f t="shared" si="7"/>
        <v>0</v>
      </c>
    </row>
    <row r="262" spans="1:13" ht="14.5">
      <c r="A262" s="3">
        <v>54</v>
      </c>
      <c r="B262" s="15">
        <f>AVERAGE(Sheet1!G260:G1597,Sheet1!D260:D1597)</f>
        <v>5987.3570370370353</v>
      </c>
      <c r="C262" s="3"/>
      <c r="J262" s="4" t="s">
        <v>7</v>
      </c>
      <c r="K262" s="4" t="s">
        <v>8</v>
      </c>
      <c r="L262" s="17">
        <f t="shared" ref="L262:L325" si="8">IF(AND(J262="male", K262="yes"),1,0)</f>
        <v>0</v>
      </c>
      <c r="M262" s="5">
        <f t="shared" ref="M262:M325" si="9">IF(AND(J262="female", K262="yes"), 1, 0)</f>
        <v>0</v>
      </c>
    </row>
    <row r="263" spans="1:13" ht="14.5">
      <c r="A263" s="3">
        <v>54</v>
      </c>
      <c r="B263" s="15">
        <f>AVERAGE(Sheet1!G261:G1598,Sheet1!D261:D1598)</f>
        <v>5988.0761260426289</v>
      </c>
      <c r="C263" s="3"/>
      <c r="J263" s="4" t="s">
        <v>7</v>
      </c>
      <c r="K263" s="4" t="s">
        <v>8</v>
      </c>
      <c r="L263" s="17">
        <f t="shared" si="8"/>
        <v>0</v>
      </c>
      <c r="M263" s="5">
        <f t="shared" si="9"/>
        <v>0</v>
      </c>
    </row>
    <row r="264" spans="1:13" ht="14.5">
      <c r="A264" s="3">
        <v>54</v>
      </c>
      <c r="B264" s="15">
        <f>AVERAGE(Sheet1!G262:G1599,Sheet1!D262:D1599)</f>
        <v>5974.1501669758773</v>
      </c>
      <c r="C264" s="3"/>
      <c r="J264" s="4" t="s">
        <v>7</v>
      </c>
      <c r="K264" s="4" t="s">
        <v>11</v>
      </c>
      <c r="L264" s="17">
        <f t="shared" si="8"/>
        <v>1</v>
      </c>
      <c r="M264" s="5">
        <f t="shared" si="9"/>
        <v>0</v>
      </c>
    </row>
    <row r="265" spans="1:13" ht="14.5">
      <c r="A265" s="3">
        <v>54</v>
      </c>
      <c r="B265" s="15">
        <f>AVERAGE(Sheet1!G263:G1600,Sheet1!D263:D1600)</f>
        <v>5967.8503481894113</v>
      </c>
      <c r="C265" s="3"/>
      <c r="J265" s="4" t="s">
        <v>7</v>
      </c>
      <c r="K265" s="4" t="s">
        <v>8</v>
      </c>
      <c r="L265" s="17">
        <f t="shared" si="8"/>
        <v>0</v>
      </c>
      <c r="M265" s="5">
        <f t="shared" si="9"/>
        <v>0</v>
      </c>
    </row>
    <row r="266" spans="1:13" ht="14.5">
      <c r="A266" s="3">
        <v>54</v>
      </c>
      <c r="B266" s="15">
        <f>AVERAGE(Sheet1!G264:G1601,Sheet1!D264:D1601)</f>
        <v>5967.5889219330829</v>
      </c>
      <c r="C266" s="3"/>
      <c r="J266" s="4" t="s">
        <v>10</v>
      </c>
      <c r="K266" s="4" t="s">
        <v>8</v>
      </c>
      <c r="L266" s="17">
        <f t="shared" si="8"/>
        <v>0</v>
      </c>
      <c r="M266" s="5">
        <f t="shared" si="9"/>
        <v>0</v>
      </c>
    </row>
    <row r="267" spans="1:13" ht="14.5">
      <c r="A267" s="3">
        <v>54</v>
      </c>
      <c r="B267" s="15">
        <f>AVERAGE(Sheet1!G265:G1602,Sheet1!D265:D1602)</f>
        <v>5968.5585720930212</v>
      </c>
      <c r="C267" s="3"/>
      <c r="J267" s="4" t="s">
        <v>7</v>
      </c>
      <c r="K267" s="4" t="s">
        <v>8</v>
      </c>
      <c r="L267" s="17">
        <f t="shared" si="8"/>
        <v>0</v>
      </c>
      <c r="M267" s="5">
        <f t="shared" si="9"/>
        <v>0</v>
      </c>
    </row>
    <row r="268" spans="1:13" ht="14.5">
      <c r="A268" s="3">
        <v>54</v>
      </c>
      <c r="B268" s="15">
        <f>AVERAGE(Sheet1!G266:G1603,Sheet1!D266:D1603)</f>
        <v>5968.483915270017</v>
      </c>
      <c r="C268" s="3"/>
      <c r="J268" s="4" t="s">
        <v>10</v>
      </c>
      <c r="K268" s="4" t="s">
        <v>8</v>
      </c>
      <c r="L268" s="17">
        <f t="shared" si="8"/>
        <v>0</v>
      </c>
      <c r="M268" s="5">
        <f t="shared" si="9"/>
        <v>0</v>
      </c>
    </row>
    <row r="269" spans="1:13" ht="14.5">
      <c r="A269" s="3">
        <v>54</v>
      </c>
      <c r="B269" s="15">
        <f>AVERAGE(Sheet1!G267:G1604,Sheet1!D267:D1604)</f>
        <v>5968.9532152842476</v>
      </c>
      <c r="C269" s="3"/>
      <c r="J269" s="4" t="s">
        <v>10</v>
      </c>
      <c r="K269" s="4" t="s">
        <v>8</v>
      </c>
      <c r="L269" s="17">
        <f t="shared" si="8"/>
        <v>0</v>
      </c>
      <c r="M269" s="5">
        <f t="shared" si="9"/>
        <v>0</v>
      </c>
    </row>
    <row r="270" spans="1:13" ht="14.5">
      <c r="A270" s="3">
        <v>54</v>
      </c>
      <c r="B270" s="15">
        <f>AVERAGE(Sheet1!G268:G1605,Sheet1!D268:D1605)</f>
        <v>5968.8782416044751</v>
      </c>
      <c r="C270" s="3"/>
      <c r="J270" s="4" t="s">
        <v>10</v>
      </c>
      <c r="K270" s="4" t="s">
        <v>8</v>
      </c>
      <c r="L270" s="17">
        <f t="shared" si="8"/>
        <v>0</v>
      </c>
      <c r="M270" s="5">
        <f t="shared" si="9"/>
        <v>0</v>
      </c>
    </row>
    <row r="271" spans="1:13" ht="14.5">
      <c r="A271" s="3">
        <v>54</v>
      </c>
      <c r="B271" s="15">
        <f>AVERAGE(Sheet1!G269:G1606,Sheet1!D269:D1606)</f>
        <v>5969.6246591970103</v>
      </c>
      <c r="C271" s="3"/>
      <c r="J271" s="4" t="s">
        <v>10</v>
      </c>
      <c r="K271" s="4" t="s">
        <v>8</v>
      </c>
      <c r="L271" s="17">
        <f t="shared" si="8"/>
        <v>0</v>
      </c>
      <c r="M271" s="5">
        <f t="shared" si="9"/>
        <v>0</v>
      </c>
    </row>
    <row r="272" spans="1:13" ht="14.5">
      <c r="A272" s="3">
        <v>54</v>
      </c>
      <c r="B272" s="15">
        <f>AVERAGE(Sheet1!G270:G1607,Sheet1!D270:D1607)</f>
        <v>5969.8236495327073</v>
      </c>
      <c r="C272" s="3"/>
      <c r="J272" s="4" t="s">
        <v>10</v>
      </c>
      <c r="K272" s="4" t="s">
        <v>8</v>
      </c>
      <c r="L272" s="17">
        <f t="shared" si="8"/>
        <v>0</v>
      </c>
      <c r="M272" s="5">
        <f t="shared" si="9"/>
        <v>0</v>
      </c>
    </row>
    <row r="273" spans="1:13" ht="14.5">
      <c r="A273" s="3">
        <v>54</v>
      </c>
      <c r="B273" s="15">
        <f>AVERAGE(Sheet1!G271:G1608,Sheet1!D271:D1608)</f>
        <v>5969.5696445275935</v>
      </c>
      <c r="C273" s="3"/>
      <c r="J273" s="4" t="s">
        <v>10</v>
      </c>
      <c r="K273" s="4" t="s">
        <v>8</v>
      </c>
      <c r="L273" s="17">
        <f t="shared" si="8"/>
        <v>0</v>
      </c>
      <c r="M273" s="5">
        <f t="shared" si="9"/>
        <v>0</v>
      </c>
    </row>
    <row r="274" spans="1:13" ht="14.5">
      <c r="A274" s="3">
        <v>53</v>
      </c>
      <c r="B274" s="15">
        <f>AVERAGE(Sheet1!G272:G1609,Sheet1!D272:D1609)</f>
        <v>5969.8656226591729</v>
      </c>
      <c r="C274" s="3"/>
      <c r="J274" s="4" t="s">
        <v>10</v>
      </c>
      <c r="K274" s="4" t="s">
        <v>8</v>
      </c>
      <c r="L274" s="17">
        <f t="shared" si="8"/>
        <v>0</v>
      </c>
      <c r="M274" s="5">
        <f t="shared" si="9"/>
        <v>0</v>
      </c>
    </row>
    <row r="275" spans="1:13" ht="14.5">
      <c r="A275" s="3">
        <v>53</v>
      </c>
      <c r="B275" s="15">
        <f>AVERAGE(Sheet1!G273:G1610,Sheet1!D273:D1610)</f>
        <v>5964.5675632614793</v>
      </c>
      <c r="C275" s="3"/>
      <c r="J275" s="4" t="s">
        <v>10</v>
      </c>
      <c r="K275" s="4" t="s">
        <v>11</v>
      </c>
      <c r="L275" s="17">
        <f t="shared" si="8"/>
        <v>0</v>
      </c>
      <c r="M275" s="5">
        <f t="shared" si="9"/>
        <v>1</v>
      </c>
    </row>
    <row r="276" spans="1:13" ht="14.5">
      <c r="A276" s="3">
        <v>53</v>
      </c>
      <c r="B276" s="15">
        <f>AVERAGE(Sheet1!G274:G1611,Sheet1!D274:D1611)</f>
        <v>5964.6540572232625</v>
      </c>
      <c r="C276" s="3"/>
      <c r="J276" s="4" t="s">
        <v>10</v>
      </c>
      <c r="K276" s="4" t="s">
        <v>8</v>
      </c>
      <c r="L276" s="17">
        <f t="shared" si="8"/>
        <v>0</v>
      </c>
      <c r="M276" s="5">
        <f t="shared" si="9"/>
        <v>0</v>
      </c>
    </row>
    <row r="277" spans="1:13" ht="14.5">
      <c r="A277" s="3">
        <v>53</v>
      </c>
      <c r="B277" s="15">
        <f>AVERAGE(Sheet1!G275:G1612,Sheet1!D275:D1612)</f>
        <v>5965.1170516431912</v>
      </c>
      <c r="C277" s="3"/>
      <c r="J277" s="4" t="s">
        <v>10</v>
      </c>
      <c r="K277" s="4" t="s">
        <v>8</v>
      </c>
      <c r="L277" s="17">
        <f t="shared" si="8"/>
        <v>0</v>
      </c>
      <c r="M277" s="5">
        <f t="shared" si="9"/>
        <v>0</v>
      </c>
    </row>
    <row r="278" spans="1:13" ht="14.5">
      <c r="A278" s="3">
        <v>53</v>
      </c>
      <c r="B278" s="15">
        <f>AVERAGE(Sheet1!G276:G1613,Sheet1!D276:D1613)</f>
        <v>5965.4763862781938</v>
      </c>
      <c r="C278" s="3"/>
      <c r="J278" s="4" t="s">
        <v>10</v>
      </c>
      <c r="K278" s="4" t="s">
        <v>8</v>
      </c>
      <c r="L278" s="17">
        <f t="shared" si="8"/>
        <v>0</v>
      </c>
      <c r="M278" s="5">
        <f t="shared" si="9"/>
        <v>0</v>
      </c>
    </row>
    <row r="279" spans="1:13" ht="14.5">
      <c r="A279" s="3">
        <v>53</v>
      </c>
      <c r="B279" s="15">
        <f>AVERAGE(Sheet1!G277:G1614,Sheet1!D277:D1614)</f>
        <v>5965.9327657572885</v>
      </c>
      <c r="C279" s="3"/>
      <c r="J279" s="4" t="s">
        <v>10</v>
      </c>
      <c r="K279" s="4" t="s">
        <v>8</v>
      </c>
      <c r="L279" s="17">
        <f t="shared" si="8"/>
        <v>0</v>
      </c>
      <c r="M279" s="5">
        <f t="shared" si="9"/>
        <v>0</v>
      </c>
    </row>
    <row r="280" spans="1:13" ht="14.5">
      <c r="A280" s="3">
        <v>53</v>
      </c>
      <c r="B280" s="15">
        <f>AVERAGE(Sheet1!G278:G1615,Sheet1!D278:D1615)</f>
        <v>5966.6748681732561</v>
      </c>
      <c r="C280" s="3"/>
      <c r="J280" s="4" t="s">
        <v>10</v>
      </c>
      <c r="K280" s="4" t="s">
        <v>8</v>
      </c>
      <c r="L280" s="17">
        <f t="shared" si="8"/>
        <v>0</v>
      </c>
      <c r="M280" s="5">
        <f t="shared" si="9"/>
        <v>0</v>
      </c>
    </row>
    <row r="281" spans="1:13" ht="14.5">
      <c r="A281" s="3">
        <v>53</v>
      </c>
      <c r="B281" s="15">
        <f>AVERAGE(Sheet1!G279:G1616,Sheet1!D279:D1616)</f>
        <v>5967.319764373231</v>
      </c>
      <c r="C281" s="3"/>
      <c r="J281" s="4" t="s">
        <v>10</v>
      </c>
      <c r="K281" s="4" t="s">
        <v>8</v>
      </c>
      <c r="L281" s="17">
        <f t="shared" si="8"/>
        <v>0</v>
      </c>
      <c r="M281" s="5">
        <f t="shared" si="9"/>
        <v>0</v>
      </c>
    </row>
    <row r="282" spans="1:13" ht="14.5">
      <c r="A282" s="3">
        <v>53</v>
      </c>
      <c r="B282" s="15">
        <f>AVERAGE(Sheet1!G280:G1617,Sheet1!D280:D1617)</f>
        <v>5963.2955377358476</v>
      </c>
      <c r="C282" s="3"/>
      <c r="J282" s="4" t="s">
        <v>10</v>
      </c>
      <c r="K282" s="4" t="s">
        <v>8</v>
      </c>
      <c r="L282" s="17">
        <f t="shared" si="8"/>
        <v>0</v>
      </c>
      <c r="M282" s="5">
        <f t="shared" si="9"/>
        <v>0</v>
      </c>
    </row>
    <row r="283" spans="1:13" ht="14.5">
      <c r="A283" s="3">
        <v>53</v>
      </c>
      <c r="B283" s="15">
        <f>AVERAGE(Sheet1!G281:G1618,Sheet1!D281:D1618)</f>
        <v>5957.1813786591119</v>
      </c>
      <c r="C283" s="3"/>
      <c r="J283" s="4" t="s">
        <v>10</v>
      </c>
      <c r="K283" s="4" t="s">
        <v>11</v>
      </c>
      <c r="L283" s="17">
        <f t="shared" si="8"/>
        <v>0</v>
      </c>
      <c r="M283" s="5">
        <f t="shared" si="9"/>
        <v>1</v>
      </c>
    </row>
    <row r="284" spans="1:13" ht="14.5">
      <c r="A284" s="3">
        <v>53</v>
      </c>
      <c r="B284" s="15">
        <f>AVERAGE(Sheet1!G282:G1619,Sheet1!D282:D1619)</f>
        <v>5957.8672873345922</v>
      </c>
      <c r="C284" s="3"/>
      <c r="J284" s="4" t="s">
        <v>7</v>
      </c>
      <c r="K284" s="4" t="s">
        <v>8</v>
      </c>
      <c r="L284" s="17">
        <f t="shared" si="8"/>
        <v>0</v>
      </c>
      <c r="M284" s="5">
        <f t="shared" si="9"/>
        <v>0</v>
      </c>
    </row>
    <row r="285" spans="1:13" ht="14.5">
      <c r="A285" s="3">
        <v>53</v>
      </c>
      <c r="B285" s="15">
        <f>AVERAGE(Sheet1!G283:G1620,Sheet1!D283:D1620)</f>
        <v>5950.5681835383157</v>
      </c>
      <c r="C285" s="3"/>
      <c r="J285" s="4" t="s">
        <v>7</v>
      </c>
      <c r="K285" s="4" t="s">
        <v>8</v>
      </c>
      <c r="L285" s="17">
        <f t="shared" si="8"/>
        <v>0</v>
      </c>
      <c r="M285" s="5">
        <f t="shared" si="9"/>
        <v>0</v>
      </c>
    </row>
    <row r="286" spans="1:13" ht="14.5">
      <c r="A286" s="3">
        <v>53</v>
      </c>
      <c r="B286" s="15">
        <f>AVERAGE(Sheet1!G284:G1621,Sheet1!D284:D1621)</f>
        <v>5951.4272206439391</v>
      </c>
      <c r="C286" s="3"/>
      <c r="J286" s="4" t="s">
        <v>7</v>
      </c>
      <c r="K286" s="4" t="s">
        <v>8</v>
      </c>
      <c r="L286" s="17">
        <f t="shared" si="8"/>
        <v>0</v>
      </c>
      <c r="M286" s="5">
        <f t="shared" si="9"/>
        <v>0</v>
      </c>
    </row>
    <row r="287" spans="1:13" ht="14.5">
      <c r="A287" s="3">
        <v>53</v>
      </c>
      <c r="B287" s="15">
        <f>AVERAGE(Sheet1!G285:G1622,Sheet1!D285:D1622)</f>
        <v>5952.0538293838845</v>
      </c>
      <c r="C287" s="3"/>
      <c r="J287" s="4" t="s">
        <v>10</v>
      </c>
      <c r="K287" s="4" t="s">
        <v>8</v>
      </c>
      <c r="L287" s="17">
        <f t="shared" si="8"/>
        <v>0</v>
      </c>
      <c r="M287" s="5">
        <f t="shared" si="9"/>
        <v>0</v>
      </c>
    </row>
    <row r="288" spans="1:13" ht="14.5">
      <c r="A288" s="3">
        <v>53</v>
      </c>
      <c r="B288" s="15">
        <f>AVERAGE(Sheet1!G286:G1623,Sheet1!D286:D1623)</f>
        <v>5953.0218738140402</v>
      </c>
      <c r="C288" s="3"/>
      <c r="J288" s="4" t="s">
        <v>7</v>
      </c>
      <c r="K288" s="4" t="s">
        <v>8</v>
      </c>
      <c r="L288" s="17">
        <f t="shared" si="8"/>
        <v>0</v>
      </c>
      <c r="M288" s="5">
        <f t="shared" si="9"/>
        <v>0</v>
      </c>
    </row>
    <row r="289" spans="1:13" ht="14.5">
      <c r="A289" s="3">
        <v>53</v>
      </c>
      <c r="B289" s="15">
        <f>AVERAGE(Sheet1!G287:G1624,Sheet1!D287:D1624)</f>
        <v>5953.3351044634364</v>
      </c>
      <c r="C289" s="3"/>
      <c r="J289" s="4" t="s">
        <v>7</v>
      </c>
      <c r="K289" s="4" t="s">
        <v>8</v>
      </c>
      <c r="L289" s="17">
        <f t="shared" si="8"/>
        <v>0</v>
      </c>
      <c r="M289" s="5">
        <f t="shared" si="9"/>
        <v>0</v>
      </c>
    </row>
    <row r="290" spans="1:13" ht="14.5">
      <c r="A290" s="3">
        <v>53</v>
      </c>
      <c r="B290" s="15">
        <f>AVERAGE(Sheet1!G288:G1625,Sheet1!D288:D1625)</f>
        <v>5945.1213165399222</v>
      </c>
      <c r="C290" s="3"/>
      <c r="J290" s="4" t="s">
        <v>10</v>
      </c>
      <c r="K290" s="4" t="s">
        <v>8</v>
      </c>
      <c r="L290" s="17">
        <f t="shared" si="8"/>
        <v>0</v>
      </c>
      <c r="M290" s="5">
        <f t="shared" si="9"/>
        <v>0</v>
      </c>
    </row>
    <row r="291" spans="1:13" ht="14.5">
      <c r="A291" s="3">
        <v>53</v>
      </c>
      <c r="B291" s="15">
        <f>AVERAGE(Sheet1!G289:G1626,Sheet1!D289:D1626)</f>
        <v>5946.2563939105594</v>
      </c>
      <c r="C291" s="3"/>
      <c r="J291" s="4" t="s">
        <v>7</v>
      </c>
      <c r="K291" s="4" t="s">
        <v>8</v>
      </c>
      <c r="L291" s="17">
        <f t="shared" si="8"/>
        <v>0</v>
      </c>
      <c r="M291" s="5">
        <f t="shared" si="9"/>
        <v>0</v>
      </c>
    </row>
    <row r="292" spans="1:13" ht="14.5">
      <c r="A292" s="3">
        <v>53</v>
      </c>
      <c r="B292" s="15">
        <f>AVERAGE(Sheet1!G290:G1627,Sheet1!D290:D1627)</f>
        <v>5946.5539999999992</v>
      </c>
      <c r="C292" s="3"/>
      <c r="J292" s="4" t="s">
        <v>7</v>
      </c>
      <c r="K292" s="4" t="s">
        <v>8</v>
      </c>
      <c r="L292" s="17">
        <f t="shared" si="8"/>
        <v>0</v>
      </c>
      <c r="M292" s="5">
        <f t="shared" si="9"/>
        <v>0</v>
      </c>
    </row>
    <row r="293" spans="1:13" ht="14.5">
      <c r="A293" s="3">
        <v>53</v>
      </c>
      <c r="B293" s="15">
        <f>AVERAGE(Sheet1!G291:G1628,Sheet1!D291:D1628)</f>
        <v>5947.4246854146795</v>
      </c>
      <c r="C293" s="3"/>
      <c r="J293" s="4" t="s">
        <v>7</v>
      </c>
      <c r="K293" s="4" t="s">
        <v>8</v>
      </c>
      <c r="L293" s="17">
        <f t="shared" si="8"/>
        <v>0</v>
      </c>
      <c r="M293" s="5">
        <f t="shared" si="9"/>
        <v>0</v>
      </c>
    </row>
    <row r="294" spans="1:13" ht="14.5">
      <c r="A294" s="3">
        <v>53</v>
      </c>
      <c r="B294" s="15">
        <f>AVERAGE(Sheet1!G292:G1629,Sheet1!D292:D1629)</f>
        <v>5932.4630582061063</v>
      </c>
      <c r="C294" s="3"/>
      <c r="J294" s="4" t="s">
        <v>7</v>
      </c>
      <c r="K294" s="4" t="s">
        <v>11</v>
      </c>
      <c r="L294" s="17">
        <f t="shared" si="8"/>
        <v>1</v>
      </c>
      <c r="M294" s="5">
        <f t="shared" si="9"/>
        <v>0</v>
      </c>
    </row>
    <row r="295" spans="1:13" ht="14.5">
      <c r="A295" s="3">
        <v>53</v>
      </c>
      <c r="B295" s="15">
        <f>AVERAGE(Sheet1!G293:G1630,Sheet1!D293:D1630)</f>
        <v>5932.8031470869146</v>
      </c>
      <c r="C295" s="3"/>
      <c r="J295" s="4" t="s">
        <v>10</v>
      </c>
      <c r="K295" s="4" t="s">
        <v>8</v>
      </c>
      <c r="L295" s="17">
        <f t="shared" si="8"/>
        <v>0</v>
      </c>
      <c r="M295" s="5">
        <f t="shared" si="9"/>
        <v>0</v>
      </c>
    </row>
    <row r="296" spans="1:13" ht="14.5">
      <c r="A296" s="3">
        <v>53</v>
      </c>
      <c r="B296" s="15">
        <f>AVERAGE(Sheet1!G294:G1631,Sheet1!D294:D1631)</f>
        <v>5933.7571606118527</v>
      </c>
      <c r="C296" s="3"/>
      <c r="J296" s="4" t="s">
        <v>7</v>
      </c>
      <c r="K296" s="4" t="s">
        <v>8</v>
      </c>
      <c r="L296" s="17">
        <f t="shared" si="8"/>
        <v>0</v>
      </c>
      <c r="M296" s="5">
        <f t="shared" si="9"/>
        <v>0</v>
      </c>
    </row>
    <row r="297" spans="1:13" ht="14.5">
      <c r="A297" s="3">
        <v>53</v>
      </c>
      <c r="B297" s="15">
        <f>AVERAGE(Sheet1!G295:G1632,Sheet1!D295:D1632)</f>
        <v>5929.2938564593296</v>
      </c>
      <c r="C297" s="3"/>
      <c r="J297" s="4" t="s">
        <v>7</v>
      </c>
      <c r="K297" s="4" t="s">
        <v>11</v>
      </c>
      <c r="L297" s="17">
        <f t="shared" si="8"/>
        <v>1</v>
      </c>
      <c r="M297" s="5">
        <f t="shared" si="9"/>
        <v>0</v>
      </c>
    </row>
    <row r="298" spans="1:13" ht="14.5">
      <c r="A298" s="3">
        <v>53</v>
      </c>
      <c r="B298" s="15">
        <f>AVERAGE(Sheet1!G296:G1633,Sheet1!D296:D1633)</f>
        <v>5930.1494731800758</v>
      </c>
      <c r="C298" s="3"/>
      <c r="J298" s="4" t="s">
        <v>7</v>
      </c>
      <c r="K298" s="4" t="s">
        <v>8</v>
      </c>
      <c r="L298" s="17">
        <f t="shared" si="8"/>
        <v>0</v>
      </c>
      <c r="M298" s="5">
        <f t="shared" si="9"/>
        <v>0</v>
      </c>
    </row>
    <row r="299" spans="1:13" ht="14.5">
      <c r="A299" s="3">
        <v>53</v>
      </c>
      <c r="B299" s="15">
        <f>AVERAGE(Sheet1!G297:G1634,Sheet1!D297:D1634)</f>
        <v>5930.211131351869</v>
      </c>
      <c r="C299" s="3"/>
      <c r="J299" s="4" t="s">
        <v>10</v>
      </c>
      <c r="K299" s="4" t="s">
        <v>8</v>
      </c>
      <c r="L299" s="17">
        <f t="shared" si="8"/>
        <v>0</v>
      </c>
      <c r="M299" s="5">
        <f t="shared" si="9"/>
        <v>0</v>
      </c>
    </row>
    <row r="300" spans="1:13" ht="14.5">
      <c r="A300" s="3">
        <v>53</v>
      </c>
      <c r="B300" s="15">
        <f>AVERAGE(Sheet1!G298:G1635,Sheet1!D298:D1635)</f>
        <v>5931.3497024952012</v>
      </c>
      <c r="C300" s="3"/>
      <c r="J300" s="4" t="s">
        <v>7</v>
      </c>
      <c r="K300" s="4" t="s">
        <v>8</v>
      </c>
      <c r="L300" s="17">
        <f t="shared" si="8"/>
        <v>0</v>
      </c>
      <c r="M300" s="5">
        <f t="shared" si="9"/>
        <v>0</v>
      </c>
    </row>
    <row r="301" spans="1:13" ht="14.5">
      <c r="A301" s="3">
        <v>53</v>
      </c>
      <c r="B301" s="15">
        <f>AVERAGE(Sheet1!G299:G1636,Sheet1!D299:D1636)</f>
        <v>5931.6409029779043</v>
      </c>
      <c r="C301" s="3"/>
      <c r="J301" s="4" t="s">
        <v>7</v>
      </c>
      <c r="K301" s="4" t="s">
        <v>8</v>
      </c>
      <c r="L301" s="17">
        <f t="shared" si="8"/>
        <v>0</v>
      </c>
      <c r="M301" s="5">
        <f t="shared" si="9"/>
        <v>0</v>
      </c>
    </row>
    <row r="302" spans="1:13" ht="14.5">
      <c r="A302" s="3">
        <v>52</v>
      </c>
      <c r="B302" s="15">
        <f>AVERAGE(Sheet1!G300:G1637,Sheet1!D300:D1637)</f>
        <v>5914.9095769230762</v>
      </c>
      <c r="C302" s="3"/>
      <c r="J302" s="4" t="s">
        <v>10</v>
      </c>
      <c r="K302" s="4" t="s">
        <v>11</v>
      </c>
      <c r="L302" s="17">
        <f t="shared" si="8"/>
        <v>0</v>
      </c>
      <c r="M302" s="5">
        <f t="shared" si="9"/>
        <v>1</v>
      </c>
    </row>
    <row r="303" spans="1:13" ht="14.5">
      <c r="A303" s="3">
        <v>52</v>
      </c>
      <c r="B303" s="15">
        <f>AVERAGE(Sheet1!G301:G1638,Sheet1!D301:D1638)</f>
        <v>5915.4059576515865</v>
      </c>
      <c r="C303" s="3"/>
      <c r="J303" s="4" t="s">
        <v>10</v>
      </c>
      <c r="K303" s="4" t="s">
        <v>8</v>
      </c>
      <c r="L303" s="17">
        <f t="shared" si="8"/>
        <v>0</v>
      </c>
      <c r="M303" s="5">
        <f t="shared" si="9"/>
        <v>0</v>
      </c>
    </row>
    <row r="304" spans="1:13" ht="14.5">
      <c r="A304" s="3">
        <v>52</v>
      </c>
      <c r="B304" s="15">
        <f>AVERAGE(Sheet1!G302:G1639,Sheet1!D302:D1639)</f>
        <v>5915.5694894026965</v>
      </c>
      <c r="C304" s="3"/>
      <c r="J304" s="4" t="s">
        <v>7</v>
      </c>
      <c r="K304" s="4" t="s">
        <v>8</v>
      </c>
      <c r="L304" s="17">
        <f t="shared" si="8"/>
        <v>0</v>
      </c>
      <c r="M304" s="5">
        <f t="shared" si="9"/>
        <v>0</v>
      </c>
    </row>
    <row r="305" spans="1:13" ht="14.5">
      <c r="A305" s="3">
        <v>52</v>
      </c>
      <c r="B305" s="15">
        <f>AVERAGE(Sheet1!G303:G1640,Sheet1!D303:D1640)</f>
        <v>5916.6286017357752</v>
      </c>
      <c r="C305" s="3"/>
      <c r="J305" s="4" t="s">
        <v>10</v>
      </c>
      <c r="K305" s="4" t="s">
        <v>8</v>
      </c>
      <c r="L305" s="17">
        <f t="shared" si="8"/>
        <v>0</v>
      </c>
      <c r="M305" s="5">
        <f t="shared" si="9"/>
        <v>0</v>
      </c>
    </row>
    <row r="306" spans="1:13" ht="14.5">
      <c r="A306" s="3">
        <v>52</v>
      </c>
      <c r="B306" s="15">
        <f>AVERAGE(Sheet1!G304:G1641,Sheet1!D304:D1641)</f>
        <v>5910.3353667953652</v>
      </c>
      <c r="C306" s="3"/>
      <c r="J306" s="4" t="s">
        <v>7</v>
      </c>
      <c r="K306" s="4" t="s">
        <v>11</v>
      </c>
      <c r="L306" s="17">
        <f t="shared" si="8"/>
        <v>1</v>
      </c>
      <c r="M306" s="5">
        <f t="shared" si="9"/>
        <v>0</v>
      </c>
    </row>
    <row r="307" spans="1:13" ht="14.5">
      <c r="A307" s="3">
        <v>52</v>
      </c>
      <c r="B307" s="15">
        <f>AVERAGE(Sheet1!G305:G1642,Sheet1!D305:D1642)</f>
        <v>5911.39563285024</v>
      </c>
      <c r="C307" s="3"/>
      <c r="J307" s="4" t="s">
        <v>10</v>
      </c>
      <c r="K307" s="4" t="s">
        <v>8</v>
      </c>
      <c r="L307" s="17">
        <f t="shared" si="8"/>
        <v>0</v>
      </c>
      <c r="M307" s="5">
        <f t="shared" si="9"/>
        <v>0</v>
      </c>
    </row>
    <row r="308" spans="1:13" ht="14.5">
      <c r="A308" s="3">
        <v>52</v>
      </c>
      <c r="B308" s="15">
        <f>AVERAGE(Sheet1!G306:G1643,Sheet1!D306:D1643)</f>
        <v>5904.5421373307527</v>
      </c>
      <c r="C308" s="3"/>
      <c r="J308" s="4" t="s">
        <v>7</v>
      </c>
      <c r="K308" s="4" t="s">
        <v>8</v>
      </c>
      <c r="L308" s="17">
        <f t="shared" si="8"/>
        <v>0</v>
      </c>
      <c r="M308" s="5">
        <f t="shared" si="9"/>
        <v>0</v>
      </c>
    </row>
    <row r="309" spans="1:13" ht="14.5">
      <c r="A309" s="3">
        <v>52</v>
      </c>
      <c r="B309" s="15">
        <f>AVERAGE(Sheet1!G307:G1644,Sheet1!D307:D1644)</f>
        <v>5905.551969990318</v>
      </c>
      <c r="C309" s="3"/>
      <c r="J309" s="4" t="s">
        <v>7</v>
      </c>
      <c r="K309" s="4" t="s">
        <v>8</v>
      </c>
      <c r="L309" s="17">
        <f t="shared" si="8"/>
        <v>0</v>
      </c>
      <c r="M309" s="5">
        <f t="shared" si="9"/>
        <v>0</v>
      </c>
    </row>
    <row r="310" spans="1:13" ht="14.5">
      <c r="A310" s="3">
        <v>52</v>
      </c>
      <c r="B310" s="15">
        <f>AVERAGE(Sheet1!G308:G1645,Sheet1!D308:D1645)</f>
        <v>5906.8438953488358</v>
      </c>
      <c r="C310" s="3"/>
      <c r="J310" s="4" t="s">
        <v>7</v>
      </c>
      <c r="K310" s="4" t="s">
        <v>8</v>
      </c>
      <c r="L310" s="17">
        <f t="shared" si="8"/>
        <v>0</v>
      </c>
      <c r="M310" s="5">
        <f t="shared" si="9"/>
        <v>0</v>
      </c>
    </row>
    <row r="311" spans="1:13" ht="14.5">
      <c r="A311" s="3">
        <v>52</v>
      </c>
      <c r="B311" s="15">
        <f>AVERAGE(Sheet1!G309:G1646,Sheet1!D309:D1646)</f>
        <v>5900.7430552861279</v>
      </c>
      <c r="C311" s="3"/>
      <c r="J311" s="4" t="s">
        <v>7</v>
      </c>
      <c r="K311" s="4" t="s">
        <v>11</v>
      </c>
      <c r="L311" s="17">
        <f t="shared" si="8"/>
        <v>1</v>
      </c>
      <c r="M311" s="5">
        <f t="shared" si="9"/>
        <v>0</v>
      </c>
    </row>
    <row r="312" spans="1:13" ht="14.5">
      <c r="A312" s="3">
        <v>52</v>
      </c>
      <c r="B312" s="15">
        <f>AVERAGE(Sheet1!G310:G1647,Sheet1!D310:D1647)</f>
        <v>5900.9384854368909</v>
      </c>
      <c r="C312" s="3"/>
      <c r="J312" s="4" t="s">
        <v>10</v>
      </c>
      <c r="K312" s="4" t="s">
        <v>8</v>
      </c>
      <c r="L312" s="17">
        <f t="shared" si="8"/>
        <v>0</v>
      </c>
      <c r="M312" s="5">
        <f t="shared" si="9"/>
        <v>0</v>
      </c>
    </row>
    <row r="313" spans="1:13" ht="14.5">
      <c r="A313" s="3">
        <v>52</v>
      </c>
      <c r="B313" s="15">
        <f>AVERAGE(Sheet1!G311:G1648,Sheet1!D311:D1648)</f>
        <v>5902.2314528668585</v>
      </c>
      <c r="C313" s="3"/>
      <c r="J313" s="4" t="s">
        <v>7</v>
      </c>
      <c r="K313" s="4" t="s">
        <v>8</v>
      </c>
      <c r="L313" s="17">
        <f t="shared" si="8"/>
        <v>0</v>
      </c>
      <c r="M313" s="5">
        <f t="shared" si="9"/>
        <v>0</v>
      </c>
    </row>
    <row r="314" spans="1:13" ht="14.5">
      <c r="A314" s="3">
        <v>52</v>
      </c>
      <c r="B314" s="15">
        <f>AVERAGE(Sheet1!G312:G1649,Sheet1!D312:D1649)</f>
        <v>5901.8457198443557</v>
      </c>
      <c r="C314" s="3"/>
      <c r="J314" s="4" t="s">
        <v>10</v>
      </c>
      <c r="K314" s="4" t="s">
        <v>8</v>
      </c>
      <c r="L314" s="17">
        <f t="shared" si="8"/>
        <v>0</v>
      </c>
      <c r="M314" s="5">
        <f t="shared" si="9"/>
        <v>0</v>
      </c>
    </row>
    <row r="315" spans="1:13" ht="14.5">
      <c r="A315" s="3">
        <v>52</v>
      </c>
      <c r="B315" s="15">
        <f>AVERAGE(Sheet1!G313:G1650,Sheet1!D313:D1650)</f>
        <v>5902.1446640701042</v>
      </c>
      <c r="C315" s="3"/>
      <c r="J315" s="4" t="s">
        <v>10</v>
      </c>
      <c r="K315" s="4" t="s">
        <v>8</v>
      </c>
      <c r="L315" s="17">
        <f t="shared" si="8"/>
        <v>0</v>
      </c>
      <c r="M315" s="5">
        <f t="shared" si="9"/>
        <v>0</v>
      </c>
    </row>
    <row r="316" spans="1:13" ht="14.5">
      <c r="A316" s="3">
        <v>52</v>
      </c>
      <c r="B316" s="15">
        <f>AVERAGE(Sheet1!G314:G1651,Sheet1!D314:D1651)</f>
        <v>5903.1577046783596</v>
      </c>
      <c r="C316" s="3"/>
      <c r="J316" s="4" t="s">
        <v>7</v>
      </c>
      <c r="K316" s="4" t="s">
        <v>8</v>
      </c>
      <c r="L316" s="17">
        <f t="shared" si="8"/>
        <v>0</v>
      </c>
      <c r="M316" s="5">
        <f t="shared" si="9"/>
        <v>0</v>
      </c>
    </row>
    <row r="317" spans="1:13" ht="14.5">
      <c r="A317" s="3">
        <v>52</v>
      </c>
      <c r="B317" s="15">
        <f>AVERAGE(Sheet1!G315:G1652,Sheet1!D315:D1652)</f>
        <v>5892.5881170731682</v>
      </c>
      <c r="C317" s="3"/>
      <c r="J317" s="4" t="s">
        <v>10</v>
      </c>
      <c r="K317" s="4" t="s">
        <v>8</v>
      </c>
      <c r="L317" s="17">
        <f t="shared" si="8"/>
        <v>0</v>
      </c>
      <c r="M317" s="5">
        <f t="shared" si="9"/>
        <v>0</v>
      </c>
    </row>
    <row r="318" spans="1:13" ht="14.5">
      <c r="A318" s="3">
        <v>52</v>
      </c>
      <c r="B318" s="15">
        <f>AVERAGE(Sheet1!G316:G1653,Sheet1!D316:D1653)</f>
        <v>5886.2969824218726</v>
      </c>
      <c r="C318" s="3"/>
      <c r="J318" s="4" t="s">
        <v>10</v>
      </c>
      <c r="K318" s="4" t="s">
        <v>11</v>
      </c>
      <c r="L318" s="17">
        <f t="shared" si="8"/>
        <v>0</v>
      </c>
      <c r="M318" s="5">
        <f t="shared" si="9"/>
        <v>1</v>
      </c>
    </row>
    <row r="319" spans="1:13" ht="14.5">
      <c r="A319" s="3">
        <v>52</v>
      </c>
      <c r="B319" s="15">
        <f>AVERAGE(Sheet1!G317:G1654,Sheet1!D317:D1654)</f>
        <v>5879.1139393939366</v>
      </c>
      <c r="C319" s="3"/>
      <c r="J319" s="4" t="s">
        <v>7</v>
      </c>
      <c r="K319" s="4" t="s">
        <v>8</v>
      </c>
      <c r="L319" s="17">
        <f t="shared" si="8"/>
        <v>0</v>
      </c>
      <c r="M319" s="5">
        <f t="shared" si="9"/>
        <v>0</v>
      </c>
    </row>
    <row r="320" spans="1:13" ht="14.5">
      <c r="A320" s="3">
        <v>52</v>
      </c>
      <c r="B320" s="15">
        <f>AVERAGE(Sheet1!G318:G1655,Sheet1!D318:D1655)</f>
        <v>5880.096482387472</v>
      </c>
      <c r="C320" s="3"/>
      <c r="J320" s="4" t="s">
        <v>7</v>
      </c>
      <c r="K320" s="4" t="s">
        <v>8</v>
      </c>
      <c r="L320" s="17">
        <f t="shared" si="8"/>
        <v>0</v>
      </c>
      <c r="M320" s="5">
        <f t="shared" si="9"/>
        <v>0</v>
      </c>
    </row>
    <row r="321" spans="1:13" ht="14.5">
      <c r="A321" s="3">
        <v>52</v>
      </c>
      <c r="B321" s="15">
        <f>AVERAGE(Sheet1!G319:G1656,Sheet1!D319:D1656)</f>
        <v>5874.5698530852078</v>
      </c>
      <c r="C321" s="3"/>
      <c r="J321" s="4" t="s">
        <v>10</v>
      </c>
      <c r="K321" s="4" t="s">
        <v>8</v>
      </c>
      <c r="L321" s="17">
        <f t="shared" si="8"/>
        <v>0</v>
      </c>
      <c r="M321" s="5">
        <f t="shared" si="9"/>
        <v>0</v>
      </c>
    </row>
    <row r="322" spans="1:13" ht="14.5">
      <c r="A322" s="3">
        <v>52</v>
      </c>
      <c r="B322" s="15">
        <f>AVERAGE(Sheet1!G320:G1657,Sheet1!D320:D1657)</f>
        <v>5875.4316666666637</v>
      </c>
      <c r="C322" s="3"/>
      <c r="J322" s="4" t="s">
        <v>10</v>
      </c>
      <c r="K322" s="4" t="s">
        <v>8</v>
      </c>
      <c r="L322" s="17">
        <f t="shared" si="8"/>
        <v>0</v>
      </c>
      <c r="M322" s="5">
        <f t="shared" si="9"/>
        <v>0</v>
      </c>
    </row>
    <row r="323" spans="1:13" ht="14.5">
      <c r="A323" s="3">
        <v>52</v>
      </c>
      <c r="B323" s="15">
        <f>AVERAGE(Sheet1!G321:G1658,Sheet1!D321:D1658)</f>
        <v>5867.8913689892033</v>
      </c>
      <c r="C323" s="3"/>
      <c r="J323" s="4" t="s">
        <v>10</v>
      </c>
      <c r="K323" s="4" t="s">
        <v>8</v>
      </c>
      <c r="L323" s="17">
        <f t="shared" si="8"/>
        <v>0</v>
      </c>
      <c r="M323" s="5">
        <f t="shared" si="9"/>
        <v>0</v>
      </c>
    </row>
    <row r="324" spans="1:13" ht="14.5">
      <c r="A324" s="3">
        <v>52</v>
      </c>
      <c r="B324" s="15">
        <f>AVERAGE(Sheet1!G322:G1659,Sheet1!D322:D1659)</f>
        <v>5868.1092829076597</v>
      </c>
      <c r="C324" s="3"/>
      <c r="J324" s="4" t="s">
        <v>7</v>
      </c>
      <c r="K324" s="4" t="s">
        <v>8</v>
      </c>
      <c r="L324" s="17">
        <f t="shared" si="8"/>
        <v>0</v>
      </c>
      <c r="M324" s="5">
        <f t="shared" si="9"/>
        <v>0</v>
      </c>
    </row>
    <row r="325" spans="1:13" ht="14.5">
      <c r="A325" s="3">
        <v>52</v>
      </c>
      <c r="B325" s="15">
        <f>AVERAGE(Sheet1!G323:G1660,Sheet1!D323:D1660)</f>
        <v>5862.1346312684327</v>
      </c>
      <c r="C325" s="3"/>
      <c r="J325" s="4" t="s">
        <v>10</v>
      </c>
      <c r="K325" s="4" t="s">
        <v>11</v>
      </c>
      <c r="L325" s="17">
        <f t="shared" si="8"/>
        <v>0</v>
      </c>
      <c r="M325" s="5">
        <f t="shared" si="9"/>
        <v>1</v>
      </c>
    </row>
    <row r="326" spans="1:13" ht="14.5">
      <c r="A326" s="3">
        <v>52</v>
      </c>
      <c r="B326" s="15">
        <f>AVERAGE(Sheet1!G324:G1661,Sheet1!D324:D1661)</f>
        <v>5862.5851377952722</v>
      </c>
      <c r="C326" s="3"/>
      <c r="J326" s="4" t="s">
        <v>10</v>
      </c>
      <c r="K326" s="4" t="s">
        <v>8</v>
      </c>
      <c r="L326" s="17">
        <f t="shared" ref="L326:L389" si="10">IF(AND(J326="male", K326="yes"),1,0)</f>
        <v>0</v>
      </c>
      <c r="M326" s="5">
        <f t="shared" ref="M326:M389" si="11">IF(AND(J326="female", K326="yes"), 1, 0)</f>
        <v>0</v>
      </c>
    </row>
    <row r="327" spans="1:13" ht="14.5">
      <c r="A327" s="3">
        <v>52</v>
      </c>
      <c r="B327" s="15">
        <f>AVERAGE(Sheet1!G325:G1662,Sheet1!D325:D1662)</f>
        <v>5838.7924137930995</v>
      </c>
      <c r="C327" s="3"/>
      <c r="J327" s="4" t="s">
        <v>7</v>
      </c>
      <c r="K327" s="4" t="s">
        <v>11</v>
      </c>
      <c r="L327" s="17">
        <f t="shared" si="10"/>
        <v>1</v>
      </c>
      <c r="M327" s="5">
        <f t="shared" si="11"/>
        <v>0</v>
      </c>
    </row>
    <row r="328" spans="1:13" ht="14.5">
      <c r="A328" s="3">
        <v>52</v>
      </c>
      <c r="B328" s="15">
        <f>AVERAGE(Sheet1!G326:G1663,Sheet1!D326:D1663)</f>
        <v>5821.2410009861887</v>
      </c>
      <c r="C328" s="3"/>
      <c r="J328" s="4" t="s">
        <v>7</v>
      </c>
      <c r="K328" s="4" t="s">
        <v>11</v>
      </c>
      <c r="L328" s="17">
        <f t="shared" si="10"/>
        <v>1</v>
      </c>
      <c r="M328" s="5">
        <f t="shared" si="11"/>
        <v>0</v>
      </c>
    </row>
    <row r="329" spans="1:13" ht="14.5">
      <c r="A329" s="3">
        <v>52</v>
      </c>
      <c r="B329" s="15">
        <f>AVERAGE(Sheet1!G327:G1664,Sheet1!D327:D1664)</f>
        <v>5821.9540868706772</v>
      </c>
      <c r="C329" s="3"/>
      <c r="J329" s="4" t="s">
        <v>10</v>
      </c>
      <c r="K329" s="4" t="s">
        <v>8</v>
      </c>
      <c r="L329" s="17">
        <f t="shared" si="10"/>
        <v>0</v>
      </c>
      <c r="M329" s="5">
        <f t="shared" si="11"/>
        <v>0</v>
      </c>
    </row>
    <row r="330" spans="1:13" ht="14.5">
      <c r="A330" s="3">
        <v>52</v>
      </c>
      <c r="B330" s="15">
        <f>AVERAGE(Sheet1!G328:G1665,Sheet1!D328:D1665)</f>
        <v>5822.604629446635</v>
      </c>
      <c r="C330" s="3"/>
      <c r="J330" s="4" t="s">
        <v>7</v>
      </c>
      <c r="K330" s="4" t="s">
        <v>8</v>
      </c>
      <c r="L330" s="17">
        <f t="shared" si="10"/>
        <v>0</v>
      </c>
      <c r="M330" s="5">
        <f t="shared" si="11"/>
        <v>0</v>
      </c>
    </row>
    <row r="331" spans="1:13" ht="14.5">
      <c r="A331" s="3">
        <v>51</v>
      </c>
      <c r="B331" s="15">
        <f>AVERAGE(Sheet1!G329:G1666,Sheet1!D329:D1666)</f>
        <v>5822.7186350148313</v>
      </c>
      <c r="C331" s="3"/>
      <c r="J331" s="4" t="s">
        <v>10</v>
      </c>
      <c r="K331" s="4" t="s">
        <v>8</v>
      </c>
      <c r="L331" s="17">
        <f t="shared" si="10"/>
        <v>0</v>
      </c>
      <c r="M331" s="5">
        <f t="shared" si="11"/>
        <v>0</v>
      </c>
    </row>
    <row r="332" spans="1:13" ht="14.5">
      <c r="A332" s="3">
        <v>51</v>
      </c>
      <c r="B332" s="15">
        <f>AVERAGE(Sheet1!G330:G1667,Sheet1!D330:D1667)</f>
        <v>5823.5933019801932</v>
      </c>
      <c r="C332" s="3"/>
      <c r="J332" s="4" t="s">
        <v>10</v>
      </c>
      <c r="K332" s="4" t="s">
        <v>8</v>
      </c>
      <c r="L332" s="17">
        <f t="shared" si="10"/>
        <v>0</v>
      </c>
      <c r="M332" s="5">
        <f t="shared" si="11"/>
        <v>0</v>
      </c>
    </row>
    <row r="333" spans="1:13" ht="14.5">
      <c r="A333" s="3">
        <v>51</v>
      </c>
      <c r="B333" s="15">
        <f>AVERAGE(Sheet1!G331:G1668,Sheet1!D331:D1668)</f>
        <v>5824.5858374628297</v>
      </c>
      <c r="C333" s="3"/>
      <c r="J333" s="4" t="s">
        <v>10</v>
      </c>
      <c r="K333" s="4" t="s">
        <v>8</v>
      </c>
      <c r="L333" s="17">
        <f t="shared" si="10"/>
        <v>0</v>
      </c>
      <c r="M333" s="5">
        <f t="shared" si="11"/>
        <v>0</v>
      </c>
    </row>
    <row r="334" spans="1:13" ht="14.5">
      <c r="A334" s="3">
        <v>51</v>
      </c>
      <c r="B334" s="15">
        <f>AVERAGE(Sheet1!G332:G1669,Sheet1!D332:D1669)</f>
        <v>5824.6478769841233</v>
      </c>
      <c r="C334" s="3"/>
      <c r="J334" s="4" t="s">
        <v>7</v>
      </c>
      <c r="K334" s="4" t="s">
        <v>8</v>
      </c>
      <c r="L334" s="17">
        <f t="shared" si="10"/>
        <v>0</v>
      </c>
      <c r="M334" s="5">
        <f t="shared" si="11"/>
        <v>0</v>
      </c>
    </row>
    <row r="335" spans="1:13" ht="14.5">
      <c r="A335" s="3">
        <v>51</v>
      </c>
      <c r="B335" s="15">
        <f>AVERAGE(Sheet1!G333:G1670,Sheet1!D333:D1670)</f>
        <v>5825.5382274081385</v>
      </c>
      <c r="C335" s="3"/>
      <c r="J335" s="4" t="s">
        <v>10</v>
      </c>
      <c r="K335" s="4" t="s">
        <v>8</v>
      </c>
      <c r="L335" s="17">
        <f t="shared" si="10"/>
        <v>0</v>
      </c>
      <c r="M335" s="5">
        <f t="shared" si="11"/>
        <v>0</v>
      </c>
    </row>
    <row r="336" spans="1:13" ht="14.5">
      <c r="A336" s="3">
        <v>51</v>
      </c>
      <c r="B336" s="15">
        <f>AVERAGE(Sheet1!G334:G1671,Sheet1!D334:D1671)</f>
        <v>5826.7242495029768</v>
      </c>
      <c r="C336" s="3"/>
      <c r="J336" s="4" t="s">
        <v>10</v>
      </c>
      <c r="K336" s="4" t="s">
        <v>8</v>
      </c>
      <c r="L336" s="17">
        <f t="shared" si="10"/>
        <v>0</v>
      </c>
      <c r="M336" s="5">
        <f t="shared" si="11"/>
        <v>0</v>
      </c>
    </row>
    <row r="337" spans="1:13" ht="14.5">
      <c r="A337" s="3">
        <v>51</v>
      </c>
      <c r="B337" s="15">
        <f>AVERAGE(Sheet1!G335:G1672,Sheet1!D335:D1672)</f>
        <v>5827.6060298507418</v>
      </c>
      <c r="C337" s="3"/>
      <c r="J337" s="4" t="s">
        <v>10</v>
      </c>
      <c r="K337" s="4" t="s">
        <v>8</v>
      </c>
      <c r="L337" s="17">
        <f t="shared" si="10"/>
        <v>0</v>
      </c>
      <c r="M337" s="5">
        <f t="shared" si="11"/>
        <v>0</v>
      </c>
    </row>
    <row r="338" spans="1:13" ht="14.5">
      <c r="A338" s="3">
        <v>51</v>
      </c>
      <c r="B338" s="15">
        <f>AVERAGE(Sheet1!G336:G1673,Sheet1!D336:D1673)</f>
        <v>5822.3451245019878</v>
      </c>
      <c r="C338" s="3"/>
      <c r="J338" s="4" t="s">
        <v>7</v>
      </c>
      <c r="K338" s="4" t="s">
        <v>11</v>
      </c>
      <c r="L338" s="17">
        <f t="shared" si="10"/>
        <v>1</v>
      </c>
      <c r="M338" s="5">
        <f t="shared" si="11"/>
        <v>0</v>
      </c>
    </row>
    <row r="339" spans="1:13" ht="14.5">
      <c r="A339" s="3">
        <v>51</v>
      </c>
      <c r="B339" s="15">
        <f>AVERAGE(Sheet1!G337:G1674,Sheet1!D337:D1674)</f>
        <v>5823.483389830506</v>
      </c>
      <c r="C339" s="3"/>
      <c r="J339" s="4" t="s">
        <v>7</v>
      </c>
      <c r="K339" s="4" t="s">
        <v>8</v>
      </c>
      <c r="L339" s="17">
        <f t="shared" si="10"/>
        <v>0</v>
      </c>
      <c r="M339" s="5">
        <f t="shared" si="11"/>
        <v>0</v>
      </c>
    </row>
    <row r="340" spans="1:13" ht="14.5">
      <c r="A340" s="3">
        <v>51</v>
      </c>
      <c r="B340" s="15">
        <f>AVERAGE(Sheet1!G338:G1675,Sheet1!D338:D1675)</f>
        <v>5824.3719461077808</v>
      </c>
      <c r="C340" s="3"/>
      <c r="J340" s="4" t="s">
        <v>10</v>
      </c>
      <c r="K340" s="4" t="s">
        <v>8</v>
      </c>
      <c r="L340" s="17">
        <f t="shared" si="10"/>
        <v>0</v>
      </c>
      <c r="M340" s="5">
        <f t="shared" si="11"/>
        <v>0</v>
      </c>
    </row>
    <row r="341" spans="1:13" ht="14.5">
      <c r="A341" s="3">
        <v>51</v>
      </c>
      <c r="B341" s="15">
        <f>AVERAGE(Sheet1!G339:G1676,Sheet1!D339:D1676)</f>
        <v>5825.2644105894078</v>
      </c>
      <c r="C341" s="3"/>
      <c r="J341" s="4" t="s">
        <v>10</v>
      </c>
      <c r="K341" s="4" t="s">
        <v>8</v>
      </c>
      <c r="L341" s="17">
        <f t="shared" si="10"/>
        <v>0</v>
      </c>
      <c r="M341" s="5">
        <f t="shared" si="11"/>
        <v>0</v>
      </c>
    </row>
    <row r="342" spans="1:13" ht="14.5">
      <c r="A342" s="3">
        <v>51</v>
      </c>
      <c r="B342" s="15">
        <f>AVERAGE(Sheet1!G340:G1677,Sheet1!D340:D1677)</f>
        <v>5826.5026049999969</v>
      </c>
      <c r="C342" s="3"/>
      <c r="J342" s="4" t="s">
        <v>7</v>
      </c>
      <c r="K342" s="4" t="s">
        <v>8</v>
      </c>
      <c r="L342" s="17">
        <f t="shared" si="10"/>
        <v>0</v>
      </c>
      <c r="M342" s="5">
        <f t="shared" si="11"/>
        <v>0</v>
      </c>
    </row>
    <row r="343" spans="1:13" ht="14.5">
      <c r="A343" s="3">
        <v>51</v>
      </c>
      <c r="B343" s="15">
        <f>AVERAGE(Sheet1!G341:G1678,Sheet1!D341:D1678)</f>
        <v>5827.6885135135099</v>
      </c>
      <c r="C343" s="3"/>
      <c r="J343" s="4" t="s">
        <v>10</v>
      </c>
      <c r="K343" s="4" t="s">
        <v>8</v>
      </c>
      <c r="L343" s="17">
        <f t="shared" si="10"/>
        <v>0</v>
      </c>
      <c r="M343" s="5">
        <f t="shared" si="11"/>
        <v>0</v>
      </c>
    </row>
    <row r="344" spans="1:13" ht="14.5">
      <c r="A344" s="3">
        <v>51</v>
      </c>
      <c r="B344" s="15">
        <f>AVERAGE(Sheet1!G342:G1679,Sheet1!D342:D1679)</f>
        <v>5828.8222945891748</v>
      </c>
      <c r="C344" s="3"/>
      <c r="J344" s="4" t="s">
        <v>7</v>
      </c>
      <c r="K344" s="4" t="s">
        <v>8</v>
      </c>
      <c r="L344" s="17">
        <f t="shared" si="10"/>
        <v>0</v>
      </c>
      <c r="M344" s="5">
        <f t="shared" si="11"/>
        <v>0</v>
      </c>
    </row>
    <row r="345" spans="1:13" ht="14.5">
      <c r="A345" s="3">
        <v>51</v>
      </c>
      <c r="B345" s="15">
        <f>AVERAGE(Sheet1!G343:G1680,Sheet1!D343:D1680)</f>
        <v>5812.4016499498466</v>
      </c>
      <c r="C345" s="3"/>
      <c r="J345" s="4" t="s">
        <v>10</v>
      </c>
      <c r="K345" s="4" t="s">
        <v>11</v>
      </c>
      <c r="L345" s="17">
        <f t="shared" si="10"/>
        <v>0</v>
      </c>
      <c r="M345" s="5">
        <f t="shared" si="11"/>
        <v>1</v>
      </c>
    </row>
    <row r="346" spans="1:13" ht="14.5">
      <c r="A346" s="3">
        <v>51</v>
      </c>
      <c r="B346" s="15">
        <f>AVERAGE(Sheet1!G344:G1681,Sheet1!D344:D1681)</f>
        <v>5812.7905421686719</v>
      </c>
      <c r="C346" s="3"/>
      <c r="J346" s="4" t="s">
        <v>10</v>
      </c>
      <c r="K346" s="4" t="s">
        <v>8</v>
      </c>
      <c r="L346" s="17">
        <f t="shared" si="10"/>
        <v>0</v>
      </c>
      <c r="M346" s="5">
        <f t="shared" si="11"/>
        <v>0</v>
      </c>
    </row>
    <row r="347" spans="1:13" ht="14.5">
      <c r="A347" s="3">
        <v>51</v>
      </c>
      <c r="B347" s="15">
        <f>AVERAGE(Sheet1!G345:G1682,Sheet1!D345:D1682)</f>
        <v>5813.6698894472347</v>
      </c>
      <c r="C347" s="3"/>
      <c r="J347" s="4" t="s">
        <v>10</v>
      </c>
      <c r="K347" s="4" t="s">
        <v>8</v>
      </c>
      <c r="L347" s="17">
        <f t="shared" si="10"/>
        <v>0</v>
      </c>
      <c r="M347" s="5">
        <f t="shared" si="11"/>
        <v>0</v>
      </c>
    </row>
    <row r="348" spans="1:13" ht="14.5">
      <c r="A348" s="3">
        <v>51</v>
      </c>
      <c r="B348" s="15">
        <f>AVERAGE(Sheet1!G346:G1683,Sheet1!D346:D1683)</f>
        <v>5814.2050251509036</v>
      </c>
      <c r="C348" s="3"/>
      <c r="J348" s="4" t="s">
        <v>7</v>
      </c>
      <c r="K348" s="4" t="s">
        <v>8</v>
      </c>
      <c r="L348" s="17">
        <f t="shared" si="10"/>
        <v>0</v>
      </c>
      <c r="M348" s="5">
        <f t="shared" si="11"/>
        <v>0</v>
      </c>
    </row>
    <row r="349" spans="1:13" ht="14.5">
      <c r="A349" s="3">
        <v>51</v>
      </c>
      <c r="B349" s="15">
        <f>AVERAGE(Sheet1!G347:G1684,Sheet1!D347:D1684)</f>
        <v>5815.3335498489405</v>
      </c>
      <c r="C349" s="3"/>
      <c r="J349" s="4" t="s">
        <v>7</v>
      </c>
      <c r="K349" s="4" t="s">
        <v>8</v>
      </c>
      <c r="L349" s="17">
        <f t="shared" si="10"/>
        <v>0</v>
      </c>
      <c r="M349" s="5">
        <f t="shared" si="11"/>
        <v>0</v>
      </c>
    </row>
    <row r="350" spans="1:13" ht="14.5">
      <c r="A350" s="3">
        <v>51</v>
      </c>
      <c r="B350" s="15">
        <f>AVERAGE(Sheet1!G348:G1685,Sheet1!D348:D1685)</f>
        <v>5816.2191179435458</v>
      </c>
      <c r="C350" s="3"/>
      <c r="J350" s="4" t="s">
        <v>10</v>
      </c>
      <c r="K350" s="4" t="s">
        <v>8</v>
      </c>
      <c r="L350" s="17">
        <f t="shared" si="10"/>
        <v>0</v>
      </c>
      <c r="M350" s="5">
        <f t="shared" si="11"/>
        <v>0</v>
      </c>
    </row>
    <row r="351" spans="1:13" ht="14.5">
      <c r="A351" s="3">
        <v>51</v>
      </c>
      <c r="B351" s="15">
        <f>AVERAGE(Sheet1!G349:G1686,Sheet1!D349:D1686)</f>
        <v>5817.6570433905117</v>
      </c>
      <c r="C351" s="3"/>
      <c r="J351" s="4" t="s">
        <v>7</v>
      </c>
      <c r="K351" s="4" t="s">
        <v>8</v>
      </c>
      <c r="L351" s="17">
        <f t="shared" si="10"/>
        <v>0</v>
      </c>
      <c r="M351" s="5">
        <f t="shared" si="11"/>
        <v>0</v>
      </c>
    </row>
    <row r="352" spans="1:13" ht="14.5">
      <c r="A352" s="3">
        <v>51</v>
      </c>
      <c r="B352" s="15">
        <f>AVERAGE(Sheet1!G350:G1687,Sheet1!D350:D1687)</f>
        <v>5800.1707828282815</v>
      </c>
      <c r="C352" s="3"/>
      <c r="J352" s="4" t="s">
        <v>10</v>
      </c>
      <c r="K352" s="4" t="s">
        <v>11</v>
      </c>
      <c r="L352" s="17">
        <f t="shared" si="10"/>
        <v>0</v>
      </c>
      <c r="M352" s="5">
        <f t="shared" si="11"/>
        <v>1</v>
      </c>
    </row>
    <row r="353" spans="1:13" ht="14.5">
      <c r="A353" s="3">
        <v>51</v>
      </c>
      <c r="B353" s="15">
        <f>AVERAGE(Sheet1!G351:G1688,Sheet1!D351:D1688)</f>
        <v>5782.0390596562165</v>
      </c>
      <c r="C353" s="3"/>
      <c r="J353" s="4" t="s">
        <v>7</v>
      </c>
      <c r="K353" s="4" t="s">
        <v>11</v>
      </c>
      <c r="L353" s="17">
        <f t="shared" si="10"/>
        <v>1</v>
      </c>
      <c r="M353" s="5">
        <f t="shared" si="11"/>
        <v>0</v>
      </c>
    </row>
    <row r="354" spans="1:13" ht="14.5">
      <c r="A354" s="3">
        <v>51</v>
      </c>
      <c r="B354" s="15">
        <f>AVERAGE(Sheet1!G352:G1689,Sheet1!D352:D1689)</f>
        <v>5775.7610728744912</v>
      </c>
      <c r="C354" s="3"/>
      <c r="J354" s="4" t="s">
        <v>7</v>
      </c>
      <c r="K354" s="4" t="s">
        <v>11</v>
      </c>
      <c r="L354" s="17">
        <f t="shared" si="10"/>
        <v>1</v>
      </c>
      <c r="M354" s="5">
        <f t="shared" si="11"/>
        <v>0</v>
      </c>
    </row>
    <row r="355" spans="1:13" ht="14.5">
      <c r="A355" s="3">
        <v>51</v>
      </c>
      <c r="B355" s="15">
        <f>AVERAGE(Sheet1!G353:G1690,Sheet1!D353:D1690)</f>
        <v>5776.567963525833</v>
      </c>
      <c r="C355" s="3"/>
      <c r="J355" s="4" t="s">
        <v>7</v>
      </c>
      <c r="K355" s="4" t="s">
        <v>8</v>
      </c>
      <c r="L355" s="17">
        <f t="shared" si="10"/>
        <v>0</v>
      </c>
      <c r="M355" s="5">
        <f t="shared" si="11"/>
        <v>0</v>
      </c>
    </row>
    <row r="356" spans="1:13" ht="14.5">
      <c r="A356" s="3">
        <v>51</v>
      </c>
      <c r="B356" s="15">
        <f>AVERAGE(Sheet1!G354:G1691,Sheet1!D354:D1691)</f>
        <v>5777.9647920892467</v>
      </c>
      <c r="C356" s="3"/>
      <c r="J356" s="4" t="s">
        <v>7</v>
      </c>
      <c r="K356" s="4" t="s">
        <v>8</v>
      </c>
      <c r="L356" s="17">
        <f t="shared" si="10"/>
        <v>0</v>
      </c>
      <c r="M356" s="5">
        <f t="shared" si="11"/>
        <v>0</v>
      </c>
    </row>
    <row r="357" spans="1:13" ht="14.5">
      <c r="A357" s="3">
        <v>51</v>
      </c>
      <c r="B357" s="15">
        <f>AVERAGE(Sheet1!G355:G1692,Sheet1!D355:D1692)</f>
        <v>5761.1692233502508</v>
      </c>
      <c r="C357" s="3"/>
      <c r="J357" s="4" t="s">
        <v>10</v>
      </c>
      <c r="K357" s="4" t="s">
        <v>11</v>
      </c>
      <c r="L357" s="17">
        <f t="shared" si="10"/>
        <v>0</v>
      </c>
      <c r="M357" s="5">
        <f t="shared" si="11"/>
        <v>1</v>
      </c>
    </row>
    <row r="358" spans="1:13" ht="14.5">
      <c r="A358" s="3">
        <v>51</v>
      </c>
      <c r="B358" s="15">
        <f>AVERAGE(Sheet1!G356:G1693,Sheet1!D356:D1693)</f>
        <v>5761.9605233739803</v>
      </c>
      <c r="C358" s="3"/>
      <c r="J358" s="4" t="s">
        <v>7</v>
      </c>
      <c r="K358" s="4" t="s">
        <v>8</v>
      </c>
      <c r="L358" s="17">
        <f t="shared" si="10"/>
        <v>0</v>
      </c>
      <c r="M358" s="5">
        <f t="shared" si="11"/>
        <v>0</v>
      </c>
    </row>
    <row r="359" spans="1:13" ht="14.5">
      <c r="A359" s="3">
        <v>51</v>
      </c>
      <c r="B359" s="15">
        <f>AVERAGE(Sheet1!G357:G1694,Sheet1!D357:D1694)</f>
        <v>5762.0033418107778</v>
      </c>
      <c r="C359" s="3"/>
      <c r="J359" s="4" t="s">
        <v>10</v>
      </c>
      <c r="K359" s="4" t="s">
        <v>8</v>
      </c>
      <c r="L359" s="17">
        <f t="shared" si="10"/>
        <v>0</v>
      </c>
      <c r="M359" s="5">
        <f t="shared" si="11"/>
        <v>0</v>
      </c>
    </row>
    <row r="360" spans="1:13" ht="14.5">
      <c r="A360" s="3">
        <v>50</v>
      </c>
      <c r="B360" s="15">
        <f>AVERAGE(Sheet1!G358:G1695,Sheet1!D358:D1695)</f>
        <v>5763.0955549898117</v>
      </c>
      <c r="C360" s="3"/>
      <c r="J360" s="4" t="s">
        <v>7</v>
      </c>
      <c r="K360" s="4" t="s">
        <v>8</v>
      </c>
      <c r="L360" s="17">
        <f t="shared" si="10"/>
        <v>0</v>
      </c>
      <c r="M360" s="5">
        <f t="shared" si="11"/>
        <v>0</v>
      </c>
    </row>
    <row r="361" spans="1:13" ht="14.5">
      <c r="A361" s="3">
        <v>50</v>
      </c>
      <c r="B361" s="15">
        <f>AVERAGE(Sheet1!G359:G1696,Sheet1!D359:D1696)</f>
        <v>5758.9027981651325</v>
      </c>
      <c r="C361" s="3"/>
      <c r="J361" s="4" t="s">
        <v>10</v>
      </c>
      <c r="K361" s="4" t="s">
        <v>8</v>
      </c>
      <c r="L361" s="17">
        <f t="shared" si="10"/>
        <v>0</v>
      </c>
      <c r="M361" s="5">
        <f t="shared" si="11"/>
        <v>0</v>
      </c>
    </row>
    <row r="362" spans="1:13" ht="14.5">
      <c r="A362" s="3">
        <v>50</v>
      </c>
      <c r="B362" s="15">
        <f>AVERAGE(Sheet1!G360:G1697,Sheet1!D360:D1697)</f>
        <v>5743.8112908163212</v>
      </c>
      <c r="C362" s="3"/>
      <c r="J362" s="4" t="s">
        <v>7</v>
      </c>
      <c r="K362" s="4" t="s">
        <v>11</v>
      </c>
      <c r="L362" s="17">
        <f t="shared" si="10"/>
        <v>1</v>
      </c>
      <c r="M362" s="5">
        <f t="shared" si="11"/>
        <v>0</v>
      </c>
    </row>
    <row r="363" spans="1:13" ht="14.5">
      <c r="A363" s="3">
        <v>50</v>
      </c>
      <c r="B363" s="15">
        <f>AVERAGE(Sheet1!G361:G1698,Sheet1!D361:D1698)</f>
        <v>5727.7892185903947</v>
      </c>
      <c r="C363" s="3"/>
      <c r="J363" s="4" t="s">
        <v>7</v>
      </c>
      <c r="K363" s="4" t="s">
        <v>11</v>
      </c>
      <c r="L363" s="17">
        <f t="shared" si="10"/>
        <v>1</v>
      </c>
      <c r="M363" s="5">
        <f t="shared" si="11"/>
        <v>0</v>
      </c>
    </row>
    <row r="364" spans="1:13" ht="14.5">
      <c r="A364" s="3">
        <v>50</v>
      </c>
      <c r="B364" s="15">
        <f>AVERAGE(Sheet1!G362:G1699,Sheet1!D362:D1699)</f>
        <v>5728.7283384458042</v>
      </c>
      <c r="C364" s="3"/>
      <c r="J364" s="4" t="s">
        <v>7</v>
      </c>
      <c r="K364" s="4" t="s">
        <v>8</v>
      </c>
      <c r="L364" s="17">
        <f t="shared" si="10"/>
        <v>0</v>
      </c>
      <c r="M364" s="5">
        <f t="shared" si="11"/>
        <v>0</v>
      </c>
    </row>
    <row r="365" spans="1:13" ht="14.5">
      <c r="A365" s="3">
        <v>50</v>
      </c>
      <c r="B365" s="15">
        <f>AVERAGE(Sheet1!G363:G1700,Sheet1!D363:D1700)</f>
        <v>5730.2702968270187</v>
      </c>
      <c r="C365" s="3"/>
      <c r="J365" s="4" t="s">
        <v>7</v>
      </c>
      <c r="K365" s="4" t="s">
        <v>8</v>
      </c>
      <c r="L365" s="17">
        <f t="shared" si="10"/>
        <v>0</v>
      </c>
      <c r="M365" s="5">
        <f t="shared" si="11"/>
        <v>0</v>
      </c>
    </row>
    <row r="366" spans="1:13" ht="14.5">
      <c r="A366" s="3">
        <v>50</v>
      </c>
      <c r="B366" s="15">
        <f>AVERAGE(Sheet1!G364:G1701,Sheet1!D364:D1701)</f>
        <v>5731.6152151639317</v>
      </c>
      <c r="C366" s="3"/>
      <c r="J366" s="4" t="s">
        <v>7</v>
      </c>
      <c r="K366" s="4" t="s">
        <v>8</v>
      </c>
      <c r="L366" s="17">
        <f t="shared" si="10"/>
        <v>0</v>
      </c>
      <c r="M366" s="5">
        <f t="shared" si="11"/>
        <v>0</v>
      </c>
    </row>
    <row r="367" spans="1:13" ht="14.5">
      <c r="A367" s="3">
        <v>50</v>
      </c>
      <c r="B367" s="15">
        <f>AVERAGE(Sheet1!G365:G1702,Sheet1!D365:D1702)</f>
        <v>5715.9963076923041</v>
      </c>
      <c r="C367" s="3"/>
      <c r="J367" s="4" t="s">
        <v>7</v>
      </c>
      <c r="K367" s="4" t="s">
        <v>11</v>
      </c>
      <c r="L367" s="17">
        <f t="shared" si="10"/>
        <v>1</v>
      </c>
      <c r="M367" s="5">
        <f t="shared" si="11"/>
        <v>0</v>
      </c>
    </row>
    <row r="368" spans="1:13" ht="14.5">
      <c r="A368" s="3">
        <v>50</v>
      </c>
      <c r="B368" s="15">
        <f>AVERAGE(Sheet1!G366:G1703,Sheet1!D366:D1703)</f>
        <v>5717.2796303901405</v>
      </c>
      <c r="C368" s="3"/>
      <c r="J368" s="4" t="s">
        <v>10</v>
      </c>
      <c r="K368" s="4" t="s">
        <v>8</v>
      </c>
      <c r="L368" s="17">
        <f t="shared" si="10"/>
        <v>0</v>
      </c>
      <c r="M368" s="5">
        <f t="shared" si="11"/>
        <v>0</v>
      </c>
    </row>
    <row r="369" spans="1:13" ht="14.5">
      <c r="A369" s="3">
        <v>50</v>
      </c>
      <c r="B369" s="15">
        <f>AVERAGE(Sheet1!G367:G1704,Sheet1!D367:D1704)</f>
        <v>5707.592024665978</v>
      </c>
      <c r="C369" s="3"/>
      <c r="J369" s="4" t="s">
        <v>7</v>
      </c>
      <c r="K369" s="4" t="s">
        <v>8</v>
      </c>
      <c r="L369" s="17">
        <f t="shared" si="10"/>
        <v>0</v>
      </c>
      <c r="M369" s="5">
        <f t="shared" si="11"/>
        <v>0</v>
      </c>
    </row>
    <row r="370" spans="1:13" ht="14.5">
      <c r="A370" s="3">
        <v>50</v>
      </c>
      <c r="B370" s="15">
        <f>AVERAGE(Sheet1!G368:G1705,Sheet1!D368:D1705)</f>
        <v>5700.2662037036998</v>
      </c>
      <c r="C370" s="3"/>
      <c r="J370" s="4" t="s">
        <v>10</v>
      </c>
      <c r="K370" s="4" t="s">
        <v>8</v>
      </c>
      <c r="L370" s="17">
        <f t="shared" si="10"/>
        <v>0</v>
      </c>
      <c r="M370" s="5">
        <f t="shared" si="11"/>
        <v>0</v>
      </c>
    </row>
    <row r="371" spans="1:13" ht="14.5">
      <c r="A371" s="3">
        <v>50</v>
      </c>
      <c r="B371" s="15">
        <f>AVERAGE(Sheet1!G369:G1706,Sheet1!D369:D1706)</f>
        <v>5701.4715602471651</v>
      </c>
      <c r="C371" s="3"/>
      <c r="J371" s="4" t="s">
        <v>7</v>
      </c>
      <c r="K371" s="4" t="s">
        <v>8</v>
      </c>
      <c r="L371" s="17">
        <f t="shared" si="10"/>
        <v>0</v>
      </c>
      <c r="M371" s="5">
        <f t="shared" si="11"/>
        <v>0</v>
      </c>
    </row>
    <row r="372" spans="1:13" ht="14.5">
      <c r="A372" s="3">
        <v>50</v>
      </c>
      <c r="B372" s="15">
        <f>AVERAGE(Sheet1!G370:G1707,Sheet1!D370:D1707)</f>
        <v>5702.4309639175226</v>
      </c>
      <c r="C372" s="3"/>
      <c r="J372" s="4" t="s">
        <v>10</v>
      </c>
      <c r="K372" s="4" t="s">
        <v>8</v>
      </c>
      <c r="L372" s="17">
        <f t="shared" si="10"/>
        <v>0</v>
      </c>
      <c r="M372" s="5">
        <f t="shared" si="11"/>
        <v>0</v>
      </c>
    </row>
    <row r="373" spans="1:13" ht="14.5">
      <c r="A373" s="3">
        <v>50</v>
      </c>
      <c r="B373" s="15">
        <f>AVERAGE(Sheet1!G371:G1708,Sheet1!D371:D1708)</f>
        <v>5703.0995098039184</v>
      </c>
      <c r="C373" s="3"/>
      <c r="J373" s="4" t="s">
        <v>10</v>
      </c>
      <c r="K373" s="4" t="s">
        <v>8</v>
      </c>
      <c r="L373" s="17">
        <f t="shared" si="10"/>
        <v>0</v>
      </c>
      <c r="M373" s="5">
        <f t="shared" si="11"/>
        <v>0</v>
      </c>
    </row>
    <row r="374" spans="1:13" ht="14.5">
      <c r="A374" s="3">
        <v>50</v>
      </c>
      <c r="B374" s="15">
        <f>AVERAGE(Sheet1!G372:G1709,Sheet1!D372:D1709)</f>
        <v>5703.7705165289235</v>
      </c>
      <c r="C374" s="3"/>
      <c r="J374" s="4" t="s">
        <v>10</v>
      </c>
      <c r="K374" s="4" t="s">
        <v>8</v>
      </c>
      <c r="L374" s="17">
        <f t="shared" si="10"/>
        <v>0</v>
      </c>
      <c r="M374" s="5">
        <f t="shared" si="11"/>
        <v>0</v>
      </c>
    </row>
    <row r="375" spans="1:13" ht="14.5">
      <c r="A375" s="3">
        <v>50</v>
      </c>
      <c r="B375" s="15">
        <f>AVERAGE(Sheet1!G373:G1710,Sheet1!D373:D1710)</f>
        <v>5705.1047104446716</v>
      </c>
      <c r="C375" s="3"/>
      <c r="J375" s="4" t="s">
        <v>7</v>
      </c>
      <c r="K375" s="4" t="s">
        <v>8</v>
      </c>
      <c r="L375" s="17">
        <f t="shared" si="10"/>
        <v>0</v>
      </c>
      <c r="M375" s="5">
        <f t="shared" si="11"/>
        <v>0</v>
      </c>
    </row>
    <row r="376" spans="1:13" ht="14.5">
      <c r="A376" s="3">
        <v>50</v>
      </c>
      <c r="B376" s="15">
        <f>AVERAGE(Sheet1!G374:G1711,Sheet1!D374:D1711)</f>
        <v>5705.8805124223572</v>
      </c>
      <c r="C376" s="3"/>
      <c r="J376" s="4" t="s">
        <v>10</v>
      </c>
      <c r="K376" s="4" t="s">
        <v>8</v>
      </c>
      <c r="L376" s="17">
        <f t="shared" si="10"/>
        <v>0</v>
      </c>
      <c r="M376" s="5">
        <f t="shared" si="11"/>
        <v>0</v>
      </c>
    </row>
    <row r="377" spans="1:13" ht="14.5">
      <c r="A377" s="3">
        <v>50</v>
      </c>
      <c r="B377" s="15">
        <f>AVERAGE(Sheet1!G375:G1712,Sheet1!D375:D1712)</f>
        <v>5699.0880259067326</v>
      </c>
      <c r="C377" s="3"/>
      <c r="J377" s="4" t="s">
        <v>10</v>
      </c>
      <c r="K377" s="4" t="s">
        <v>11</v>
      </c>
      <c r="L377" s="17">
        <f t="shared" si="10"/>
        <v>0</v>
      </c>
      <c r="M377" s="5">
        <f t="shared" si="11"/>
        <v>1</v>
      </c>
    </row>
    <row r="378" spans="1:13" ht="14.5">
      <c r="A378" s="3">
        <v>50</v>
      </c>
      <c r="B378" s="15">
        <f>AVERAGE(Sheet1!G376:G1713,Sheet1!D376:D1713)</f>
        <v>5700.6131068464692</v>
      </c>
      <c r="C378" s="3"/>
      <c r="J378" s="4" t="s">
        <v>7</v>
      </c>
      <c r="K378" s="4" t="s">
        <v>8</v>
      </c>
      <c r="L378" s="17">
        <f t="shared" si="10"/>
        <v>0</v>
      </c>
      <c r="M378" s="5">
        <f t="shared" si="11"/>
        <v>0</v>
      </c>
    </row>
    <row r="379" spans="1:13" ht="14.5">
      <c r="A379" s="3">
        <v>50</v>
      </c>
      <c r="B379" s="15">
        <f>AVERAGE(Sheet1!G377:G1714,Sheet1!D377:D1714)</f>
        <v>5693.3783696780856</v>
      </c>
      <c r="C379" s="3"/>
      <c r="J379" s="4" t="s">
        <v>7</v>
      </c>
      <c r="K379" s="4" t="s">
        <v>8</v>
      </c>
      <c r="L379" s="17">
        <f t="shared" si="10"/>
        <v>0</v>
      </c>
      <c r="M379" s="5">
        <f t="shared" si="11"/>
        <v>0</v>
      </c>
    </row>
    <row r="380" spans="1:13" ht="14.5">
      <c r="A380" s="3">
        <v>50</v>
      </c>
      <c r="B380" s="15">
        <f>AVERAGE(Sheet1!G378:G1715,Sheet1!D378:D1715)</f>
        <v>5694.3327286902258</v>
      </c>
      <c r="C380" s="3"/>
      <c r="J380" s="4" t="s">
        <v>10</v>
      </c>
      <c r="K380" s="4" t="s">
        <v>8</v>
      </c>
      <c r="L380" s="17">
        <f t="shared" si="10"/>
        <v>0</v>
      </c>
      <c r="M380" s="5">
        <f t="shared" si="11"/>
        <v>0</v>
      </c>
    </row>
    <row r="381" spans="1:13" ht="14.5">
      <c r="A381" s="3">
        <v>50</v>
      </c>
      <c r="B381" s="15">
        <f>AVERAGE(Sheet1!G379:G1716,Sheet1!D379:D1716)</f>
        <v>5694.6881009365216</v>
      </c>
      <c r="C381" s="3"/>
      <c r="J381" s="4" t="s">
        <v>10</v>
      </c>
      <c r="K381" s="4" t="s">
        <v>8</v>
      </c>
      <c r="L381" s="17">
        <f t="shared" si="10"/>
        <v>0</v>
      </c>
      <c r="M381" s="5">
        <f t="shared" si="11"/>
        <v>0</v>
      </c>
    </row>
    <row r="382" spans="1:13" ht="14.5">
      <c r="A382" s="3">
        <v>50</v>
      </c>
      <c r="B382" s="15">
        <f>AVERAGE(Sheet1!G380:G1717,Sheet1!D380:D1717)</f>
        <v>5695.3490156249964</v>
      </c>
      <c r="C382" s="3"/>
      <c r="J382" s="4" t="s">
        <v>10</v>
      </c>
      <c r="K382" s="4" t="s">
        <v>8</v>
      </c>
      <c r="L382" s="17">
        <f t="shared" si="10"/>
        <v>0</v>
      </c>
      <c r="M382" s="5">
        <f t="shared" si="11"/>
        <v>0</v>
      </c>
    </row>
    <row r="383" spans="1:13" ht="14.5">
      <c r="A383" s="3">
        <v>50</v>
      </c>
      <c r="B383" s="15">
        <f>AVERAGE(Sheet1!G381:G1718,Sheet1!D381:D1718)</f>
        <v>5695.3945620437935</v>
      </c>
      <c r="C383" s="3"/>
      <c r="J383" s="4" t="s">
        <v>10</v>
      </c>
      <c r="K383" s="4" t="s">
        <v>8</v>
      </c>
      <c r="L383" s="17">
        <f t="shared" si="10"/>
        <v>0</v>
      </c>
      <c r="M383" s="5">
        <f t="shared" si="11"/>
        <v>0</v>
      </c>
    </row>
    <row r="384" spans="1:13" ht="14.5">
      <c r="A384" s="3">
        <v>50</v>
      </c>
      <c r="B384" s="15">
        <f>AVERAGE(Sheet1!G382:G1719,Sheet1!D382:D1719)</f>
        <v>5695.8615970772425</v>
      </c>
      <c r="C384" s="3"/>
      <c r="J384" s="4" t="s">
        <v>10</v>
      </c>
      <c r="K384" s="4" t="s">
        <v>8</v>
      </c>
      <c r="L384" s="17">
        <f t="shared" si="10"/>
        <v>0</v>
      </c>
      <c r="M384" s="5">
        <f t="shared" si="11"/>
        <v>0</v>
      </c>
    </row>
    <row r="385" spans="1:13" ht="14.5">
      <c r="A385" s="3">
        <v>50</v>
      </c>
      <c r="B385" s="15">
        <f>AVERAGE(Sheet1!G383:G1720,Sheet1!D383:D1720)</f>
        <v>5696.019973876696</v>
      </c>
      <c r="C385" s="3"/>
      <c r="J385" s="4" t="s">
        <v>10</v>
      </c>
      <c r="K385" s="4" t="s">
        <v>8</v>
      </c>
      <c r="L385" s="17">
        <f t="shared" si="10"/>
        <v>0</v>
      </c>
      <c r="M385" s="5">
        <f t="shared" si="11"/>
        <v>0</v>
      </c>
    </row>
    <row r="386" spans="1:13" ht="14.5">
      <c r="A386" s="3">
        <v>50</v>
      </c>
      <c r="B386" s="15">
        <f>AVERAGE(Sheet1!G384:G1721,Sheet1!D384:D1721)</f>
        <v>5697.245397489537</v>
      </c>
      <c r="C386" s="3"/>
      <c r="J386" s="4" t="s">
        <v>7</v>
      </c>
      <c r="K386" s="4" t="s">
        <v>8</v>
      </c>
      <c r="L386" s="17">
        <f t="shared" si="10"/>
        <v>0</v>
      </c>
      <c r="M386" s="5">
        <f t="shared" si="11"/>
        <v>0</v>
      </c>
    </row>
    <row r="387" spans="1:13" ht="14.5">
      <c r="A387" s="3">
        <v>50</v>
      </c>
      <c r="B387" s="15">
        <f>AVERAGE(Sheet1!G385:G1722,Sheet1!D385:D1722)</f>
        <v>5698.167958115182</v>
      </c>
      <c r="C387" s="3"/>
      <c r="J387" s="4" t="s">
        <v>7</v>
      </c>
      <c r="K387" s="4" t="s">
        <v>8</v>
      </c>
      <c r="L387" s="17">
        <f t="shared" si="10"/>
        <v>0</v>
      </c>
      <c r="M387" s="5">
        <f t="shared" si="11"/>
        <v>0</v>
      </c>
    </row>
    <row r="388" spans="1:13" ht="14.5">
      <c r="A388" s="3">
        <v>50</v>
      </c>
      <c r="B388" s="15">
        <f>AVERAGE(Sheet1!G386:G1723,Sheet1!D386:D1723)</f>
        <v>5699.7160010482166</v>
      </c>
      <c r="C388" s="3"/>
      <c r="J388" s="4" t="s">
        <v>7</v>
      </c>
      <c r="K388" s="4" t="s">
        <v>8</v>
      </c>
      <c r="L388" s="17">
        <f t="shared" si="10"/>
        <v>0</v>
      </c>
      <c r="M388" s="5">
        <f t="shared" si="11"/>
        <v>0</v>
      </c>
    </row>
    <row r="389" spans="1:13" ht="14.5">
      <c r="A389" s="3">
        <v>49</v>
      </c>
      <c r="B389" s="15">
        <f>AVERAGE(Sheet1!G387:G1724,Sheet1!D387:D1724)</f>
        <v>5700.1335676810068</v>
      </c>
      <c r="C389" s="3"/>
      <c r="J389" s="4" t="s">
        <v>7</v>
      </c>
      <c r="K389" s="4" t="s">
        <v>8</v>
      </c>
      <c r="L389" s="17">
        <f t="shared" si="10"/>
        <v>0</v>
      </c>
      <c r="M389" s="5">
        <f t="shared" si="11"/>
        <v>0</v>
      </c>
    </row>
    <row r="390" spans="1:13" ht="14.5">
      <c r="A390" s="3">
        <v>49</v>
      </c>
      <c r="B390" s="15">
        <f>AVERAGE(Sheet1!G388:G1725,Sheet1!D388:D1725)</f>
        <v>5701.6035976890735</v>
      </c>
      <c r="C390" s="3"/>
      <c r="J390" s="4" t="s">
        <v>10</v>
      </c>
      <c r="K390" s="4" t="s">
        <v>8</v>
      </c>
      <c r="L390" s="17">
        <f t="shared" ref="L390:L453" si="12">IF(AND(J390="male", K390="yes"),1,0)</f>
        <v>0</v>
      </c>
      <c r="M390" s="5">
        <f t="shared" ref="M390:M453" si="13">IF(AND(J390="female", K390="yes"), 1, 0)</f>
        <v>0</v>
      </c>
    </row>
    <row r="391" spans="1:13" ht="14.5">
      <c r="A391" s="3">
        <v>49</v>
      </c>
      <c r="B391" s="15">
        <f>AVERAGE(Sheet1!G389:G1726,Sheet1!D389:D1726)</f>
        <v>5703.3315299684527</v>
      </c>
      <c r="C391" s="3"/>
      <c r="J391" s="4" t="s">
        <v>7</v>
      </c>
      <c r="K391" s="4" t="s">
        <v>8</v>
      </c>
      <c r="L391" s="17">
        <f t="shared" si="12"/>
        <v>0</v>
      </c>
      <c r="M391" s="5">
        <f t="shared" si="13"/>
        <v>0</v>
      </c>
    </row>
    <row r="392" spans="1:13" ht="14.5">
      <c r="A392" s="3">
        <v>49</v>
      </c>
      <c r="B392" s="15">
        <f>AVERAGE(Sheet1!G390:G1727,Sheet1!D390:D1727)</f>
        <v>5704.4489947368402</v>
      </c>
      <c r="C392" s="3"/>
      <c r="J392" s="4" t="s">
        <v>7</v>
      </c>
      <c r="K392" s="4" t="s">
        <v>8</v>
      </c>
      <c r="L392" s="17">
        <f t="shared" si="12"/>
        <v>0</v>
      </c>
      <c r="M392" s="5">
        <f t="shared" si="13"/>
        <v>0</v>
      </c>
    </row>
    <row r="393" spans="1:13" ht="14.5">
      <c r="A393" s="3">
        <v>49</v>
      </c>
      <c r="B393" s="15">
        <f>AVERAGE(Sheet1!G391:G1728,Sheet1!D391:D1728)</f>
        <v>5706.1794942044235</v>
      </c>
      <c r="C393" s="3"/>
      <c r="J393" s="4" t="s">
        <v>7</v>
      </c>
      <c r="K393" s="4" t="s">
        <v>8</v>
      </c>
      <c r="L393" s="17">
        <f t="shared" si="12"/>
        <v>0</v>
      </c>
      <c r="M393" s="5">
        <f t="shared" si="13"/>
        <v>0</v>
      </c>
    </row>
    <row r="394" spans="1:13" ht="14.5">
      <c r="A394" s="3">
        <v>49</v>
      </c>
      <c r="B394" s="15">
        <f>AVERAGE(Sheet1!G392:G1729,Sheet1!D392:D1729)</f>
        <v>5706.4068934599136</v>
      </c>
      <c r="C394" s="3"/>
      <c r="J394" s="4" t="s">
        <v>10</v>
      </c>
      <c r="K394" s="4" t="s">
        <v>8</v>
      </c>
      <c r="L394" s="17">
        <f t="shared" si="12"/>
        <v>0</v>
      </c>
      <c r="M394" s="5">
        <f t="shared" si="13"/>
        <v>0</v>
      </c>
    </row>
    <row r="395" spans="1:13" ht="14.5">
      <c r="A395" s="3">
        <v>49</v>
      </c>
      <c r="B395" s="15">
        <f>AVERAGE(Sheet1!G393:G1730,Sheet1!D393:D1730)</f>
        <v>5707.2693347412869</v>
      </c>
      <c r="C395" s="3"/>
      <c r="J395" s="4" t="s">
        <v>10</v>
      </c>
      <c r="K395" s="4" t="s">
        <v>8</v>
      </c>
      <c r="L395" s="17">
        <f t="shared" si="12"/>
        <v>0</v>
      </c>
      <c r="M395" s="5">
        <f t="shared" si="13"/>
        <v>0</v>
      </c>
    </row>
    <row r="396" spans="1:13" ht="14.5">
      <c r="A396" s="3">
        <v>49</v>
      </c>
      <c r="B396" s="15">
        <f>AVERAGE(Sheet1!G394:G1731,Sheet1!D394:D1731)</f>
        <v>5708.3916384777995</v>
      </c>
      <c r="C396" s="3"/>
      <c r="J396" s="4" t="s">
        <v>7</v>
      </c>
      <c r="K396" s="4" t="s">
        <v>8</v>
      </c>
      <c r="L396" s="17">
        <f t="shared" si="12"/>
        <v>0</v>
      </c>
      <c r="M396" s="5">
        <f t="shared" si="13"/>
        <v>0</v>
      </c>
    </row>
    <row r="397" spans="1:13" ht="14.5">
      <c r="A397" s="3">
        <v>49</v>
      </c>
      <c r="B397" s="15">
        <f>AVERAGE(Sheet1!G395:G1732,Sheet1!D395:D1732)</f>
        <v>5708.997100529099</v>
      </c>
      <c r="C397" s="3"/>
      <c r="J397" s="4" t="s">
        <v>7</v>
      </c>
      <c r="K397" s="4" t="s">
        <v>8</v>
      </c>
      <c r="L397" s="17">
        <f t="shared" si="12"/>
        <v>0</v>
      </c>
      <c r="M397" s="5">
        <f t="shared" si="13"/>
        <v>0</v>
      </c>
    </row>
    <row r="398" spans="1:13" ht="14.5">
      <c r="A398" s="3">
        <v>49</v>
      </c>
      <c r="B398" s="15">
        <f>AVERAGE(Sheet1!G396:G1733,Sheet1!D396:D1733)</f>
        <v>5709.5445127118637</v>
      </c>
      <c r="C398" s="3"/>
      <c r="J398" s="4" t="s">
        <v>10</v>
      </c>
      <c r="K398" s="4" t="s">
        <v>8</v>
      </c>
      <c r="L398" s="17">
        <f t="shared" si="12"/>
        <v>0</v>
      </c>
      <c r="M398" s="5">
        <f t="shared" si="13"/>
        <v>0</v>
      </c>
    </row>
    <row r="399" spans="1:13" ht="14.5">
      <c r="A399" s="3">
        <v>49</v>
      </c>
      <c r="B399" s="15">
        <f>AVERAGE(Sheet1!G397:G1734,Sheet1!D397:D1734)</f>
        <v>5710.6645493107098</v>
      </c>
      <c r="C399" s="3"/>
      <c r="J399" s="4" t="s">
        <v>7</v>
      </c>
      <c r="K399" s="4" t="s">
        <v>8</v>
      </c>
      <c r="L399" s="17">
        <f t="shared" si="12"/>
        <v>0</v>
      </c>
      <c r="M399" s="5">
        <f t="shared" si="13"/>
        <v>0</v>
      </c>
    </row>
    <row r="400" spans="1:13" ht="14.5">
      <c r="A400" s="3">
        <v>49</v>
      </c>
      <c r="B400" s="15">
        <f>AVERAGE(Sheet1!G398:G1735,Sheet1!D398:D1735)</f>
        <v>5704.0892250530769</v>
      </c>
      <c r="C400" s="3"/>
      <c r="J400" s="4" t="s">
        <v>7</v>
      </c>
      <c r="K400" s="4" t="s">
        <v>11</v>
      </c>
      <c r="L400" s="17">
        <f t="shared" si="12"/>
        <v>1</v>
      </c>
      <c r="M400" s="5">
        <f t="shared" si="13"/>
        <v>0</v>
      </c>
    </row>
    <row r="401" spans="1:13" ht="14.5">
      <c r="A401" s="3">
        <v>49</v>
      </c>
      <c r="B401" s="15">
        <f>AVERAGE(Sheet1!G399:G1736,Sheet1!D399:D1736)</f>
        <v>5704.0096705632295</v>
      </c>
      <c r="C401" s="3"/>
      <c r="J401" s="4" t="s">
        <v>10</v>
      </c>
      <c r="K401" s="4" t="s">
        <v>8</v>
      </c>
      <c r="L401" s="17">
        <f t="shared" si="12"/>
        <v>0</v>
      </c>
      <c r="M401" s="5">
        <f t="shared" si="13"/>
        <v>0</v>
      </c>
    </row>
    <row r="402" spans="1:13" ht="14.5">
      <c r="A402" s="3">
        <v>49</v>
      </c>
      <c r="B402" s="15">
        <f>AVERAGE(Sheet1!G400:G1737,Sheet1!D400:D1737)</f>
        <v>5697.6796010638272</v>
      </c>
      <c r="C402" s="3"/>
      <c r="J402" s="4" t="s">
        <v>7</v>
      </c>
      <c r="K402" s="4" t="s">
        <v>11</v>
      </c>
      <c r="L402" s="17">
        <f t="shared" si="12"/>
        <v>1</v>
      </c>
      <c r="M402" s="5">
        <f t="shared" si="13"/>
        <v>0</v>
      </c>
    </row>
    <row r="403" spans="1:13" ht="14.5">
      <c r="A403" s="3">
        <v>49</v>
      </c>
      <c r="B403" s="15">
        <f>AVERAGE(Sheet1!G401:G1738,Sheet1!D401:D1738)</f>
        <v>5698.8575505857261</v>
      </c>
      <c r="C403" s="3"/>
      <c r="J403" s="4" t="s">
        <v>10</v>
      </c>
      <c r="K403" s="4" t="s">
        <v>8</v>
      </c>
      <c r="L403" s="17">
        <f t="shared" si="12"/>
        <v>0</v>
      </c>
      <c r="M403" s="5">
        <f t="shared" si="13"/>
        <v>0</v>
      </c>
    </row>
    <row r="404" spans="1:13" ht="14.5">
      <c r="A404" s="3">
        <v>49</v>
      </c>
      <c r="B404" s="15">
        <f>AVERAGE(Sheet1!G402:G1739,Sheet1!D402:D1739)</f>
        <v>5699.707670575689</v>
      </c>
      <c r="C404" s="3"/>
      <c r="J404" s="4" t="s">
        <v>10</v>
      </c>
      <c r="K404" s="4" t="s">
        <v>8</v>
      </c>
      <c r="L404" s="17">
        <f t="shared" si="12"/>
        <v>0</v>
      </c>
      <c r="M404" s="5">
        <f t="shared" si="13"/>
        <v>0</v>
      </c>
    </row>
    <row r="405" spans="1:13" ht="14.5">
      <c r="A405" s="3">
        <v>49</v>
      </c>
      <c r="B405" s="15">
        <f>AVERAGE(Sheet1!G403:G1740,Sheet1!D403:D1740)</f>
        <v>5701.1457470650976</v>
      </c>
      <c r="C405" s="3"/>
      <c r="J405" s="4" t="s">
        <v>7</v>
      </c>
      <c r="K405" s="4" t="s">
        <v>8</v>
      </c>
      <c r="L405" s="17">
        <f t="shared" si="12"/>
        <v>0</v>
      </c>
      <c r="M405" s="5">
        <f t="shared" si="13"/>
        <v>0</v>
      </c>
    </row>
    <row r="406" spans="1:13" ht="14.5">
      <c r="A406" s="3">
        <v>49</v>
      </c>
      <c r="B406" s="15">
        <f>AVERAGE(Sheet1!G404:G1741,Sheet1!D404:D1741)</f>
        <v>5701.8100160256372</v>
      </c>
      <c r="C406" s="3"/>
      <c r="J406" s="4" t="s">
        <v>10</v>
      </c>
      <c r="K406" s="4" t="s">
        <v>8</v>
      </c>
      <c r="L406" s="17">
        <f t="shared" si="12"/>
        <v>0</v>
      </c>
      <c r="M406" s="5">
        <f t="shared" si="13"/>
        <v>0</v>
      </c>
    </row>
    <row r="407" spans="1:13" ht="14.5">
      <c r="A407" s="3">
        <v>49</v>
      </c>
      <c r="B407" s="15">
        <f>AVERAGE(Sheet1!G405:G1742,Sheet1!D405:D1742)</f>
        <v>5702.4175989304777</v>
      </c>
      <c r="C407" s="3"/>
      <c r="J407" s="4" t="s">
        <v>7</v>
      </c>
      <c r="K407" s="4" t="s">
        <v>8</v>
      </c>
      <c r="L407" s="17">
        <f t="shared" si="12"/>
        <v>0</v>
      </c>
      <c r="M407" s="5">
        <f t="shared" si="13"/>
        <v>0</v>
      </c>
    </row>
    <row r="408" spans="1:13" ht="14.5">
      <c r="A408" s="3">
        <v>49</v>
      </c>
      <c r="B408" s="15">
        <f>AVERAGE(Sheet1!G406:G1743,Sheet1!D406:D1743)</f>
        <v>5703.400920770875</v>
      </c>
      <c r="C408" s="3"/>
      <c r="J408" s="4" t="s">
        <v>10</v>
      </c>
      <c r="K408" s="4" t="s">
        <v>8</v>
      </c>
      <c r="L408" s="17">
        <f t="shared" si="12"/>
        <v>0</v>
      </c>
      <c r="M408" s="5">
        <f t="shared" si="13"/>
        <v>0</v>
      </c>
    </row>
    <row r="409" spans="1:13" ht="14.5">
      <c r="A409" s="3">
        <v>49</v>
      </c>
      <c r="B409" s="15">
        <f>AVERAGE(Sheet1!G407:G1744,Sheet1!D407:D1744)</f>
        <v>5704.3772936763098</v>
      </c>
      <c r="C409" s="3"/>
      <c r="J409" s="4" t="s">
        <v>10</v>
      </c>
      <c r="K409" s="4" t="s">
        <v>8</v>
      </c>
      <c r="L409" s="17">
        <f t="shared" si="12"/>
        <v>0</v>
      </c>
      <c r="M409" s="5">
        <f t="shared" si="13"/>
        <v>0</v>
      </c>
    </row>
    <row r="410" spans="1:13" ht="14.5">
      <c r="A410" s="3">
        <v>49</v>
      </c>
      <c r="B410" s="15">
        <f>AVERAGE(Sheet1!G408:G1745,Sheet1!D408:D1745)</f>
        <v>5697.5633690987088</v>
      </c>
      <c r="C410" s="3"/>
      <c r="J410" s="4" t="s">
        <v>10</v>
      </c>
      <c r="K410" s="4" t="s">
        <v>11</v>
      </c>
      <c r="L410" s="17">
        <f t="shared" si="12"/>
        <v>0</v>
      </c>
      <c r="M410" s="5">
        <f t="shared" si="13"/>
        <v>1</v>
      </c>
    </row>
    <row r="411" spans="1:13" ht="14.5">
      <c r="A411" s="3">
        <v>49</v>
      </c>
      <c r="B411" s="15">
        <f>AVERAGE(Sheet1!G409:G1746,Sheet1!D409:D1746)</f>
        <v>5689.6438023630462</v>
      </c>
      <c r="C411" s="3"/>
      <c r="J411" s="4" t="s">
        <v>10</v>
      </c>
      <c r="K411" s="4" t="s">
        <v>8</v>
      </c>
      <c r="L411" s="17">
        <f t="shared" si="12"/>
        <v>0</v>
      </c>
      <c r="M411" s="5">
        <f t="shared" si="13"/>
        <v>0</v>
      </c>
    </row>
    <row r="412" spans="1:13" ht="14.5">
      <c r="A412" s="3">
        <v>49</v>
      </c>
      <c r="B412" s="15">
        <f>AVERAGE(Sheet1!G410:G1747,Sheet1!D410:D1747)</f>
        <v>5691.0902688172009</v>
      </c>
      <c r="C412" s="3"/>
      <c r="J412" s="4" t="s">
        <v>7</v>
      </c>
      <c r="K412" s="4" t="s">
        <v>8</v>
      </c>
      <c r="L412" s="17">
        <f t="shared" si="12"/>
        <v>0</v>
      </c>
      <c r="M412" s="5">
        <f t="shared" si="13"/>
        <v>0</v>
      </c>
    </row>
    <row r="413" spans="1:13" ht="14.5">
      <c r="A413" s="3">
        <v>49</v>
      </c>
      <c r="B413" s="15">
        <f>AVERAGE(Sheet1!G411:G1748,Sheet1!D411:D1748)</f>
        <v>5692.8429063509111</v>
      </c>
      <c r="C413" s="3"/>
      <c r="J413" s="4" t="s">
        <v>7</v>
      </c>
      <c r="K413" s="4" t="s">
        <v>8</v>
      </c>
      <c r="L413" s="17">
        <f t="shared" si="12"/>
        <v>0</v>
      </c>
      <c r="M413" s="5">
        <f t="shared" si="13"/>
        <v>0</v>
      </c>
    </row>
    <row r="414" spans="1:13" ht="14.5">
      <c r="A414" s="3">
        <v>49</v>
      </c>
      <c r="B414" s="15">
        <f>AVERAGE(Sheet1!G412:G1749,Sheet1!D412:D1749)</f>
        <v>5677.5724730603406</v>
      </c>
      <c r="C414" s="3"/>
      <c r="J414" s="4" t="s">
        <v>7</v>
      </c>
      <c r="K414" s="4" t="s">
        <v>11</v>
      </c>
      <c r="L414" s="17">
        <f t="shared" si="12"/>
        <v>1</v>
      </c>
      <c r="M414" s="5">
        <f t="shared" si="13"/>
        <v>0</v>
      </c>
    </row>
    <row r="415" spans="1:13" ht="14.5">
      <c r="A415" s="3">
        <v>49</v>
      </c>
      <c r="B415" s="15">
        <f>AVERAGE(Sheet1!G413:G1750,Sheet1!D413:D1750)</f>
        <v>5678.686882416393</v>
      </c>
      <c r="C415" s="3"/>
      <c r="J415" s="4" t="s">
        <v>7</v>
      </c>
      <c r="K415" s="4" t="s">
        <v>8</v>
      </c>
      <c r="L415" s="17">
        <f t="shared" si="12"/>
        <v>0</v>
      </c>
      <c r="M415" s="5">
        <f t="shared" si="13"/>
        <v>0</v>
      </c>
    </row>
    <row r="416" spans="1:13" ht="14.5">
      <c r="A416" s="3">
        <v>49</v>
      </c>
      <c r="B416" s="15">
        <f>AVERAGE(Sheet1!G414:G1751,Sheet1!D414:D1751)</f>
        <v>5679.9661555075563</v>
      </c>
      <c r="C416" s="3"/>
      <c r="J416" s="4" t="s">
        <v>10</v>
      </c>
      <c r="K416" s="4" t="s">
        <v>8</v>
      </c>
      <c r="L416" s="17">
        <f t="shared" si="12"/>
        <v>0</v>
      </c>
      <c r="M416" s="5">
        <f t="shared" si="13"/>
        <v>0</v>
      </c>
    </row>
    <row r="417" spans="1:13" ht="14.5">
      <c r="A417" s="3">
        <v>48</v>
      </c>
      <c r="B417" s="15">
        <f>AVERAGE(Sheet1!G415:G1752,Sheet1!D415:D1752)</f>
        <v>5680.4996810810781</v>
      </c>
      <c r="C417" s="3"/>
      <c r="J417" s="4" t="s">
        <v>10</v>
      </c>
      <c r="K417" s="4" t="s">
        <v>8</v>
      </c>
      <c r="L417" s="17">
        <f t="shared" si="12"/>
        <v>0</v>
      </c>
      <c r="M417" s="5">
        <f t="shared" si="13"/>
        <v>0</v>
      </c>
    </row>
    <row r="418" spans="1:13" ht="14.5">
      <c r="A418" s="3">
        <v>48</v>
      </c>
      <c r="B418" s="15">
        <f>AVERAGE(Sheet1!G416:G1753,Sheet1!D416:D1753)</f>
        <v>5673.893474025971</v>
      </c>
      <c r="C418" s="3"/>
      <c r="J418" s="4" t="s">
        <v>7</v>
      </c>
      <c r="K418" s="4" t="s">
        <v>11</v>
      </c>
      <c r="L418" s="17">
        <f t="shared" si="12"/>
        <v>1</v>
      </c>
      <c r="M418" s="5">
        <f t="shared" si="13"/>
        <v>0</v>
      </c>
    </row>
    <row r="419" spans="1:13" ht="14.5">
      <c r="A419" s="3">
        <v>48</v>
      </c>
      <c r="B419" s="15">
        <f>AVERAGE(Sheet1!G417:G1754,Sheet1!D417:D1754)</f>
        <v>5674.0614734561177</v>
      </c>
      <c r="C419" s="3"/>
      <c r="J419" s="4" t="s">
        <v>10</v>
      </c>
      <c r="K419" s="4" t="s">
        <v>8</v>
      </c>
      <c r="L419" s="17">
        <f t="shared" si="12"/>
        <v>0</v>
      </c>
      <c r="M419" s="5">
        <f t="shared" si="13"/>
        <v>0</v>
      </c>
    </row>
    <row r="420" spans="1:13" ht="14.5">
      <c r="A420" s="3">
        <v>48</v>
      </c>
      <c r="B420" s="15">
        <f>AVERAGE(Sheet1!G418:G1755,Sheet1!D418:D1755)</f>
        <v>5675.9912364425118</v>
      </c>
      <c r="C420" s="3"/>
      <c r="J420" s="4" t="s">
        <v>7</v>
      </c>
      <c r="K420" s="4" t="s">
        <v>8</v>
      </c>
      <c r="L420" s="17">
        <f t="shared" si="12"/>
        <v>0</v>
      </c>
      <c r="M420" s="5">
        <f t="shared" si="13"/>
        <v>0</v>
      </c>
    </row>
    <row r="421" spans="1:13" ht="14.5">
      <c r="A421" s="3">
        <v>48</v>
      </c>
      <c r="B421" s="15">
        <f>AVERAGE(Sheet1!G419:G1756,Sheet1!D419:D1756)</f>
        <v>5670.632008686207</v>
      </c>
      <c r="C421" s="3"/>
      <c r="J421" s="4" t="s">
        <v>7</v>
      </c>
      <c r="K421" s="4" t="s">
        <v>11</v>
      </c>
      <c r="L421" s="17">
        <f t="shared" si="12"/>
        <v>1</v>
      </c>
      <c r="M421" s="5">
        <f t="shared" si="13"/>
        <v>0</v>
      </c>
    </row>
    <row r="422" spans="1:13" ht="14.5">
      <c r="A422" s="3">
        <v>48</v>
      </c>
      <c r="B422" s="15">
        <f>AVERAGE(Sheet1!G420:G1757,Sheet1!D420:D1757)</f>
        <v>5671.9739184782566</v>
      </c>
      <c r="C422" s="3"/>
      <c r="J422" s="4" t="s">
        <v>10</v>
      </c>
      <c r="K422" s="4" t="s">
        <v>8</v>
      </c>
      <c r="L422" s="17">
        <f t="shared" si="12"/>
        <v>0</v>
      </c>
      <c r="M422" s="5">
        <f t="shared" si="13"/>
        <v>0</v>
      </c>
    </row>
    <row r="423" spans="1:13" ht="14.5">
      <c r="A423" s="3">
        <v>48</v>
      </c>
      <c r="B423" s="15">
        <f>AVERAGE(Sheet1!G421:G1758,Sheet1!D421:D1758)</f>
        <v>5673.1128998911809</v>
      </c>
      <c r="C423" s="3"/>
      <c r="J423" s="4" t="s">
        <v>10</v>
      </c>
      <c r="K423" s="4" t="s">
        <v>8</v>
      </c>
      <c r="L423" s="17">
        <f t="shared" si="12"/>
        <v>0</v>
      </c>
      <c r="M423" s="5">
        <f t="shared" si="13"/>
        <v>0</v>
      </c>
    </row>
    <row r="424" spans="1:13" ht="14.5">
      <c r="A424" s="3">
        <v>48</v>
      </c>
      <c r="B424" s="15">
        <f>AVERAGE(Sheet1!G422:G1759,Sheet1!D422:D1759)</f>
        <v>5673.8214923747228</v>
      </c>
      <c r="C424" s="3"/>
      <c r="J424" s="4" t="s">
        <v>10</v>
      </c>
      <c r="K424" s="4" t="s">
        <v>8</v>
      </c>
      <c r="L424" s="17">
        <f t="shared" si="12"/>
        <v>0</v>
      </c>
      <c r="M424" s="5">
        <f t="shared" si="13"/>
        <v>0</v>
      </c>
    </row>
    <row r="425" spans="1:13" ht="14.5">
      <c r="A425" s="3">
        <v>48</v>
      </c>
      <c r="B425" s="15">
        <f>AVERAGE(Sheet1!G423:G1760,Sheet1!D423:D1760)</f>
        <v>5674.1523391493956</v>
      </c>
      <c r="C425" s="3"/>
      <c r="J425" s="4" t="s">
        <v>7</v>
      </c>
      <c r="K425" s="4" t="s">
        <v>8</v>
      </c>
      <c r="L425" s="17">
        <f t="shared" si="12"/>
        <v>0</v>
      </c>
      <c r="M425" s="5">
        <f t="shared" si="13"/>
        <v>0</v>
      </c>
    </row>
    <row r="426" spans="1:13" ht="14.5">
      <c r="A426" s="3">
        <v>48</v>
      </c>
      <c r="B426" s="15">
        <f>AVERAGE(Sheet1!G424:G1761,Sheet1!D424:D1761)</f>
        <v>5675.4532368995579</v>
      </c>
      <c r="C426" s="3"/>
      <c r="J426" s="4" t="s">
        <v>7</v>
      </c>
      <c r="K426" s="4" t="s">
        <v>8</v>
      </c>
      <c r="L426" s="17">
        <f t="shared" si="12"/>
        <v>0</v>
      </c>
      <c r="M426" s="5">
        <f t="shared" si="13"/>
        <v>0</v>
      </c>
    </row>
    <row r="427" spans="1:13" ht="14.5">
      <c r="A427" s="3">
        <v>48</v>
      </c>
      <c r="B427" s="15">
        <f>AVERAGE(Sheet1!G425:G1762,Sheet1!D425:D1762)</f>
        <v>5676.7540983606505</v>
      </c>
      <c r="C427" s="3"/>
      <c r="J427" s="4" t="s">
        <v>7</v>
      </c>
      <c r="K427" s="4" t="s">
        <v>8</v>
      </c>
      <c r="L427" s="17">
        <f t="shared" si="12"/>
        <v>0</v>
      </c>
      <c r="M427" s="5">
        <f t="shared" si="13"/>
        <v>0</v>
      </c>
    </row>
    <row r="428" spans="1:13" ht="14.5">
      <c r="A428" s="3">
        <v>48</v>
      </c>
      <c r="B428" s="15">
        <f>AVERAGE(Sheet1!G426:G1763,Sheet1!D426:D1763)</f>
        <v>5677.7319310722041</v>
      </c>
      <c r="C428" s="3"/>
      <c r="J428" s="4" t="s">
        <v>7</v>
      </c>
      <c r="K428" s="4" t="s">
        <v>8</v>
      </c>
      <c r="L428" s="17">
        <f t="shared" si="12"/>
        <v>0</v>
      </c>
      <c r="M428" s="5">
        <f t="shared" si="13"/>
        <v>0</v>
      </c>
    </row>
    <row r="429" spans="1:13" ht="14.5">
      <c r="A429" s="3">
        <v>48</v>
      </c>
      <c r="B429" s="15">
        <f>AVERAGE(Sheet1!G427:G1764,Sheet1!D427:D1764)</f>
        <v>5658.9211117196</v>
      </c>
      <c r="C429" s="3"/>
      <c r="J429" s="4" t="s">
        <v>7</v>
      </c>
      <c r="K429" s="4" t="s">
        <v>11</v>
      </c>
      <c r="L429" s="17">
        <f t="shared" si="12"/>
        <v>1</v>
      </c>
      <c r="M429" s="5">
        <f t="shared" si="13"/>
        <v>0</v>
      </c>
    </row>
    <row r="430" spans="1:13" ht="14.5">
      <c r="A430" s="3">
        <v>48</v>
      </c>
      <c r="B430" s="15">
        <f>AVERAGE(Sheet1!G428:G1765,Sheet1!D428:D1765)</f>
        <v>5659.5645888157833</v>
      </c>
      <c r="C430" s="3"/>
      <c r="J430" s="4" t="s">
        <v>7</v>
      </c>
      <c r="K430" s="4" t="s">
        <v>8</v>
      </c>
      <c r="L430" s="17">
        <f t="shared" si="12"/>
        <v>0</v>
      </c>
      <c r="M430" s="5">
        <f t="shared" si="13"/>
        <v>0</v>
      </c>
    </row>
    <row r="431" spans="1:13" ht="14.5">
      <c r="A431" s="3">
        <v>48</v>
      </c>
      <c r="B431" s="15">
        <f>AVERAGE(Sheet1!G429:G1766,Sheet1!D429:D1766)</f>
        <v>5661.2322667398412</v>
      </c>
      <c r="C431" s="3"/>
      <c r="J431" s="4" t="s">
        <v>10</v>
      </c>
      <c r="K431" s="4" t="s">
        <v>8</v>
      </c>
      <c r="L431" s="17">
        <f t="shared" si="12"/>
        <v>0</v>
      </c>
      <c r="M431" s="5">
        <f t="shared" si="13"/>
        <v>0</v>
      </c>
    </row>
    <row r="432" spans="1:13" ht="14.5">
      <c r="A432" s="3">
        <v>48</v>
      </c>
      <c r="B432" s="15">
        <f>AVERAGE(Sheet1!G430:G1767,Sheet1!D430:D1767)</f>
        <v>5652.9516098901049</v>
      </c>
      <c r="C432" s="3"/>
      <c r="J432" s="4" t="s">
        <v>10</v>
      </c>
      <c r="K432" s="4" t="s">
        <v>8</v>
      </c>
      <c r="L432" s="17">
        <f t="shared" si="12"/>
        <v>0</v>
      </c>
      <c r="M432" s="5">
        <f t="shared" si="13"/>
        <v>0</v>
      </c>
    </row>
    <row r="433" spans="1:13" ht="14.5">
      <c r="A433" s="3">
        <v>48</v>
      </c>
      <c r="B433" s="15">
        <f>AVERAGE(Sheet1!G431:G1768,Sheet1!D431:D1768)</f>
        <v>5653.9734213421289</v>
      </c>
      <c r="C433" s="3"/>
      <c r="J433" s="4" t="s">
        <v>10</v>
      </c>
      <c r="K433" s="4" t="s">
        <v>8</v>
      </c>
      <c r="L433" s="17">
        <f t="shared" si="12"/>
        <v>0</v>
      </c>
      <c r="M433" s="5">
        <f t="shared" si="13"/>
        <v>0</v>
      </c>
    </row>
    <row r="434" spans="1:13" ht="14.5">
      <c r="A434" s="3">
        <v>48</v>
      </c>
      <c r="B434" s="15">
        <f>AVERAGE(Sheet1!G432:G1769,Sheet1!D432:D1769)</f>
        <v>5637.6374008810517</v>
      </c>
      <c r="C434" s="3"/>
      <c r="J434" s="4" t="s">
        <v>10</v>
      </c>
      <c r="K434" s="4" t="s">
        <v>11</v>
      </c>
      <c r="L434" s="17">
        <f t="shared" si="12"/>
        <v>0</v>
      </c>
      <c r="M434" s="5">
        <f t="shared" si="13"/>
        <v>1</v>
      </c>
    </row>
    <row r="435" spans="1:13" ht="14.5">
      <c r="A435" s="3">
        <v>48</v>
      </c>
      <c r="B435" s="15">
        <f>AVERAGE(Sheet1!G433:G1770,Sheet1!D433:D1770)</f>
        <v>5628.158544652696</v>
      </c>
      <c r="C435" s="3"/>
      <c r="J435" s="4" t="s">
        <v>7</v>
      </c>
      <c r="K435" s="4" t="s">
        <v>8</v>
      </c>
      <c r="L435" s="17">
        <f t="shared" si="12"/>
        <v>0</v>
      </c>
      <c r="M435" s="5">
        <f t="shared" si="13"/>
        <v>0</v>
      </c>
    </row>
    <row r="436" spans="1:13" ht="14.5">
      <c r="A436" s="3">
        <v>48</v>
      </c>
      <c r="B436" s="15">
        <f>AVERAGE(Sheet1!G434:G1771,Sheet1!D434:D1771)</f>
        <v>5630.0637086092665</v>
      </c>
      <c r="C436" s="3"/>
      <c r="J436" s="4" t="s">
        <v>7</v>
      </c>
      <c r="K436" s="4" t="s">
        <v>8</v>
      </c>
      <c r="L436" s="17">
        <f t="shared" si="12"/>
        <v>0</v>
      </c>
      <c r="M436" s="5">
        <f t="shared" si="13"/>
        <v>0</v>
      </c>
    </row>
    <row r="437" spans="1:13" ht="14.5">
      <c r="A437" s="3">
        <v>48</v>
      </c>
      <c r="B437" s="15">
        <f>AVERAGE(Sheet1!G435:G1772,Sheet1!D435:D1772)</f>
        <v>5624.5542872928127</v>
      </c>
      <c r="C437" s="3"/>
      <c r="J437" s="4" t="s">
        <v>7</v>
      </c>
      <c r="K437" s="4" t="s">
        <v>8</v>
      </c>
      <c r="L437" s="17">
        <f t="shared" si="12"/>
        <v>0</v>
      </c>
      <c r="M437" s="5">
        <f t="shared" si="13"/>
        <v>0</v>
      </c>
    </row>
    <row r="438" spans="1:13" ht="14.5">
      <c r="A438" s="3">
        <v>48</v>
      </c>
      <c r="B438" s="15">
        <f>AVERAGE(Sheet1!G436:G1773,Sheet1!D436:D1773)</f>
        <v>5626.2025553097301</v>
      </c>
      <c r="C438" s="3"/>
      <c r="J438" s="4" t="s">
        <v>10</v>
      </c>
      <c r="K438" s="4" t="s">
        <v>8</v>
      </c>
      <c r="L438" s="17">
        <f t="shared" si="12"/>
        <v>0</v>
      </c>
      <c r="M438" s="5">
        <f t="shared" si="13"/>
        <v>0</v>
      </c>
    </row>
    <row r="439" spans="1:13" ht="14.5">
      <c r="A439" s="3">
        <v>48</v>
      </c>
      <c r="B439" s="15">
        <f>AVERAGE(Sheet1!G437:G1774,Sheet1!D437:D1774)</f>
        <v>5627.5791638981127</v>
      </c>
      <c r="C439" s="3"/>
      <c r="J439" s="4" t="s">
        <v>7</v>
      </c>
      <c r="K439" s="4" t="s">
        <v>8</v>
      </c>
      <c r="L439" s="17">
        <f t="shared" si="12"/>
        <v>0</v>
      </c>
      <c r="M439" s="5">
        <f t="shared" si="13"/>
        <v>0</v>
      </c>
    </row>
    <row r="440" spans="1:13" ht="14.5">
      <c r="A440" s="3">
        <v>48</v>
      </c>
      <c r="B440" s="15">
        <f>AVERAGE(Sheet1!G438:G1775,Sheet1!D438:D1775)</f>
        <v>5629.2297394678435</v>
      </c>
      <c r="C440" s="3"/>
      <c r="J440" s="4" t="s">
        <v>10</v>
      </c>
      <c r="K440" s="4" t="s">
        <v>8</v>
      </c>
      <c r="L440" s="17">
        <f t="shared" si="12"/>
        <v>0</v>
      </c>
      <c r="M440" s="5">
        <f t="shared" si="13"/>
        <v>0</v>
      </c>
    </row>
    <row r="441" spans="1:13" ht="14.5">
      <c r="A441" s="3">
        <v>48</v>
      </c>
      <c r="B441" s="15">
        <f>AVERAGE(Sheet1!G439:G1776,Sheet1!D439:D1776)</f>
        <v>5630.4940399555999</v>
      </c>
      <c r="C441" s="3"/>
      <c r="J441" s="4" t="s">
        <v>7</v>
      </c>
      <c r="K441" s="4" t="s">
        <v>8</v>
      </c>
      <c r="L441" s="17">
        <f t="shared" si="12"/>
        <v>0</v>
      </c>
      <c r="M441" s="5">
        <f t="shared" si="13"/>
        <v>0</v>
      </c>
    </row>
    <row r="442" spans="1:13" ht="14.5">
      <c r="A442" s="3">
        <v>48</v>
      </c>
      <c r="B442" s="15">
        <f>AVERAGE(Sheet1!G440:G1777,Sheet1!D440:D1777)</f>
        <v>5623.3146277777723</v>
      </c>
      <c r="C442" s="3"/>
      <c r="J442" s="4" t="s">
        <v>10</v>
      </c>
      <c r="K442" s="4" t="s">
        <v>11</v>
      </c>
      <c r="L442" s="17">
        <f t="shared" si="12"/>
        <v>0</v>
      </c>
      <c r="M442" s="5">
        <f t="shared" si="13"/>
        <v>1</v>
      </c>
    </row>
    <row r="443" spans="1:13" ht="14.5">
      <c r="A443" s="3">
        <v>48</v>
      </c>
      <c r="B443" s="15">
        <f>AVERAGE(Sheet1!G441:G1778,Sheet1!D441:D1778)</f>
        <v>5623.441134593988</v>
      </c>
      <c r="C443" s="3"/>
      <c r="J443" s="4" t="s">
        <v>10</v>
      </c>
      <c r="K443" s="4" t="s">
        <v>8</v>
      </c>
      <c r="L443" s="17">
        <f t="shared" si="12"/>
        <v>0</v>
      </c>
      <c r="M443" s="5">
        <f t="shared" si="13"/>
        <v>0</v>
      </c>
    </row>
    <row r="444" spans="1:13" ht="14.5">
      <c r="A444" s="3">
        <v>48</v>
      </c>
      <c r="B444" s="15">
        <f>AVERAGE(Sheet1!G442:G1779,Sheet1!D442:D1779)</f>
        <v>5624.4425278396393</v>
      </c>
      <c r="C444" s="3"/>
      <c r="J444" s="4" t="s">
        <v>10</v>
      </c>
      <c r="K444" s="4" t="s">
        <v>8</v>
      </c>
      <c r="L444" s="17">
        <f t="shared" si="12"/>
        <v>0</v>
      </c>
      <c r="M444" s="5">
        <f t="shared" si="13"/>
        <v>0</v>
      </c>
    </row>
    <row r="445" spans="1:13" ht="14.5">
      <c r="A445" s="3">
        <v>48</v>
      </c>
      <c r="B445" s="15">
        <f>AVERAGE(Sheet1!G443:G1780,Sheet1!D443:D1780)</f>
        <v>5625.8793701226259</v>
      </c>
      <c r="C445" s="3"/>
      <c r="J445" s="4" t="s">
        <v>10</v>
      </c>
      <c r="K445" s="4" t="s">
        <v>8</v>
      </c>
      <c r="L445" s="17">
        <f t="shared" si="12"/>
        <v>0</v>
      </c>
      <c r="M445" s="5">
        <f t="shared" si="13"/>
        <v>0</v>
      </c>
    </row>
    <row r="446" spans="1:13" ht="14.5">
      <c r="A446" s="3">
        <v>47</v>
      </c>
      <c r="B446" s="15">
        <f>AVERAGE(Sheet1!G444:G1781,Sheet1!D444:D1781)</f>
        <v>5627.535664062495</v>
      </c>
      <c r="C446" s="3"/>
      <c r="J446" s="4" t="s">
        <v>10</v>
      </c>
      <c r="K446" s="4" t="s">
        <v>8</v>
      </c>
      <c r="L446" s="17">
        <f t="shared" si="12"/>
        <v>0</v>
      </c>
      <c r="M446" s="5">
        <f t="shared" si="13"/>
        <v>0</v>
      </c>
    </row>
    <row r="447" spans="1:13" ht="14.5">
      <c r="A447" s="3">
        <v>47</v>
      </c>
      <c r="B447" s="15">
        <f>AVERAGE(Sheet1!G445:G1782,Sheet1!D445:D1782)</f>
        <v>5628.1708938547436</v>
      </c>
      <c r="C447" s="3"/>
      <c r="J447" s="4" t="s">
        <v>10</v>
      </c>
      <c r="K447" s="4" t="s">
        <v>8</v>
      </c>
      <c r="L447" s="17">
        <f t="shared" si="12"/>
        <v>0</v>
      </c>
      <c r="M447" s="5">
        <f t="shared" si="13"/>
        <v>0</v>
      </c>
    </row>
    <row r="448" spans="1:13" ht="14.5">
      <c r="A448" s="3">
        <v>47</v>
      </c>
      <c r="B448" s="15">
        <f>AVERAGE(Sheet1!G446:G1783,Sheet1!D446:D1783)</f>
        <v>5628.6436297539103</v>
      </c>
      <c r="C448" s="3"/>
      <c r="J448" s="4" t="s">
        <v>7</v>
      </c>
      <c r="K448" s="4" t="s">
        <v>8</v>
      </c>
      <c r="L448" s="17">
        <f t="shared" si="12"/>
        <v>0</v>
      </c>
      <c r="M448" s="5">
        <f t="shared" si="13"/>
        <v>0</v>
      </c>
    </row>
    <row r="449" spans="1:13" ht="14.5">
      <c r="A449" s="3">
        <v>47</v>
      </c>
      <c r="B449" s="15">
        <f>AVERAGE(Sheet1!G447:G1784,Sheet1!D447:D1784)</f>
        <v>5629.7802631578897</v>
      </c>
      <c r="C449" s="3"/>
      <c r="J449" s="4" t="s">
        <v>7</v>
      </c>
      <c r="K449" s="4" t="s">
        <v>8</v>
      </c>
      <c r="L449" s="17">
        <f t="shared" si="12"/>
        <v>0</v>
      </c>
      <c r="M449" s="5">
        <f t="shared" si="13"/>
        <v>0</v>
      </c>
    </row>
    <row r="450" spans="1:13" ht="14.5">
      <c r="A450" s="3">
        <v>47</v>
      </c>
      <c r="B450" s="15">
        <f>AVERAGE(Sheet1!G448:G1785,Sheet1!D448:D1785)</f>
        <v>5630.6444562780225</v>
      </c>
      <c r="C450" s="3"/>
      <c r="J450" s="4" t="s">
        <v>10</v>
      </c>
      <c r="K450" s="4" t="s">
        <v>8</v>
      </c>
      <c r="L450" s="17">
        <f t="shared" si="12"/>
        <v>0</v>
      </c>
      <c r="M450" s="5">
        <f t="shared" si="13"/>
        <v>0</v>
      </c>
    </row>
    <row r="451" spans="1:13" ht="14.5">
      <c r="A451" s="3">
        <v>47</v>
      </c>
      <c r="B451" s="15">
        <f>AVERAGE(Sheet1!G449:G1786,Sheet1!D449:D1786)</f>
        <v>5624.6296464646421</v>
      </c>
      <c r="C451" s="3"/>
      <c r="J451" s="4" t="s">
        <v>7</v>
      </c>
      <c r="K451" s="4" t="s">
        <v>11</v>
      </c>
      <c r="L451" s="17">
        <f t="shared" si="12"/>
        <v>1</v>
      </c>
      <c r="M451" s="5">
        <f t="shared" si="13"/>
        <v>0</v>
      </c>
    </row>
    <row r="452" spans="1:13" ht="14.5">
      <c r="A452" s="3">
        <v>47</v>
      </c>
      <c r="B452" s="15">
        <f>AVERAGE(Sheet1!G450:G1787,Sheet1!D450:D1787)</f>
        <v>5625.5430898876357</v>
      </c>
      <c r="C452" s="3"/>
      <c r="J452" s="4" t="s">
        <v>7</v>
      </c>
      <c r="K452" s="4" t="s">
        <v>8</v>
      </c>
      <c r="L452" s="17">
        <f t="shared" si="12"/>
        <v>0</v>
      </c>
      <c r="M452" s="5">
        <f t="shared" si="13"/>
        <v>0</v>
      </c>
    </row>
    <row r="453" spans="1:13" ht="14.5">
      <c r="A453" s="3">
        <v>47</v>
      </c>
      <c r="B453" s="15">
        <f>AVERAGE(Sheet1!G451:G1788,Sheet1!D451:D1788)</f>
        <v>5627.3238357705241</v>
      </c>
      <c r="C453" s="3"/>
      <c r="J453" s="4" t="s">
        <v>7</v>
      </c>
      <c r="K453" s="4" t="s">
        <v>8</v>
      </c>
      <c r="L453" s="17">
        <f t="shared" si="12"/>
        <v>0</v>
      </c>
      <c r="M453" s="5">
        <f t="shared" si="13"/>
        <v>0</v>
      </c>
    </row>
    <row r="454" spans="1:13" ht="14.5">
      <c r="A454" s="3">
        <v>47</v>
      </c>
      <c r="B454" s="15">
        <f>AVERAGE(Sheet1!G452:G1789,Sheet1!D452:D1789)</f>
        <v>5628.8519763513468</v>
      </c>
      <c r="C454" s="3"/>
      <c r="J454" s="4" t="s">
        <v>10</v>
      </c>
      <c r="K454" s="4" t="s">
        <v>8</v>
      </c>
      <c r="L454" s="17">
        <f t="shared" ref="L454:L517" si="14">IF(AND(J454="male", K454="yes"),1,0)</f>
        <v>0</v>
      </c>
      <c r="M454" s="5">
        <f t="shared" ref="M454:M517" si="15">IF(AND(J454="female", K454="yes"), 1, 0)</f>
        <v>0</v>
      </c>
    </row>
    <row r="455" spans="1:13" ht="14.5">
      <c r="A455" s="3">
        <v>47</v>
      </c>
      <c r="B455" s="15">
        <f>AVERAGE(Sheet1!G453:G1790,Sheet1!D453:D1790)</f>
        <v>5623.4285963923285</v>
      </c>
      <c r="C455" s="3"/>
      <c r="J455" s="4" t="s">
        <v>10</v>
      </c>
      <c r="K455" s="4" t="s">
        <v>8</v>
      </c>
      <c r="L455" s="17">
        <f t="shared" si="14"/>
        <v>0</v>
      </c>
      <c r="M455" s="5">
        <f t="shared" si="15"/>
        <v>0</v>
      </c>
    </row>
    <row r="456" spans="1:13" ht="14.5">
      <c r="A456" s="3">
        <v>47</v>
      </c>
      <c r="B456" s="15">
        <f>AVERAGE(Sheet1!G454:G1791,Sheet1!D454:D1791)</f>
        <v>5625.0187697516876</v>
      </c>
      <c r="C456" s="3"/>
      <c r="J456" s="4" t="s">
        <v>7</v>
      </c>
      <c r="K456" s="4" t="s">
        <v>8</v>
      </c>
      <c r="L456" s="17">
        <f t="shared" si="14"/>
        <v>0</v>
      </c>
      <c r="M456" s="5">
        <f t="shared" si="15"/>
        <v>0</v>
      </c>
    </row>
    <row r="457" spans="1:13" ht="14.5">
      <c r="A457" s="3">
        <v>47</v>
      </c>
      <c r="B457" s="15">
        <f>AVERAGE(Sheet1!G455:G1792,Sheet1!D455:D1792)</f>
        <v>5626.5449548022534</v>
      </c>
      <c r="C457" s="3"/>
      <c r="J457" s="4" t="s">
        <v>10</v>
      </c>
      <c r="K457" s="4" t="s">
        <v>8</v>
      </c>
      <c r="L457" s="17">
        <f t="shared" si="14"/>
        <v>0</v>
      </c>
      <c r="M457" s="5">
        <f t="shared" si="15"/>
        <v>0</v>
      </c>
    </row>
    <row r="458" spans="1:13" ht="14.5">
      <c r="A458" s="3">
        <v>47</v>
      </c>
      <c r="B458" s="15">
        <f>AVERAGE(Sheet1!G456:G1793,Sheet1!D456:D1793)</f>
        <v>5608.6050452488626</v>
      </c>
      <c r="C458" s="3"/>
      <c r="J458" s="4" t="s">
        <v>10</v>
      </c>
      <c r="K458" s="4" t="s">
        <v>11</v>
      </c>
      <c r="L458" s="17">
        <f t="shared" si="14"/>
        <v>0</v>
      </c>
      <c r="M458" s="5">
        <f t="shared" si="15"/>
        <v>1</v>
      </c>
    </row>
    <row r="459" spans="1:13" ht="14.5">
      <c r="A459" s="3">
        <v>47</v>
      </c>
      <c r="B459" s="15">
        <f>AVERAGE(Sheet1!G457:G1794,Sheet1!D457:D1794)</f>
        <v>5600.099739524343</v>
      </c>
      <c r="C459" s="3"/>
      <c r="J459" s="4" t="s">
        <v>10</v>
      </c>
      <c r="K459" s="4" t="s">
        <v>8</v>
      </c>
      <c r="L459" s="17">
        <f t="shared" si="14"/>
        <v>0</v>
      </c>
      <c r="M459" s="5">
        <f t="shared" si="15"/>
        <v>0</v>
      </c>
    </row>
    <row r="460" spans="1:13" ht="14.5">
      <c r="A460" s="3">
        <v>47</v>
      </c>
      <c r="B460" s="15">
        <f>AVERAGE(Sheet1!G458:G1795,Sheet1!D458:D1795)</f>
        <v>5601.8746882086107</v>
      </c>
      <c r="C460" s="3"/>
      <c r="J460" s="4" t="s">
        <v>7</v>
      </c>
      <c r="K460" s="4" t="s">
        <v>8</v>
      </c>
      <c r="L460" s="17">
        <f t="shared" si="14"/>
        <v>0</v>
      </c>
      <c r="M460" s="5">
        <f t="shared" si="15"/>
        <v>0</v>
      </c>
    </row>
    <row r="461" spans="1:13" ht="14.5">
      <c r="A461" s="3">
        <v>47</v>
      </c>
      <c r="B461" s="15">
        <f>AVERAGE(Sheet1!G459:G1796,Sheet1!D459:D1796)</f>
        <v>5603.1640295119123</v>
      </c>
      <c r="C461" s="3"/>
      <c r="J461" s="4" t="s">
        <v>10</v>
      </c>
      <c r="K461" s="4" t="s">
        <v>8</v>
      </c>
      <c r="L461" s="17">
        <f t="shared" si="14"/>
        <v>0</v>
      </c>
      <c r="M461" s="5">
        <f t="shared" si="15"/>
        <v>0</v>
      </c>
    </row>
    <row r="462" spans="1:13" ht="14.5">
      <c r="A462" s="3">
        <v>47</v>
      </c>
      <c r="B462" s="15">
        <f>AVERAGE(Sheet1!G460:G1797,Sheet1!D460:D1797)</f>
        <v>5604.6688124999955</v>
      </c>
      <c r="C462" s="3"/>
      <c r="J462" s="4" t="s">
        <v>10</v>
      </c>
      <c r="K462" s="4" t="s">
        <v>8</v>
      </c>
      <c r="L462" s="17">
        <f t="shared" si="14"/>
        <v>0</v>
      </c>
      <c r="M462" s="5">
        <f t="shared" si="15"/>
        <v>0</v>
      </c>
    </row>
    <row r="463" spans="1:13" ht="14.5">
      <c r="A463" s="3">
        <v>47</v>
      </c>
      <c r="B463" s="15">
        <f>AVERAGE(Sheet1!G461:G1798,Sheet1!D461:D1798)</f>
        <v>5597.9247383390175</v>
      </c>
      <c r="C463" s="3"/>
      <c r="J463" s="4" t="s">
        <v>10</v>
      </c>
      <c r="K463" s="4" t="s">
        <v>11</v>
      </c>
      <c r="L463" s="17">
        <f t="shared" si="14"/>
        <v>0</v>
      </c>
      <c r="M463" s="5">
        <f t="shared" si="15"/>
        <v>1</v>
      </c>
    </row>
    <row r="464" spans="1:13" ht="14.5">
      <c r="A464" s="3">
        <v>47</v>
      </c>
      <c r="B464" s="15">
        <f>AVERAGE(Sheet1!G462:G1799,Sheet1!D462:D1799)</f>
        <v>5599.7083883826836</v>
      </c>
      <c r="C464" s="3"/>
      <c r="J464" s="4" t="s">
        <v>7</v>
      </c>
      <c r="K464" s="4" t="s">
        <v>8</v>
      </c>
      <c r="L464" s="17">
        <f t="shared" si="14"/>
        <v>0</v>
      </c>
      <c r="M464" s="5">
        <f t="shared" si="15"/>
        <v>0</v>
      </c>
    </row>
    <row r="465" spans="1:13" ht="14.5">
      <c r="A465" s="3">
        <v>47</v>
      </c>
      <c r="B465" s="15">
        <f>AVERAGE(Sheet1!G463:G1800,Sheet1!D463:D1800)</f>
        <v>5592.7512086659026</v>
      </c>
      <c r="C465" s="3"/>
      <c r="J465" s="4" t="s">
        <v>10</v>
      </c>
      <c r="K465" s="4" t="s">
        <v>11</v>
      </c>
      <c r="L465" s="17">
        <f t="shared" si="14"/>
        <v>0</v>
      </c>
      <c r="M465" s="5">
        <f t="shared" si="15"/>
        <v>1</v>
      </c>
    </row>
    <row r="466" spans="1:13" ht="14.5">
      <c r="A466" s="3">
        <v>47</v>
      </c>
      <c r="B466" s="15">
        <f>AVERAGE(Sheet1!G464:G1801,Sheet1!D464:D1801)</f>
        <v>5573.9046632420041</v>
      </c>
      <c r="C466" s="3"/>
      <c r="J466" s="4" t="s">
        <v>7</v>
      </c>
      <c r="K466" s="4" t="s">
        <v>11</v>
      </c>
      <c r="L466" s="17">
        <f t="shared" si="14"/>
        <v>1</v>
      </c>
      <c r="M466" s="5">
        <f t="shared" si="15"/>
        <v>0</v>
      </c>
    </row>
    <row r="467" spans="1:13" ht="14.5">
      <c r="A467" s="3">
        <v>47</v>
      </c>
      <c r="B467" s="15">
        <f>AVERAGE(Sheet1!G465:G1802,Sheet1!D465:D1802)</f>
        <v>5575.344245714281</v>
      </c>
      <c r="C467" s="3"/>
      <c r="J467" s="4" t="s">
        <v>7</v>
      </c>
      <c r="K467" s="4" t="s">
        <v>8</v>
      </c>
      <c r="L467" s="17">
        <f t="shared" si="14"/>
        <v>0</v>
      </c>
      <c r="M467" s="5">
        <f t="shared" si="15"/>
        <v>0</v>
      </c>
    </row>
    <row r="468" spans="1:13" ht="14.5">
      <c r="A468" s="3">
        <v>47</v>
      </c>
      <c r="B468" s="15">
        <f>AVERAGE(Sheet1!G466:G1803,Sheet1!D466:D1803)</f>
        <v>5567.4680835240224</v>
      </c>
      <c r="C468" s="3"/>
      <c r="J468" s="4" t="s">
        <v>7</v>
      </c>
      <c r="K468" s="4" t="s">
        <v>11</v>
      </c>
      <c r="L468" s="17">
        <f t="shared" si="14"/>
        <v>1</v>
      </c>
      <c r="M468" s="5">
        <f t="shared" si="15"/>
        <v>0</v>
      </c>
    </row>
    <row r="469" spans="1:13" ht="14.5">
      <c r="A469" s="3">
        <v>47</v>
      </c>
      <c r="B469" s="15">
        <f>AVERAGE(Sheet1!G467:G1804,Sheet1!D467:D1804)</f>
        <v>5549.6689977090437</v>
      </c>
      <c r="C469" s="3"/>
      <c r="J469" s="4" t="s">
        <v>7</v>
      </c>
      <c r="K469" s="4" t="s">
        <v>11</v>
      </c>
      <c r="L469" s="17">
        <f t="shared" si="14"/>
        <v>1</v>
      </c>
      <c r="M469" s="5">
        <f t="shared" si="15"/>
        <v>0</v>
      </c>
    </row>
    <row r="470" spans="1:13" ht="14.5">
      <c r="A470" s="3">
        <v>47</v>
      </c>
      <c r="B470" s="15">
        <f>AVERAGE(Sheet1!G468:G1805,Sheet1!D468:D1805)</f>
        <v>5551.1188130733899</v>
      </c>
      <c r="C470" s="3"/>
      <c r="J470" s="4" t="s">
        <v>10</v>
      </c>
      <c r="K470" s="4" t="s">
        <v>8</v>
      </c>
      <c r="L470" s="17">
        <f t="shared" si="14"/>
        <v>0</v>
      </c>
      <c r="M470" s="5">
        <f t="shared" si="15"/>
        <v>0</v>
      </c>
    </row>
    <row r="471" spans="1:13" ht="14.5">
      <c r="A471" s="3">
        <v>47</v>
      </c>
      <c r="B471" s="15">
        <f>AVERAGE(Sheet1!G469:G1806,Sheet1!D469:D1806)</f>
        <v>5542.9613777267459</v>
      </c>
      <c r="C471" s="3"/>
      <c r="J471" s="4" t="s">
        <v>7</v>
      </c>
      <c r="K471" s="4" t="s">
        <v>11</v>
      </c>
      <c r="L471" s="17">
        <f t="shared" si="14"/>
        <v>1</v>
      </c>
      <c r="M471" s="5">
        <f t="shared" si="15"/>
        <v>0</v>
      </c>
    </row>
    <row r="472" spans="1:13" ht="14.5">
      <c r="A472" s="3">
        <v>47</v>
      </c>
      <c r="B472" s="15">
        <f>AVERAGE(Sheet1!G470:G1807,Sheet1!D470:D1807)</f>
        <v>5544.4174540229842</v>
      </c>
      <c r="C472" s="3"/>
      <c r="J472" s="4" t="s">
        <v>10</v>
      </c>
      <c r="K472" s="4" t="s">
        <v>8</v>
      </c>
      <c r="L472" s="17">
        <f t="shared" si="14"/>
        <v>0</v>
      </c>
      <c r="M472" s="5">
        <f t="shared" si="15"/>
        <v>0</v>
      </c>
    </row>
    <row r="473" spans="1:13" ht="14.5">
      <c r="A473" s="3">
        <v>47</v>
      </c>
      <c r="B473" s="15">
        <f>AVERAGE(Sheet1!G471:G1808,Sheet1!D471:D1808)</f>
        <v>5526.8183486766347</v>
      </c>
      <c r="C473" s="3"/>
      <c r="J473" s="4" t="s">
        <v>7</v>
      </c>
      <c r="K473" s="4" t="s">
        <v>11</v>
      </c>
      <c r="L473" s="17">
        <f t="shared" si="14"/>
        <v>1</v>
      </c>
      <c r="M473" s="5">
        <f t="shared" si="15"/>
        <v>0</v>
      </c>
    </row>
    <row r="474" spans="1:13" ht="14.5">
      <c r="A474" s="3">
        <v>47</v>
      </c>
      <c r="B474" s="15">
        <f>AVERAGE(Sheet1!G472:G1809,Sheet1!D472:D1809)</f>
        <v>5519.0510311059861</v>
      </c>
      <c r="C474" s="3"/>
      <c r="J474" s="4" t="s">
        <v>10</v>
      </c>
      <c r="K474" s="4" t="s">
        <v>11</v>
      </c>
      <c r="L474" s="17">
        <f t="shared" si="14"/>
        <v>0</v>
      </c>
      <c r="M474" s="5">
        <f t="shared" si="15"/>
        <v>1</v>
      </c>
    </row>
    <row r="475" spans="1:13" ht="14.5">
      <c r="A475" s="3">
        <v>46</v>
      </c>
      <c r="B475" s="15">
        <f>AVERAGE(Sheet1!G473:G1810,Sheet1!D473:D1810)</f>
        <v>5520.4947635524741</v>
      </c>
      <c r="C475" s="3"/>
      <c r="J475" s="4" t="s">
        <v>10</v>
      </c>
      <c r="K475" s="4" t="s">
        <v>8</v>
      </c>
      <c r="L475" s="17">
        <f t="shared" si="14"/>
        <v>0</v>
      </c>
      <c r="M475" s="5">
        <f t="shared" si="15"/>
        <v>0</v>
      </c>
    </row>
    <row r="476" spans="1:13" ht="14.5">
      <c r="A476" s="3">
        <v>46</v>
      </c>
      <c r="B476" s="15">
        <f>AVERAGE(Sheet1!G474:G1811,Sheet1!D474:D1811)</f>
        <v>5522.1110450346368</v>
      </c>
      <c r="C476" s="3"/>
      <c r="J476" s="4" t="s">
        <v>10</v>
      </c>
      <c r="K476" s="4" t="s">
        <v>8</v>
      </c>
      <c r="L476" s="17">
        <f t="shared" si="14"/>
        <v>0</v>
      </c>
      <c r="M476" s="5">
        <f t="shared" si="15"/>
        <v>0</v>
      </c>
    </row>
    <row r="477" spans="1:13" ht="14.5">
      <c r="A477" s="3">
        <v>46</v>
      </c>
      <c r="B477" s="15">
        <f>AVERAGE(Sheet1!G475:G1812,Sheet1!D475:D1812)</f>
        <v>5523.8552947976823</v>
      </c>
      <c r="C477" s="3"/>
      <c r="J477" s="4" t="s">
        <v>10</v>
      </c>
      <c r="K477" s="4" t="s">
        <v>8</v>
      </c>
      <c r="L477" s="17">
        <f t="shared" si="14"/>
        <v>0</v>
      </c>
      <c r="M477" s="5">
        <f t="shared" si="15"/>
        <v>0</v>
      </c>
    </row>
    <row r="478" spans="1:13" ht="14.5">
      <c r="A478" s="3">
        <v>46</v>
      </c>
      <c r="B478" s="15">
        <f>AVERAGE(Sheet1!G476:G1813,Sheet1!D476:D1813)</f>
        <v>5506.6817766203658</v>
      </c>
      <c r="C478" s="3"/>
      <c r="J478" s="4" t="s">
        <v>7</v>
      </c>
      <c r="K478" s="4" t="s">
        <v>11</v>
      </c>
      <c r="L478" s="17">
        <f t="shared" si="14"/>
        <v>1</v>
      </c>
      <c r="M478" s="5">
        <f t="shared" si="15"/>
        <v>0</v>
      </c>
    </row>
    <row r="479" spans="1:13" ht="14.5">
      <c r="A479" s="3">
        <v>46</v>
      </c>
      <c r="B479" s="15">
        <f>AVERAGE(Sheet1!G477:G1814,Sheet1!D477:D1814)</f>
        <v>5507.9494959443746</v>
      </c>
      <c r="C479" s="3"/>
      <c r="J479" s="4" t="s">
        <v>10</v>
      </c>
      <c r="K479" s="4" t="s">
        <v>8</v>
      </c>
      <c r="L479" s="17">
        <f t="shared" si="14"/>
        <v>0</v>
      </c>
      <c r="M479" s="5">
        <f t="shared" si="15"/>
        <v>0</v>
      </c>
    </row>
    <row r="480" spans="1:13" ht="14.5">
      <c r="A480" s="3">
        <v>46</v>
      </c>
      <c r="B480" s="15">
        <f>AVERAGE(Sheet1!G478:G1815,Sheet1!D478:D1815)</f>
        <v>5510.1935730858422</v>
      </c>
      <c r="C480" s="3"/>
      <c r="J480" s="4" t="s">
        <v>7</v>
      </c>
      <c r="K480" s="4" t="s">
        <v>8</v>
      </c>
      <c r="L480" s="17">
        <f t="shared" si="14"/>
        <v>0</v>
      </c>
      <c r="M480" s="5">
        <f t="shared" si="15"/>
        <v>0</v>
      </c>
    </row>
    <row r="481" spans="1:13" ht="14.5">
      <c r="A481" s="3">
        <v>46</v>
      </c>
      <c r="B481" s="15">
        <f>AVERAGE(Sheet1!G479:G1816,Sheet1!D479:D1816)</f>
        <v>5489.7907084785093</v>
      </c>
      <c r="C481" s="3"/>
      <c r="J481" s="4" t="s">
        <v>7</v>
      </c>
      <c r="K481" s="4" t="s">
        <v>11</v>
      </c>
      <c r="L481" s="17">
        <f t="shared" si="14"/>
        <v>1</v>
      </c>
      <c r="M481" s="5">
        <f t="shared" si="15"/>
        <v>0</v>
      </c>
    </row>
    <row r="482" spans="1:13" ht="14.5">
      <c r="A482" s="3">
        <v>46</v>
      </c>
      <c r="B482" s="15">
        <f>AVERAGE(Sheet1!G480:G1817,Sheet1!D480:D1817)</f>
        <v>5491.6723779069735</v>
      </c>
      <c r="C482" s="3"/>
      <c r="J482" s="4" t="s">
        <v>7</v>
      </c>
      <c r="K482" s="4" t="s">
        <v>8</v>
      </c>
      <c r="L482" s="17">
        <f t="shared" si="14"/>
        <v>0</v>
      </c>
      <c r="M482" s="5">
        <f t="shared" si="15"/>
        <v>0</v>
      </c>
    </row>
    <row r="483" spans="1:13" ht="14.5">
      <c r="A483" s="3">
        <v>46</v>
      </c>
      <c r="B483" s="15">
        <f>AVERAGE(Sheet1!G481:G1818,Sheet1!D481:D1818)</f>
        <v>5492.5736670547121</v>
      </c>
      <c r="C483" s="3"/>
      <c r="J483" s="4" t="s">
        <v>10</v>
      </c>
      <c r="K483" s="4" t="s">
        <v>8</v>
      </c>
      <c r="L483" s="17">
        <f t="shared" si="14"/>
        <v>0</v>
      </c>
      <c r="M483" s="5">
        <f t="shared" si="15"/>
        <v>0</v>
      </c>
    </row>
    <row r="484" spans="1:13" ht="14.5">
      <c r="A484" s="3">
        <v>46</v>
      </c>
      <c r="B484" s="15">
        <f>AVERAGE(Sheet1!G482:G1819,Sheet1!D482:D1819)</f>
        <v>5494.1771095571066</v>
      </c>
      <c r="C484" s="3"/>
      <c r="J484" s="4" t="s">
        <v>10</v>
      </c>
      <c r="K484" s="4" t="s">
        <v>8</v>
      </c>
      <c r="L484" s="17">
        <f t="shared" si="14"/>
        <v>0</v>
      </c>
      <c r="M484" s="5">
        <f t="shared" si="15"/>
        <v>0</v>
      </c>
    </row>
    <row r="485" spans="1:13" ht="14.5">
      <c r="A485" s="3">
        <v>46</v>
      </c>
      <c r="B485" s="15">
        <f>AVERAGE(Sheet1!G483:G1820,Sheet1!D483:D1820)</f>
        <v>5495.7248891481877</v>
      </c>
      <c r="C485" s="3"/>
      <c r="J485" s="4" t="s">
        <v>7</v>
      </c>
      <c r="K485" s="4" t="s">
        <v>8</v>
      </c>
      <c r="L485" s="17">
        <f t="shared" si="14"/>
        <v>0</v>
      </c>
      <c r="M485" s="5">
        <f t="shared" si="15"/>
        <v>0</v>
      </c>
    </row>
    <row r="486" spans="1:13" ht="14.5">
      <c r="A486" s="3">
        <v>46</v>
      </c>
      <c r="B486" s="15">
        <f>AVERAGE(Sheet1!G484:G1821,Sheet1!D484:D1821)</f>
        <v>5487.7741880841086</v>
      </c>
      <c r="C486" s="3"/>
      <c r="J486" s="4" t="s">
        <v>7</v>
      </c>
      <c r="K486" s="4" t="s">
        <v>8</v>
      </c>
      <c r="L486" s="17">
        <f t="shared" si="14"/>
        <v>0</v>
      </c>
      <c r="M486" s="5">
        <f t="shared" si="15"/>
        <v>0</v>
      </c>
    </row>
    <row r="487" spans="1:13" ht="14.5">
      <c r="A487" s="3">
        <v>46</v>
      </c>
      <c r="B487" s="15">
        <f>AVERAGE(Sheet1!G485:G1822,Sheet1!D485:D1822)</f>
        <v>5488.9604035087677</v>
      </c>
      <c r="C487" s="3"/>
      <c r="J487" s="4" t="s">
        <v>7</v>
      </c>
      <c r="K487" s="4" t="s">
        <v>8</v>
      </c>
      <c r="L487" s="17">
        <f t="shared" si="14"/>
        <v>0</v>
      </c>
      <c r="M487" s="5">
        <f t="shared" si="15"/>
        <v>0</v>
      </c>
    </row>
    <row r="488" spans="1:13" ht="14.5">
      <c r="A488" s="3">
        <v>46</v>
      </c>
      <c r="B488" s="15">
        <f>AVERAGE(Sheet1!G486:G1823,Sheet1!D486:D1823)</f>
        <v>5489.8766276346569</v>
      </c>
      <c r="C488" s="3"/>
      <c r="J488" s="4" t="s">
        <v>10</v>
      </c>
      <c r="K488" s="4" t="s">
        <v>8</v>
      </c>
      <c r="L488" s="17">
        <f t="shared" si="14"/>
        <v>0</v>
      </c>
      <c r="M488" s="5">
        <f t="shared" si="15"/>
        <v>0</v>
      </c>
    </row>
    <row r="489" spans="1:13" ht="14.5">
      <c r="A489" s="3">
        <v>46</v>
      </c>
      <c r="B489" s="15">
        <f>AVERAGE(Sheet1!G487:G1824,Sheet1!D487:D1824)</f>
        <v>5491.9006858147686</v>
      </c>
      <c r="C489" s="3"/>
      <c r="J489" s="4" t="s">
        <v>7</v>
      </c>
      <c r="K489" s="4" t="s">
        <v>8</v>
      </c>
      <c r="L489" s="17">
        <f t="shared" si="14"/>
        <v>0</v>
      </c>
      <c r="M489" s="5">
        <f t="shared" si="15"/>
        <v>0</v>
      </c>
    </row>
    <row r="490" spans="1:13" ht="14.5">
      <c r="A490" s="3">
        <v>46</v>
      </c>
      <c r="B490" s="15">
        <f>AVERAGE(Sheet1!G488:G1825,Sheet1!D488:D1825)</f>
        <v>5493.4499178403721</v>
      </c>
      <c r="C490" s="3"/>
      <c r="J490" s="4" t="s">
        <v>7</v>
      </c>
      <c r="K490" s="4" t="s">
        <v>8</v>
      </c>
      <c r="L490" s="17">
        <f t="shared" si="14"/>
        <v>0</v>
      </c>
      <c r="M490" s="5">
        <f t="shared" si="15"/>
        <v>0</v>
      </c>
    </row>
    <row r="491" spans="1:13" ht="14.5">
      <c r="A491" s="3">
        <v>46</v>
      </c>
      <c r="B491" s="15">
        <f>AVERAGE(Sheet1!G489:G1826,Sheet1!D489:D1826)</f>
        <v>5494.7189012925946</v>
      </c>
      <c r="C491" s="3"/>
      <c r="J491" s="4" t="s">
        <v>10</v>
      </c>
      <c r="K491" s="4" t="s">
        <v>8</v>
      </c>
      <c r="L491" s="17">
        <f t="shared" si="14"/>
        <v>0</v>
      </c>
      <c r="M491" s="5">
        <f t="shared" si="15"/>
        <v>0</v>
      </c>
    </row>
    <row r="492" spans="1:13" ht="14.5">
      <c r="A492" s="3">
        <v>46</v>
      </c>
      <c r="B492" s="15">
        <f>AVERAGE(Sheet1!G490:G1827,Sheet1!D490:D1827)</f>
        <v>5496.3396882352927</v>
      </c>
      <c r="C492" s="3"/>
      <c r="J492" s="4" t="s">
        <v>10</v>
      </c>
      <c r="K492" s="4" t="s">
        <v>8</v>
      </c>
      <c r="L492" s="17">
        <f t="shared" si="14"/>
        <v>0</v>
      </c>
      <c r="M492" s="5">
        <f t="shared" si="15"/>
        <v>0</v>
      </c>
    </row>
    <row r="493" spans="1:13" ht="14.5">
      <c r="A493" s="3">
        <v>46</v>
      </c>
      <c r="B493" s="15">
        <f>AVERAGE(Sheet1!G491:G1828,Sheet1!D491:D1828)</f>
        <v>5497.9045229681951</v>
      </c>
      <c r="C493" s="3"/>
      <c r="J493" s="4" t="s">
        <v>7</v>
      </c>
      <c r="K493" s="4" t="s">
        <v>8</v>
      </c>
      <c r="L493" s="17">
        <f t="shared" si="14"/>
        <v>0</v>
      </c>
      <c r="M493" s="5">
        <f t="shared" si="15"/>
        <v>0</v>
      </c>
    </row>
    <row r="494" spans="1:13" ht="14.5">
      <c r="A494" s="3">
        <v>46</v>
      </c>
      <c r="B494" s="15">
        <f>AVERAGE(Sheet1!G492:G1829,Sheet1!D492:D1829)</f>
        <v>5498.9658254716951</v>
      </c>
      <c r="C494" s="3"/>
      <c r="J494" s="4" t="s">
        <v>10</v>
      </c>
      <c r="K494" s="4" t="s">
        <v>8</v>
      </c>
      <c r="L494" s="17">
        <f t="shared" si="14"/>
        <v>0</v>
      </c>
      <c r="M494" s="5">
        <f t="shared" si="15"/>
        <v>0</v>
      </c>
    </row>
    <row r="495" spans="1:13" ht="14.5">
      <c r="A495" s="3">
        <v>46</v>
      </c>
      <c r="B495" s="15">
        <f>AVERAGE(Sheet1!G493:G1830,Sheet1!D493:D1830)</f>
        <v>5500.2485537190068</v>
      </c>
      <c r="C495" s="3"/>
      <c r="J495" s="4" t="s">
        <v>10</v>
      </c>
      <c r="K495" s="4" t="s">
        <v>8</v>
      </c>
      <c r="L495" s="17">
        <f t="shared" si="14"/>
        <v>0</v>
      </c>
      <c r="M495" s="5">
        <f t="shared" si="15"/>
        <v>0</v>
      </c>
    </row>
    <row r="496" spans="1:13" ht="14.5">
      <c r="A496" s="3">
        <v>46</v>
      </c>
      <c r="B496" s="15">
        <f>AVERAGE(Sheet1!G494:G1831,Sheet1!D494:D1831)</f>
        <v>5501.1838829787202</v>
      </c>
      <c r="C496" s="3"/>
      <c r="J496" s="4" t="s">
        <v>10</v>
      </c>
      <c r="K496" s="4" t="s">
        <v>8</v>
      </c>
      <c r="L496" s="17">
        <f t="shared" si="14"/>
        <v>0</v>
      </c>
      <c r="M496" s="5">
        <f t="shared" si="15"/>
        <v>0</v>
      </c>
    </row>
    <row r="497" spans="1:13" ht="14.5">
      <c r="A497" s="3">
        <v>46</v>
      </c>
      <c r="B497" s="15">
        <f>AVERAGE(Sheet1!G495:G1832,Sheet1!D495:D1832)</f>
        <v>5482.7760177514774</v>
      </c>
      <c r="C497" s="3"/>
      <c r="J497" s="4" t="s">
        <v>10</v>
      </c>
      <c r="K497" s="4" t="s">
        <v>11</v>
      </c>
      <c r="L497" s="17">
        <f t="shared" si="14"/>
        <v>0</v>
      </c>
      <c r="M497" s="5">
        <f t="shared" si="15"/>
        <v>1</v>
      </c>
    </row>
    <row r="498" spans="1:13" ht="14.5">
      <c r="A498" s="3">
        <v>46</v>
      </c>
      <c r="B498" s="15">
        <f>AVERAGE(Sheet1!G496:G1833,Sheet1!D496:D1833)</f>
        <v>5483.2876184834113</v>
      </c>
      <c r="C498" s="3"/>
      <c r="J498" s="4" t="s">
        <v>7</v>
      </c>
      <c r="K498" s="4" t="s">
        <v>8</v>
      </c>
      <c r="L498" s="17">
        <f t="shared" si="14"/>
        <v>0</v>
      </c>
      <c r="M498" s="5">
        <f t="shared" si="15"/>
        <v>0</v>
      </c>
    </row>
    <row r="499" spans="1:13" ht="14.5">
      <c r="A499" s="3">
        <v>46</v>
      </c>
      <c r="B499" s="15">
        <f>AVERAGE(Sheet1!G497:G1834,Sheet1!D497:D1834)</f>
        <v>5484.1553558718833</v>
      </c>
      <c r="C499" s="3"/>
      <c r="J499" s="4" t="s">
        <v>7</v>
      </c>
      <c r="K499" s="4" t="s">
        <v>8</v>
      </c>
      <c r="L499" s="17">
        <f t="shared" si="14"/>
        <v>0</v>
      </c>
      <c r="M499" s="5">
        <f t="shared" si="15"/>
        <v>0</v>
      </c>
    </row>
    <row r="500" spans="1:13" ht="14.5">
      <c r="A500" s="3">
        <v>46</v>
      </c>
      <c r="B500" s="15">
        <f>AVERAGE(Sheet1!G498:G1835,Sheet1!D498:D1835)</f>
        <v>5477.7955166270767</v>
      </c>
      <c r="C500" s="3"/>
      <c r="J500" s="4" t="s">
        <v>10</v>
      </c>
      <c r="K500" s="4" t="s">
        <v>11</v>
      </c>
      <c r="L500" s="17">
        <f t="shared" si="14"/>
        <v>0</v>
      </c>
      <c r="M500" s="5">
        <f t="shared" si="15"/>
        <v>1</v>
      </c>
    </row>
    <row r="501" spans="1:13" ht="14.5">
      <c r="A501" s="3">
        <v>46</v>
      </c>
      <c r="B501" s="15">
        <f>AVERAGE(Sheet1!G499:G1836,Sheet1!D499:D1836)</f>
        <v>5479.3451189060597</v>
      </c>
      <c r="C501" s="3"/>
      <c r="J501" s="4" t="s">
        <v>7</v>
      </c>
      <c r="K501" s="4" t="s">
        <v>8</v>
      </c>
      <c r="L501" s="17">
        <f t="shared" si="14"/>
        <v>0</v>
      </c>
      <c r="M501" s="5">
        <f t="shared" si="15"/>
        <v>0</v>
      </c>
    </row>
    <row r="502" spans="1:13" ht="14.5">
      <c r="A502" s="3">
        <v>46</v>
      </c>
      <c r="B502" s="15">
        <f>AVERAGE(Sheet1!G500:G1837,Sheet1!D500:D1837)</f>
        <v>5480.6686071428539</v>
      </c>
      <c r="C502" s="3"/>
      <c r="J502" s="4" t="s">
        <v>7</v>
      </c>
      <c r="K502" s="4" t="s">
        <v>8</v>
      </c>
      <c r="L502" s="17">
        <f t="shared" si="14"/>
        <v>0</v>
      </c>
      <c r="M502" s="5">
        <f t="shared" si="15"/>
        <v>0</v>
      </c>
    </row>
    <row r="503" spans="1:13" ht="14.5">
      <c r="A503" s="3">
        <v>46</v>
      </c>
      <c r="B503" s="15">
        <f>AVERAGE(Sheet1!G501:G1838,Sheet1!D501:D1838)</f>
        <v>5462.3722646007127</v>
      </c>
      <c r="C503" s="3"/>
      <c r="J503" s="4" t="s">
        <v>10</v>
      </c>
      <c r="K503" s="4" t="s">
        <v>11</v>
      </c>
      <c r="L503" s="17">
        <f t="shared" si="14"/>
        <v>0</v>
      </c>
      <c r="M503" s="5">
        <f t="shared" si="15"/>
        <v>1</v>
      </c>
    </row>
    <row r="504" spans="1:13" ht="14.5">
      <c r="A504" s="3">
        <v>45</v>
      </c>
      <c r="B504" s="15">
        <f>AVERAGE(Sheet1!G502:G1839,Sheet1!D502:D1839)</f>
        <v>5463.3387649164661</v>
      </c>
      <c r="C504" s="3"/>
      <c r="J504" s="4" t="s">
        <v>7</v>
      </c>
      <c r="K504" s="4" t="s">
        <v>8</v>
      </c>
      <c r="L504" s="17">
        <f t="shared" si="14"/>
        <v>0</v>
      </c>
      <c r="M504" s="5">
        <f t="shared" si="15"/>
        <v>0</v>
      </c>
    </row>
    <row r="505" spans="1:13" ht="14.5">
      <c r="A505" s="3">
        <v>45</v>
      </c>
      <c r="B505" s="15">
        <f>AVERAGE(Sheet1!G503:G1840,Sheet1!D503:D1840)</f>
        <v>5465.1257347670244</v>
      </c>
      <c r="C505" s="3"/>
      <c r="J505" s="4" t="s">
        <v>10</v>
      </c>
      <c r="K505" s="4" t="s">
        <v>8</v>
      </c>
      <c r="L505" s="17">
        <f t="shared" si="14"/>
        <v>0</v>
      </c>
      <c r="M505" s="5">
        <f t="shared" si="15"/>
        <v>0</v>
      </c>
    </row>
    <row r="506" spans="1:13" ht="14.5">
      <c r="A506" s="3">
        <v>45</v>
      </c>
      <c r="B506" s="15">
        <f>AVERAGE(Sheet1!G504:G1841,Sheet1!D504:D1841)</f>
        <v>5459.0430203349251</v>
      </c>
      <c r="C506" s="3"/>
      <c r="J506" s="4" t="s">
        <v>7</v>
      </c>
      <c r="K506" s="4" t="s">
        <v>11</v>
      </c>
      <c r="L506" s="17">
        <f t="shared" si="14"/>
        <v>1</v>
      </c>
      <c r="M506" s="5">
        <f t="shared" si="15"/>
        <v>0</v>
      </c>
    </row>
    <row r="507" spans="1:13" ht="14.5">
      <c r="A507" s="3">
        <v>45</v>
      </c>
      <c r="B507" s="15">
        <f>AVERAGE(Sheet1!G505:G1842,Sheet1!D505:D1842)</f>
        <v>5460.4797005987984</v>
      </c>
      <c r="C507" s="3"/>
      <c r="J507" s="4" t="s">
        <v>10</v>
      </c>
      <c r="K507" s="4" t="s">
        <v>8</v>
      </c>
      <c r="L507" s="17">
        <f t="shared" si="14"/>
        <v>0</v>
      </c>
      <c r="M507" s="5">
        <f t="shared" si="15"/>
        <v>0</v>
      </c>
    </row>
    <row r="508" spans="1:13" ht="14.5">
      <c r="A508" s="3">
        <v>45</v>
      </c>
      <c r="B508" s="15">
        <f>AVERAGE(Sheet1!G506:G1843,Sheet1!D506:D1843)</f>
        <v>5461.9179076738574</v>
      </c>
      <c r="C508" s="3"/>
      <c r="J508" s="4" t="s">
        <v>10</v>
      </c>
      <c r="K508" s="4" t="s">
        <v>8</v>
      </c>
      <c r="L508" s="17">
        <f t="shared" si="14"/>
        <v>0</v>
      </c>
      <c r="M508" s="5">
        <f t="shared" si="15"/>
        <v>0</v>
      </c>
    </row>
    <row r="509" spans="1:13" ht="14.5">
      <c r="A509" s="3">
        <v>45</v>
      </c>
      <c r="B509" s="15">
        <f>AVERAGE(Sheet1!G507:G1844,Sheet1!D507:D1844)</f>
        <v>5464.0078151260468</v>
      </c>
      <c r="C509" s="3"/>
      <c r="J509" s="4" t="s">
        <v>7</v>
      </c>
      <c r="K509" s="4" t="s">
        <v>8</v>
      </c>
      <c r="L509" s="17">
        <f t="shared" si="14"/>
        <v>0</v>
      </c>
      <c r="M509" s="5">
        <f t="shared" si="15"/>
        <v>0</v>
      </c>
    </row>
    <row r="510" spans="1:13" ht="14.5">
      <c r="A510" s="3">
        <v>45</v>
      </c>
      <c r="B510" s="15">
        <f>AVERAGE(Sheet1!G508:G1845,Sheet1!D508:D1845)</f>
        <v>5444.8765144230747</v>
      </c>
      <c r="C510" s="3"/>
      <c r="J510" s="4" t="s">
        <v>7</v>
      </c>
      <c r="K510" s="4" t="s">
        <v>11</v>
      </c>
      <c r="L510" s="17">
        <f t="shared" si="14"/>
        <v>1</v>
      </c>
      <c r="M510" s="5">
        <f t="shared" si="15"/>
        <v>0</v>
      </c>
    </row>
    <row r="511" spans="1:13" ht="14.5">
      <c r="A511" s="3">
        <v>45</v>
      </c>
      <c r="B511" s="15">
        <f>AVERAGE(Sheet1!G509:G1846,Sheet1!D509:D1846)</f>
        <v>5445.5358904933782</v>
      </c>
      <c r="C511" s="3"/>
      <c r="J511" s="4" t="s">
        <v>7</v>
      </c>
      <c r="K511" s="4" t="s">
        <v>8</v>
      </c>
      <c r="L511" s="17">
        <f t="shared" si="14"/>
        <v>0</v>
      </c>
      <c r="M511" s="5">
        <f t="shared" si="15"/>
        <v>0</v>
      </c>
    </row>
    <row r="512" spans="1:13" ht="14.5">
      <c r="A512" s="3">
        <v>45</v>
      </c>
      <c r="B512" s="15">
        <f>AVERAGE(Sheet1!G510:G1847,Sheet1!D510:D1847)</f>
        <v>5447.6720301204787</v>
      </c>
      <c r="C512" s="3"/>
      <c r="J512" s="4" t="s">
        <v>10</v>
      </c>
      <c r="K512" s="4" t="s">
        <v>8</v>
      </c>
      <c r="L512" s="17">
        <f t="shared" si="14"/>
        <v>0</v>
      </c>
      <c r="M512" s="5">
        <f t="shared" si="15"/>
        <v>0</v>
      </c>
    </row>
    <row r="513" spans="1:13" ht="14.5">
      <c r="A513" s="3">
        <v>45</v>
      </c>
      <c r="B513" s="15">
        <f>AVERAGE(Sheet1!G511:G1848,Sheet1!D511:D1848)</f>
        <v>5449.4002412545215</v>
      </c>
      <c r="C513" s="3"/>
      <c r="J513" s="4" t="s">
        <v>7</v>
      </c>
      <c r="K513" s="4" t="s">
        <v>8</v>
      </c>
      <c r="L513" s="17">
        <f t="shared" si="14"/>
        <v>0</v>
      </c>
      <c r="M513" s="5">
        <f t="shared" si="15"/>
        <v>0</v>
      </c>
    </row>
    <row r="514" spans="1:13" ht="14.5">
      <c r="A514" s="3">
        <v>45</v>
      </c>
      <c r="B514" s="15">
        <f>AVERAGE(Sheet1!G512:G1849,Sheet1!D512:D1849)</f>
        <v>5450.8998429951662</v>
      </c>
      <c r="C514" s="3"/>
      <c r="J514" s="4" t="s">
        <v>7</v>
      </c>
      <c r="K514" s="4" t="s">
        <v>8</v>
      </c>
      <c r="L514" s="17">
        <f t="shared" si="14"/>
        <v>0</v>
      </c>
      <c r="M514" s="5">
        <f t="shared" si="15"/>
        <v>0</v>
      </c>
    </row>
    <row r="515" spans="1:13" ht="14.5">
      <c r="A515" s="3">
        <v>45</v>
      </c>
      <c r="B515" s="15">
        <f>AVERAGE(Sheet1!G513:G1850,Sheet1!D513:D1850)</f>
        <v>5452.334105199513</v>
      </c>
      <c r="C515" s="3"/>
      <c r="J515" s="4" t="s">
        <v>10</v>
      </c>
      <c r="K515" s="4" t="s">
        <v>8</v>
      </c>
      <c r="L515" s="17">
        <f t="shared" si="14"/>
        <v>0</v>
      </c>
      <c r="M515" s="5">
        <f t="shared" si="15"/>
        <v>0</v>
      </c>
    </row>
    <row r="516" spans="1:13" ht="14.5">
      <c r="A516" s="3">
        <v>45</v>
      </c>
      <c r="B516" s="15">
        <f>AVERAGE(Sheet1!G514:G1851,Sheet1!D514:D1851)</f>
        <v>5454.5628450363165</v>
      </c>
      <c r="C516" s="3"/>
      <c r="J516" s="4" t="s">
        <v>7</v>
      </c>
      <c r="K516" s="4" t="s">
        <v>8</v>
      </c>
      <c r="L516" s="17">
        <f t="shared" si="14"/>
        <v>0</v>
      </c>
      <c r="M516" s="5">
        <f t="shared" si="15"/>
        <v>0</v>
      </c>
    </row>
    <row r="517" spans="1:13" ht="14.5">
      <c r="A517" s="3">
        <v>45</v>
      </c>
      <c r="B517" s="15">
        <f>AVERAGE(Sheet1!G515:G1852,Sheet1!D515:D1852)</f>
        <v>5455.9583878787844</v>
      </c>
      <c r="C517" s="3"/>
      <c r="J517" s="4" t="s">
        <v>7</v>
      </c>
      <c r="K517" s="4" t="s">
        <v>8</v>
      </c>
      <c r="L517" s="17">
        <f t="shared" si="14"/>
        <v>0</v>
      </c>
      <c r="M517" s="5">
        <f t="shared" si="15"/>
        <v>0</v>
      </c>
    </row>
    <row r="518" spans="1:13" ht="14.5">
      <c r="A518" s="3">
        <v>45</v>
      </c>
      <c r="B518" s="15">
        <f>AVERAGE(Sheet1!G516:G1853,Sheet1!D516:D1853)</f>
        <v>5457.059629854366</v>
      </c>
      <c r="C518" s="3"/>
      <c r="J518" s="4" t="s">
        <v>10</v>
      </c>
      <c r="K518" s="4" t="s">
        <v>8</v>
      </c>
      <c r="L518" s="17">
        <f t="shared" ref="L518:L581" si="16">IF(AND(J518="male", K518="yes"),1,0)</f>
        <v>0</v>
      </c>
      <c r="M518" s="5">
        <f t="shared" ref="M518:M581" si="17">IF(AND(J518="female", K518="yes"), 1, 0)</f>
        <v>0</v>
      </c>
    </row>
    <row r="519" spans="1:13" ht="14.5">
      <c r="A519" s="3">
        <v>45</v>
      </c>
      <c r="B519" s="15">
        <f>AVERAGE(Sheet1!G517:G1854,Sheet1!D517:D1854)</f>
        <v>5459.1651701093533</v>
      </c>
      <c r="C519" s="3"/>
      <c r="J519" s="4" t="s">
        <v>7</v>
      </c>
      <c r="K519" s="4" t="s">
        <v>8</v>
      </c>
      <c r="L519" s="17">
        <f t="shared" si="16"/>
        <v>0</v>
      </c>
      <c r="M519" s="5">
        <f t="shared" si="17"/>
        <v>0</v>
      </c>
    </row>
    <row r="520" spans="1:13" ht="14.5">
      <c r="A520" s="3">
        <v>45</v>
      </c>
      <c r="B520" s="15">
        <f>AVERAGE(Sheet1!G518:G1855,Sheet1!D518:D1855)</f>
        <v>5461.1034124087555</v>
      </c>
      <c r="C520" s="3"/>
      <c r="J520" s="4" t="s">
        <v>10</v>
      </c>
      <c r="K520" s="4" t="s">
        <v>8</v>
      </c>
      <c r="L520" s="17">
        <f t="shared" si="16"/>
        <v>0</v>
      </c>
      <c r="M520" s="5">
        <f t="shared" si="17"/>
        <v>0</v>
      </c>
    </row>
    <row r="521" spans="1:13" ht="14.5">
      <c r="A521" s="3">
        <v>45</v>
      </c>
      <c r="B521" s="15">
        <f>AVERAGE(Sheet1!G519:G1856,Sheet1!D519:D1856)</f>
        <v>5463.2199086479868</v>
      </c>
      <c r="C521" s="3"/>
      <c r="J521" s="4" t="s">
        <v>7</v>
      </c>
      <c r="K521" s="4" t="s">
        <v>8</v>
      </c>
      <c r="L521" s="17">
        <f t="shared" si="16"/>
        <v>0</v>
      </c>
      <c r="M521" s="5">
        <f t="shared" si="17"/>
        <v>0</v>
      </c>
    </row>
    <row r="522" spans="1:13" ht="14.5">
      <c r="A522" s="3">
        <v>45</v>
      </c>
      <c r="B522" s="15">
        <f>AVERAGE(Sheet1!G520:G1857,Sheet1!D520:D1857)</f>
        <v>5448.498609756095</v>
      </c>
      <c r="C522" s="3"/>
      <c r="J522" s="4" t="s">
        <v>7</v>
      </c>
      <c r="K522" s="4" t="s">
        <v>11</v>
      </c>
      <c r="L522" s="17">
        <f t="shared" si="16"/>
        <v>1</v>
      </c>
      <c r="M522" s="5">
        <f t="shared" si="17"/>
        <v>0</v>
      </c>
    </row>
    <row r="523" spans="1:13" ht="14.5">
      <c r="A523" s="3">
        <v>45</v>
      </c>
      <c r="B523" s="15">
        <f>AVERAGE(Sheet1!G521:G1858,Sheet1!D521:D1858)</f>
        <v>5450.6651892551863</v>
      </c>
      <c r="C523" s="3"/>
      <c r="J523" s="4" t="s">
        <v>10</v>
      </c>
      <c r="K523" s="4" t="s">
        <v>8</v>
      </c>
      <c r="L523" s="17">
        <f t="shared" si="16"/>
        <v>0</v>
      </c>
      <c r="M523" s="5">
        <f t="shared" si="17"/>
        <v>0</v>
      </c>
    </row>
    <row r="524" spans="1:13" ht="14.5">
      <c r="A524" s="3">
        <v>45</v>
      </c>
      <c r="B524" s="15">
        <f>AVERAGE(Sheet1!G522:G1859,Sheet1!D522:D1859)</f>
        <v>5451.3948105134441</v>
      </c>
      <c r="C524" s="3"/>
      <c r="J524" s="4" t="s">
        <v>10</v>
      </c>
      <c r="K524" s="4" t="s">
        <v>8</v>
      </c>
      <c r="L524" s="17">
        <f t="shared" si="16"/>
        <v>0</v>
      </c>
      <c r="M524" s="5">
        <f t="shared" si="17"/>
        <v>0</v>
      </c>
    </row>
    <row r="525" spans="1:13" ht="14.5">
      <c r="A525" s="3">
        <v>45</v>
      </c>
      <c r="B525" s="15">
        <f>AVERAGE(Sheet1!G523:G1860,Sheet1!D523:D1860)</f>
        <v>5440.7225948592368</v>
      </c>
      <c r="C525" s="3"/>
      <c r="J525" s="4" t="s">
        <v>10</v>
      </c>
      <c r="K525" s="4" t="s">
        <v>8</v>
      </c>
      <c r="L525" s="17">
        <f t="shared" si="16"/>
        <v>0</v>
      </c>
      <c r="M525" s="5">
        <f t="shared" si="17"/>
        <v>0</v>
      </c>
    </row>
    <row r="526" spans="1:13" ht="14.5">
      <c r="A526" s="3">
        <v>45</v>
      </c>
      <c r="B526" s="15">
        <f>AVERAGE(Sheet1!G524:G1861,Sheet1!D524:D1861)</f>
        <v>5423.0479166666628</v>
      </c>
      <c r="C526" s="3"/>
      <c r="J526" s="4" t="s">
        <v>10</v>
      </c>
      <c r="K526" s="4" t="s">
        <v>11</v>
      </c>
      <c r="L526" s="17">
        <f t="shared" si="16"/>
        <v>0</v>
      </c>
      <c r="M526" s="5">
        <f t="shared" si="17"/>
        <v>1</v>
      </c>
    </row>
    <row r="527" spans="1:13" ht="14.5">
      <c r="A527" s="3">
        <v>45</v>
      </c>
      <c r="B527" s="15">
        <f>AVERAGE(Sheet1!G525:G1862,Sheet1!D525:D1862)</f>
        <v>5418.7023926380334</v>
      </c>
      <c r="C527" s="3"/>
      <c r="J527" s="4" t="s">
        <v>10</v>
      </c>
      <c r="K527" s="4" t="s">
        <v>8</v>
      </c>
      <c r="L527" s="17">
        <f t="shared" si="16"/>
        <v>0</v>
      </c>
      <c r="M527" s="5">
        <f t="shared" si="17"/>
        <v>0</v>
      </c>
    </row>
    <row r="528" spans="1:13" ht="14.5">
      <c r="A528" s="3">
        <v>45</v>
      </c>
      <c r="B528" s="15">
        <f>AVERAGE(Sheet1!G526:G1863,Sheet1!D526:D1863)</f>
        <v>5420.0715847665815</v>
      </c>
      <c r="C528" s="3"/>
      <c r="J528" s="4" t="s">
        <v>7</v>
      </c>
      <c r="K528" s="4" t="s">
        <v>8</v>
      </c>
      <c r="L528" s="17">
        <f t="shared" si="16"/>
        <v>0</v>
      </c>
      <c r="M528" s="5">
        <f t="shared" si="17"/>
        <v>0</v>
      </c>
    </row>
    <row r="529" spans="1:13" ht="14.5">
      <c r="A529" s="3">
        <v>45</v>
      </c>
      <c r="B529" s="15">
        <f>AVERAGE(Sheet1!G527:G1864,Sheet1!D527:D1864)</f>
        <v>5421.4457072570694</v>
      </c>
      <c r="C529" s="3"/>
      <c r="J529" s="4" t="s">
        <v>7</v>
      </c>
      <c r="K529" s="4" t="s">
        <v>8</v>
      </c>
      <c r="L529" s="17">
        <f t="shared" si="16"/>
        <v>0</v>
      </c>
      <c r="M529" s="5">
        <f t="shared" si="17"/>
        <v>0</v>
      </c>
    </row>
    <row r="530" spans="1:13" ht="14.5">
      <c r="A530" s="3">
        <v>45</v>
      </c>
      <c r="B530" s="15">
        <f>AVERAGE(Sheet1!G528:G1865,Sheet1!D528:D1865)</f>
        <v>5422.8774384236422</v>
      </c>
      <c r="C530" s="3"/>
      <c r="J530" s="4" t="s">
        <v>10</v>
      </c>
      <c r="K530" s="4" t="s">
        <v>8</v>
      </c>
      <c r="L530" s="17">
        <f t="shared" si="16"/>
        <v>0</v>
      </c>
      <c r="M530" s="5">
        <f t="shared" si="17"/>
        <v>0</v>
      </c>
    </row>
    <row r="531" spans="1:13" ht="14.5">
      <c r="A531" s="3">
        <v>45</v>
      </c>
      <c r="B531" s="15">
        <f>AVERAGE(Sheet1!G529:G1866,Sheet1!D529:D1866)</f>
        <v>5423.9507768187405</v>
      </c>
      <c r="C531" s="3"/>
      <c r="J531" s="4" t="s">
        <v>10</v>
      </c>
      <c r="K531" s="4" t="s">
        <v>8</v>
      </c>
      <c r="L531" s="17">
        <f t="shared" si="16"/>
        <v>0</v>
      </c>
      <c r="M531" s="5">
        <f t="shared" si="17"/>
        <v>0</v>
      </c>
    </row>
    <row r="532" spans="1:13" ht="14.5">
      <c r="A532" s="3">
        <v>45</v>
      </c>
      <c r="B532" s="15">
        <f>AVERAGE(Sheet1!G530:G1867,Sheet1!D530:D1867)</f>
        <v>5425.3270740740718</v>
      </c>
      <c r="C532" s="3"/>
      <c r="J532" s="4" t="s">
        <v>7</v>
      </c>
      <c r="K532" s="4" t="s">
        <v>8</v>
      </c>
      <c r="L532" s="17">
        <f t="shared" si="16"/>
        <v>0</v>
      </c>
      <c r="M532" s="5">
        <f t="shared" si="17"/>
        <v>0</v>
      </c>
    </row>
    <row r="533" spans="1:13" ht="14.5">
      <c r="A533" s="3">
        <v>44</v>
      </c>
      <c r="B533" s="15">
        <f>AVERAGE(Sheet1!G531:G1868,Sheet1!D531:D1868)</f>
        <v>5393.3479542645209</v>
      </c>
      <c r="C533" s="3"/>
      <c r="J533" s="4" t="s">
        <v>7</v>
      </c>
      <c r="K533" s="4" t="s">
        <v>11</v>
      </c>
      <c r="L533" s="17">
        <f t="shared" si="16"/>
        <v>1</v>
      </c>
      <c r="M533" s="5">
        <f t="shared" si="17"/>
        <v>0</v>
      </c>
    </row>
    <row r="534" spans="1:13" ht="14.5">
      <c r="A534" s="3">
        <v>44</v>
      </c>
      <c r="B534" s="15">
        <f>AVERAGE(Sheet1!G532:G1869,Sheet1!D532:D1869)</f>
        <v>5395.2401856435627</v>
      </c>
      <c r="C534" s="3"/>
      <c r="J534" s="4" t="s">
        <v>7</v>
      </c>
      <c r="K534" s="4" t="s">
        <v>8</v>
      </c>
      <c r="L534" s="17">
        <f t="shared" si="16"/>
        <v>0</v>
      </c>
      <c r="M534" s="5">
        <f t="shared" si="17"/>
        <v>0</v>
      </c>
    </row>
    <row r="535" spans="1:13" ht="14.5">
      <c r="A535" s="3">
        <v>44</v>
      </c>
      <c r="B535" s="15">
        <f>AVERAGE(Sheet1!G533:G1870,Sheet1!D533:D1870)</f>
        <v>5397.1287484510513</v>
      </c>
      <c r="C535" s="3"/>
      <c r="J535" s="4" t="s">
        <v>7</v>
      </c>
      <c r="K535" s="4" t="s">
        <v>8</v>
      </c>
      <c r="L535" s="17">
        <f t="shared" si="16"/>
        <v>0</v>
      </c>
      <c r="M535" s="5">
        <f t="shared" si="17"/>
        <v>0</v>
      </c>
    </row>
    <row r="536" spans="1:13" ht="14.5">
      <c r="A536" s="3">
        <v>44</v>
      </c>
      <c r="B536" s="15">
        <f>AVERAGE(Sheet1!G534:G1871,Sheet1!D534:D1871)</f>
        <v>5379.2855521091806</v>
      </c>
      <c r="C536" s="3"/>
      <c r="J536" s="4" t="s">
        <v>7</v>
      </c>
      <c r="K536" s="4" t="s">
        <v>11</v>
      </c>
      <c r="L536" s="17">
        <f t="shared" si="16"/>
        <v>1</v>
      </c>
      <c r="M536" s="5">
        <f t="shared" si="17"/>
        <v>0</v>
      </c>
    </row>
    <row r="537" spans="1:13" ht="14.5">
      <c r="A537" s="3">
        <v>44</v>
      </c>
      <c r="B537" s="15">
        <f>AVERAGE(Sheet1!G535:G1872,Sheet1!D535:D1872)</f>
        <v>5381.6519316770173</v>
      </c>
      <c r="C537" s="3"/>
      <c r="J537" s="4" t="s">
        <v>7</v>
      </c>
      <c r="K537" s="4" t="s">
        <v>8</v>
      </c>
      <c r="L537" s="17">
        <f t="shared" si="16"/>
        <v>0</v>
      </c>
      <c r="M537" s="5">
        <f t="shared" si="17"/>
        <v>0</v>
      </c>
    </row>
    <row r="538" spans="1:13" ht="14.5">
      <c r="A538" s="3">
        <v>44</v>
      </c>
      <c r="B538" s="15">
        <f>AVERAGE(Sheet1!G536:G1873,Sheet1!D536:D1873)</f>
        <v>5383.7314241293516</v>
      </c>
      <c r="C538" s="3"/>
      <c r="J538" s="4" t="s">
        <v>10</v>
      </c>
      <c r="K538" s="4" t="s">
        <v>8</v>
      </c>
      <c r="L538" s="17">
        <f t="shared" si="16"/>
        <v>0</v>
      </c>
      <c r="M538" s="5">
        <f t="shared" si="17"/>
        <v>0</v>
      </c>
    </row>
    <row r="539" spans="1:13" ht="14.5">
      <c r="A539" s="3">
        <v>44</v>
      </c>
      <c r="B539" s="15">
        <f>AVERAGE(Sheet1!G537:G1874,Sheet1!D537:D1874)</f>
        <v>5385.6206102117048</v>
      </c>
      <c r="C539" s="3"/>
      <c r="J539" s="4" t="s">
        <v>7</v>
      </c>
      <c r="K539" s="4" t="s">
        <v>8</v>
      </c>
      <c r="L539" s="17">
        <f t="shared" si="16"/>
        <v>0</v>
      </c>
      <c r="M539" s="5">
        <f t="shared" si="17"/>
        <v>0</v>
      </c>
    </row>
    <row r="540" spans="1:13" ht="14.5">
      <c r="A540" s="3">
        <v>44</v>
      </c>
      <c r="B540" s="15">
        <f>AVERAGE(Sheet1!G538:G1875,Sheet1!D538:D1875)</f>
        <v>5387.8759538653339</v>
      </c>
      <c r="C540" s="3"/>
      <c r="J540" s="4" t="s">
        <v>7</v>
      </c>
      <c r="K540" s="4" t="s">
        <v>8</v>
      </c>
      <c r="L540" s="17">
        <f t="shared" si="16"/>
        <v>0</v>
      </c>
      <c r="M540" s="5">
        <f t="shared" si="17"/>
        <v>0</v>
      </c>
    </row>
    <row r="541" spans="1:13" ht="14.5">
      <c r="A541" s="3">
        <v>44</v>
      </c>
      <c r="B541" s="15">
        <f>AVERAGE(Sheet1!G539:G1876,Sheet1!D539:D1876)</f>
        <v>5389.9699375780265</v>
      </c>
      <c r="C541" s="3"/>
      <c r="J541" s="4" t="s">
        <v>10</v>
      </c>
      <c r="K541" s="4" t="s">
        <v>8</v>
      </c>
      <c r="L541" s="17">
        <f t="shared" si="16"/>
        <v>0</v>
      </c>
      <c r="M541" s="5">
        <f t="shared" si="17"/>
        <v>0</v>
      </c>
    </row>
    <row r="542" spans="1:13" ht="14.5">
      <c r="A542" s="3">
        <v>44</v>
      </c>
      <c r="B542" s="15">
        <f>AVERAGE(Sheet1!G540:G1877,Sheet1!D540:D1877)</f>
        <v>5391.6334812499981</v>
      </c>
      <c r="C542" s="3"/>
      <c r="J542" s="4" t="s">
        <v>7</v>
      </c>
      <c r="K542" s="4" t="s">
        <v>8</v>
      </c>
      <c r="L542" s="17">
        <f t="shared" si="16"/>
        <v>0</v>
      </c>
      <c r="M542" s="5">
        <f t="shared" si="17"/>
        <v>0</v>
      </c>
    </row>
    <row r="543" spans="1:13" ht="14.5">
      <c r="A543" s="3">
        <v>44</v>
      </c>
      <c r="B543" s="15">
        <f>AVERAGE(Sheet1!G541:G1878,Sheet1!D541:D1878)</f>
        <v>5393.1846245306615</v>
      </c>
      <c r="C543" s="3"/>
      <c r="J543" s="4" t="s">
        <v>7</v>
      </c>
      <c r="K543" s="4" t="s">
        <v>8</v>
      </c>
      <c r="L543" s="17">
        <f t="shared" si="16"/>
        <v>0</v>
      </c>
      <c r="M543" s="5">
        <f t="shared" si="17"/>
        <v>0</v>
      </c>
    </row>
    <row r="544" spans="1:13" ht="14.5">
      <c r="A544" s="3">
        <v>44</v>
      </c>
      <c r="B544" s="15">
        <f>AVERAGE(Sheet1!G542:G1879,Sheet1!D542:D1879)</f>
        <v>5387.6649248120284</v>
      </c>
      <c r="C544" s="3"/>
      <c r="J544" s="4" t="s">
        <v>10</v>
      </c>
      <c r="K544" s="4" t="s">
        <v>11</v>
      </c>
      <c r="L544" s="17">
        <f t="shared" si="16"/>
        <v>0</v>
      </c>
      <c r="M544" s="5">
        <f t="shared" si="17"/>
        <v>1</v>
      </c>
    </row>
    <row r="545" spans="1:13" ht="14.5">
      <c r="A545" s="3">
        <v>44</v>
      </c>
      <c r="B545" s="15">
        <f>AVERAGE(Sheet1!G543:G1880,Sheet1!D543:D1880)</f>
        <v>5363.7566373902109</v>
      </c>
      <c r="C545" s="3"/>
      <c r="J545" s="4" t="s">
        <v>10</v>
      </c>
      <c r="K545" s="4" t="s">
        <v>11</v>
      </c>
      <c r="L545" s="17">
        <f t="shared" si="16"/>
        <v>0</v>
      </c>
      <c r="M545" s="5">
        <f t="shared" si="17"/>
        <v>1</v>
      </c>
    </row>
    <row r="546" spans="1:13" ht="14.5">
      <c r="A546" s="3">
        <v>44</v>
      </c>
      <c r="B546" s="15">
        <f>AVERAGE(Sheet1!G544:G1881,Sheet1!D544:D1881)</f>
        <v>5365.3360427135658</v>
      </c>
      <c r="C546" s="3"/>
      <c r="J546" s="4" t="s">
        <v>10</v>
      </c>
      <c r="K546" s="4" t="s">
        <v>8</v>
      </c>
      <c r="L546" s="17">
        <f t="shared" si="16"/>
        <v>0</v>
      </c>
      <c r="M546" s="5">
        <f t="shared" si="17"/>
        <v>0</v>
      </c>
    </row>
    <row r="547" spans="1:13" ht="14.5">
      <c r="A547" s="3">
        <v>44</v>
      </c>
      <c r="B547" s="15">
        <f>AVERAGE(Sheet1!G545:G1882,Sheet1!D545:D1882)</f>
        <v>5345.0512704402508</v>
      </c>
      <c r="C547" s="3"/>
      <c r="J547" s="4" t="s">
        <v>10</v>
      </c>
      <c r="K547" s="4" t="s">
        <v>11</v>
      </c>
      <c r="L547" s="17">
        <f t="shared" si="16"/>
        <v>0</v>
      </c>
      <c r="M547" s="5">
        <f t="shared" si="17"/>
        <v>1</v>
      </c>
    </row>
    <row r="548" spans="1:13" ht="14.5">
      <c r="A548" s="3">
        <v>44</v>
      </c>
      <c r="B548" s="15">
        <f>AVERAGE(Sheet1!G546:G1883,Sheet1!D546:D1883)</f>
        <v>5322.6879911838796</v>
      </c>
      <c r="C548" s="3"/>
      <c r="J548" s="4" t="s">
        <v>10</v>
      </c>
      <c r="K548" s="4" t="s">
        <v>11</v>
      </c>
      <c r="L548" s="17">
        <f t="shared" si="16"/>
        <v>0</v>
      </c>
      <c r="M548" s="5">
        <f t="shared" si="17"/>
        <v>1</v>
      </c>
    </row>
    <row r="549" spans="1:13" ht="14.5">
      <c r="A549" s="3">
        <v>44</v>
      </c>
      <c r="B549" s="15">
        <f>AVERAGE(Sheet1!G547:G1884,Sheet1!D547:D1884)</f>
        <v>5321.3312232030266</v>
      </c>
      <c r="C549" s="3"/>
      <c r="J549" s="4" t="s">
        <v>10</v>
      </c>
      <c r="K549" s="4" t="s">
        <v>8</v>
      </c>
      <c r="L549" s="17">
        <f t="shared" si="16"/>
        <v>0</v>
      </c>
      <c r="M549" s="5">
        <f t="shared" si="17"/>
        <v>0</v>
      </c>
    </row>
    <row r="550" spans="1:13" ht="14.5">
      <c r="A550" s="3">
        <v>44</v>
      </c>
      <c r="B550" s="15">
        <f>AVERAGE(Sheet1!G548:G1885,Sheet1!D548:D1885)</f>
        <v>5322.8599242424234</v>
      </c>
      <c r="C550" s="3"/>
      <c r="J550" s="4" t="s">
        <v>10</v>
      </c>
      <c r="K550" s="4" t="s">
        <v>8</v>
      </c>
      <c r="L550" s="17">
        <f t="shared" si="16"/>
        <v>0</v>
      </c>
      <c r="M550" s="5">
        <f t="shared" si="17"/>
        <v>0</v>
      </c>
    </row>
    <row r="551" spans="1:13" ht="14.5">
      <c r="A551" s="3">
        <v>44</v>
      </c>
      <c r="B551" s="15">
        <f>AVERAGE(Sheet1!G549:G1886,Sheet1!D549:D1886)</f>
        <v>5323.9671175726917</v>
      </c>
      <c r="C551" s="3"/>
      <c r="J551" s="4" t="s">
        <v>7</v>
      </c>
      <c r="K551" s="4" t="s">
        <v>8</v>
      </c>
      <c r="L551" s="17">
        <f t="shared" si="16"/>
        <v>0</v>
      </c>
      <c r="M551" s="5">
        <f t="shared" si="17"/>
        <v>0</v>
      </c>
    </row>
    <row r="552" spans="1:13" ht="14.5">
      <c r="A552" s="3">
        <v>44</v>
      </c>
      <c r="B552" s="15">
        <f>AVERAGE(Sheet1!G550:G1887,Sheet1!D550:D1887)</f>
        <v>5325.8742151898723</v>
      </c>
      <c r="C552" s="3"/>
      <c r="J552" s="4" t="s">
        <v>10</v>
      </c>
      <c r="K552" s="4" t="s">
        <v>8</v>
      </c>
      <c r="L552" s="17">
        <f t="shared" si="16"/>
        <v>0</v>
      </c>
      <c r="M552" s="5">
        <f t="shared" si="17"/>
        <v>0</v>
      </c>
    </row>
    <row r="553" spans="1:13" ht="14.5">
      <c r="A553" s="3">
        <v>44</v>
      </c>
      <c r="B553" s="15">
        <f>AVERAGE(Sheet1!G551:G1888,Sheet1!D551:D1888)</f>
        <v>5327.7904119138138</v>
      </c>
      <c r="C553" s="3"/>
      <c r="J553" s="4" t="s">
        <v>10</v>
      </c>
      <c r="K553" s="4" t="s">
        <v>8</v>
      </c>
      <c r="L553" s="17">
        <f t="shared" si="16"/>
        <v>0</v>
      </c>
      <c r="M553" s="5">
        <f t="shared" si="17"/>
        <v>0</v>
      </c>
    </row>
    <row r="554" spans="1:13" ht="14.5">
      <c r="A554" s="3">
        <v>44</v>
      </c>
      <c r="B554" s="15">
        <f>AVERAGE(Sheet1!G552:G1889,Sheet1!D552:D1889)</f>
        <v>5314.1767829949222</v>
      </c>
      <c r="C554" s="3"/>
      <c r="J554" s="4" t="s">
        <v>7</v>
      </c>
      <c r="K554" s="4" t="s">
        <v>8</v>
      </c>
      <c r="L554" s="17">
        <f t="shared" si="16"/>
        <v>0</v>
      </c>
      <c r="M554" s="5">
        <f t="shared" si="17"/>
        <v>0</v>
      </c>
    </row>
    <row r="555" spans="1:13" ht="14.5">
      <c r="A555" s="3">
        <v>44</v>
      </c>
      <c r="B555" s="15">
        <f>AVERAGE(Sheet1!G553:G1890,Sheet1!D553:D1890)</f>
        <v>5296.1512452350689</v>
      </c>
      <c r="C555" s="3"/>
      <c r="J555" s="4" t="s">
        <v>7</v>
      </c>
      <c r="K555" s="4" t="s">
        <v>11</v>
      </c>
      <c r="L555" s="17">
        <f t="shared" si="16"/>
        <v>1</v>
      </c>
      <c r="M555" s="5">
        <f t="shared" si="17"/>
        <v>0</v>
      </c>
    </row>
    <row r="556" spans="1:13" ht="14.5">
      <c r="A556" s="3">
        <v>44</v>
      </c>
      <c r="B556" s="15">
        <f>AVERAGE(Sheet1!G554:G1891,Sheet1!D554:D1891)</f>
        <v>5298.1062531806601</v>
      </c>
      <c r="C556" s="3"/>
      <c r="J556" s="4" t="s">
        <v>7</v>
      </c>
      <c r="K556" s="4" t="s">
        <v>8</v>
      </c>
      <c r="L556" s="17">
        <f t="shared" si="16"/>
        <v>0</v>
      </c>
      <c r="M556" s="5">
        <f t="shared" si="17"/>
        <v>0</v>
      </c>
    </row>
    <row r="557" spans="1:13" ht="14.5">
      <c r="A557" s="3">
        <v>44</v>
      </c>
      <c r="B557" s="15">
        <f>AVERAGE(Sheet1!G555:G1892,Sheet1!D555:D1892)</f>
        <v>5299.9983439490434</v>
      </c>
      <c r="C557" s="3"/>
      <c r="J557" s="4" t="s">
        <v>10</v>
      </c>
      <c r="K557" s="4" t="s">
        <v>8</v>
      </c>
      <c r="L557" s="17">
        <f t="shared" si="16"/>
        <v>0</v>
      </c>
      <c r="M557" s="5">
        <f t="shared" si="17"/>
        <v>0</v>
      </c>
    </row>
    <row r="558" spans="1:13" ht="14.5">
      <c r="A558" s="3">
        <v>44</v>
      </c>
      <c r="B558" s="15">
        <f>AVERAGE(Sheet1!G556:G1893,Sheet1!D556:D1893)</f>
        <v>5301.6411096938764</v>
      </c>
      <c r="C558" s="3"/>
      <c r="J558" s="4" t="s">
        <v>10</v>
      </c>
      <c r="K558" s="4" t="s">
        <v>8</v>
      </c>
      <c r="L558" s="17">
        <f t="shared" si="16"/>
        <v>0</v>
      </c>
      <c r="M558" s="5">
        <f t="shared" si="17"/>
        <v>0</v>
      </c>
    </row>
    <row r="559" spans="1:13" ht="14.5">
      <c r="A559" s="3">
        <v>44</v>
      </c>
      <c r="B559" s="15">
        <f>AVERAGE(Sheet1!G557:G1894,Sheet1!D557:D1894)</f>
        <v>5303.5432567049802</v>
      </c>
      <c r="C559" s="3"/>
      <c r="J559" s="4" t="s">
        <v>10</v>
      </c>
      <c r="K559" s="4" t="s">
        <v>8</v>
      </c>
      <c r="L559" s="17">
        <f t="shared" si="16"/>
        <v>0</v>
      </c>
      <c r="M559" s="5">
        <f t="shared" si="17"/>
        <v>0</v>
      </c>
    </row>
    <row r="560" spans="1:13" ht="14.5">
      <c r="A560" s="3">
        <v>43</v>
      </c>
      <c r="B560" s="15">
        <f>AVERAGE(Sheet1!G558:G1895,Sheet1!D558:D1895)</f>
        <v>5305.7546483375954</v>
      </c>
      <c r="C560" s="3"/>
      <c r="J560" s="4" t="s">
        <v>7</v>
      </c>
      <c r="K560" s="4" t="s">
        <v>8</v>
      </c>
      <c r="L560" s="17">
        <f t="shared" si="16"/>
        <v>0</v>
      </c>
      <c r="M560" s="5">
        <f t="shared" si="17"/>
        <v>0</v>
      </c>
    </row>
    <row r="561" spans="1:13" ht="14.5">
      <c r="A561" s="3">
        <v>43</v>
      </c>
      <c r="B561" s="15">
        <f>AVERAGE(Sheet1!G559:G1896,Sheet1!D559:D1896)</f>
        <v>5307.0365236875796</v>
      </c>
      <c r="C561" s="3"/>
      <c r="J561" s="4" t="s">
        <v>7</v>
      </c>
      <c r="K561" s="4" t="s">
        <v>8</v>
      </c>
      <c r="L561" s="17">
        <f t="shared" si="16"/>
        <v>0</v>
      </c>
      <c r="M561" s="5">
        <f t="shared" si="17"/>
        <v>0</v>
      </c>
    </row>
    <row r="562" spans="1:13" ht="14.5">
      <c r="A562" s="3">
        <v>43</v>
      </c>
      <c r="B562" s="15">
        <f>AVERAGE(Sheet1!G560:G1897,Sheet1!D560:D1897)</f>
        <v>5286.8355961538446</v>
      </c>
      <c r="C562" s="3"/>
      <c r="J562" s="4" t="s">
        <v>7</v>
      </c>
      <c r="K562" s="4" t="s">
        <v>11</v>
      </c>
      <c r="L562" s="17">
        <f t="shared" si="16"/>
        <v>1</v>
      </c>
      <c r="M562" s="5">
        <f t="shared" si="17"/>
        <v>0</v>
      </c>
    </row>
    <row r="563" spans="1:13" ht="14.5">
      <c r="A563" s="3">
        <v>43</v>
      </c>
      <c r="B563" s="15">
        <f>AVERAGE(Sheet1!G561:G1898,Sheet1!D561:D1898)</f>
        <v>5281.3330872913984</v>
      </c>
      <c r="C563" s="3"/>
      <c r="J563" s="4" t="s">
        <v>10</v>
      </c>
      <c r="K563" s="4" t="s">
        <v>8</v>
      </c>
      <c r="L563" s="17">
        <f t="shared" si="16"/>
        <v>0</v>
      </c>
      <c r="M563" s="5">
        <f t="shared" si="17"/>
        <v>0</v>
      </c>
    </row>
    <row r="564" spans="1:13" ht="14.5">
      <c r="A564" s="3">
        <v>43</v>
      </c>
      <c r="B564" s="15">
        <f>AVERAGE(Sheet1!G562:G1899,Sheet1!D562:D1899)</f>
        <v>5282.6426413881736</v>
      </c>
      <c r="C564" s="3"/>
      <c r="J564" s="4" t="s">
        <v>10</v>
      </c>
      <c r="K564" s="4" t="s">
        <v>8</v>
      </c>
      <c r="L564" s="17">
        <f t="shared" si="16"/>
        <v>0</v>
      </c>
      <c r="M564" s="5">
        <f t="shared" si="17"/>
        <v>0</v>
      </c>
    </row>
    <row r="565" spans="1:13" ht="14.5">
      <c r="A565" s="3">
        <v>43</v>
      </c>
      <c r="B565" s="15">
        <f>AVERAGE(Sheet1!G563:G1900,Sheet1!D563:D1900)</f>
        <v>5284.7137837837827</v>
      </c>
      <c r="C565" s="3"/>
      <c r="J565" s="4" t="s">
        <v>10</v>
      </c>
      <c r="K565" s="4" t="s">
        <v>8</v>
      </c>
      <c r="L565" s="17">
        <f t="shared" si="16"/>
        <v>0</v>
      </c>
      <c r="M565" s="5">
        <f t="shared" si="17"/>
        <v>0</v>
      </c>
    </row>
    <row r="566" spans="1:13" ht="14.5">
      <c r="A566" s="3">
        <v>43</v>
      </c>
      <c r="B566" s="15">
        <f>AVERAGE(Sheet1!G564:G1901,Sheet1!D564:D1901)</f>
        <v>5287.1184600515453</v>
      </c>
      <c r="C566" s="3"/>
      <c r="J566" s="4" t="s">
        <v>7</v>
      </c>
      <c r="K566" s="4" t="s">
        <v>8</v>
      </c>
      <c r="L566" s="17">
        <f t="shared" si="16"/>
        <v>0</v>
      </c>
      <c r="M566" s="5">
        <f t="shared" si="17"/>
        <v>0</v>
      </c>
    </row>
    <row r="567" spans="1:13" ht="14.5">
      <c r="A567" s="3">
        <v>43</v>
      </c>
      <c r="B567" s="15">
        <f>AVERAGE(Sheet1!G565:G1902,Sheet1!D565:D1902)</f>
        <v>5264.3513806451601</v>
      </c>
      <c r="C567" s="3"/>
      <c r="J567" s="4" t="s">
        <v>10</v>
      </c>
      <c r="K567" s="4" t="s">
        <v>11</v>
      </c>
      <c r="L567" s="17">
        <f t="shared" si="16"/>
        <v>0</v>
      </c>
      <c r="M567" s="5">
        <f t="shared" si="17"/>
        <v>1</v>
      </c>
    </row>
    <row r="568" spans="1:13" ht="14.5">
      <c r="A568" s="3">
        <v>43</v>
      </c>
      <c r="B568" s="15">
        <f>AVERAGE(Sheet1!G566:G1903,Sheet1!D566:D1903)</f>
        <v>5266.3444056847538</v>
      </c>
      <c r="C568" s="3"/>
      <c r="J568" s="4" t="s">
        <v>7</v>
      </c>
      <c r="K568" s="4" t="s">
        <v>8</v>
      </c>
      <c r="L568" s="17">
        <f t="shared" si="16"/>
        <v>0</v>
      </c>
      <c r="M568" s="5">
        <f t="shared" si="17"/>
        <v>0</v>
      </c>
    </row>
    <row r="569" spans="1:13" ht="14.5">
      <c r="A569" s="3">
        <v>43</v>
      </c>
      <c r="B569" s="15">
        <f>AVERAGE(Sheet1!G567:G1904,Sheet1!D567:D1904)</f>
        <v>5260.9915847347984</v>
      </c>
      <c r="C569" s="3"/>
      <c r="J569" s="4" t="s">
        <v>7</v>
      </c>
      <c r="K569" s="4" t="s">
        <v>8</v>
      </c>
      <c r="L569" s="17">
        <f t="shared" si="16"/>
        <v>0</v>
      </c>
      <c r="M569" s="5">
        <f t="shared" si="17"/>
        <v>0</v>
      </c>
    </row>
    <row r="570" spans="1:13" ht="14.5">
      <c r="A570" s="3">
        <v>43</v>
      </c>
      <c r="B570" s="15">
        <f>AVERAGE(Sheet1!G568:G1905,Sheet1!D568:D1905)</f>
        <v>5240.24</v>
      </c>
      <c r="C570" s="3"/>
      <c r="J570" s="4" t="s">
        <v>7</v>
      </c>
      <c r="K570" s="4" t="s">
        <v>11</v>
      </c>
      <c r="L570" s="17">
        <f t="shared" si="16"/>
        <v>1</v>
      </c>
      <c r="M570" s="5">
        <f t="shared" si="17"/>
        <v>0</v>
      </c>
    </row>
    <row r="571" spans="1:13" ht="14.5">
      <c r="A571" s="3">
        <v>43</v>
      </c>
      <c r="B571" s="15">
        <f>AVERAGE(Sheet1!G569:G1906,Sheet1!D569:D1906)</f>
        <v>5241.6457328145261</v>
      </c>
      <c r="C571" s="3"/>
      <c r="J571" s="4" t="s">
        <v>10</v>
      </c>
      <c r="K571" s="4" t="s">
        <v>8</v>
      </c>
      <c r="L571" s="17">
        <f t="shared" si="16"/>
        <v>0</v>
      </c>
      <c r="M571" s="5">
        <f t="shared" si="17"/>
        <v>0</v>
      </c>
    </row>
    <row r="572" spans="1:13" ht="14.5">
      <c r="A572" s="3">
        <v>43</v>
      </c>
      <c r="B572" s="15">
        <f>AVERAGE(Sheet1!G570:G1907,Sheet1!D570:D1907)</f>
        <v>5244.0049935064935</v>
      </c>
      <c r="C572" s="3"/>
      <c r="J572" s="4" t="s">
        <v>7</v>
      </c>
      <c r="K572" s="4" t="s">
        <v>8</v>
      </c>
      <c r="L572" s="17">
        <f t="shared" si="16"/>
        <v>0</v>
      </c>
      <c r="M572" s="5">
        <f t="shared" si="17"/>
        <v>0</v>
      </c>
    </row>
    <row r="573" spans="1:13" ht="14.5">
      <c r="A573" s="3">
        <v>43</v>
      </c>
      <c r="B573" s="15">
        <f>AVERAGE(Sheet1!G571:G1908,Sheet1!D571:D1908)</f>
        <v>5237.9503511053317</v>
      </c>
      <c r="C573" s="3"/>
      <c r="J573" s="4" t="s">
        <v>10</v>
      </c>
      <c r="K573" s="4" t="s">
        <v>11</v>
      </c>
      <c r="L573" s="17">
        <f t="shared" si="16"/>
        <v>0</v>
      </c>
      <c r="M573" s="5">
        <f t="shared" si="17"/>
        <v>1</v>
      </c>
    </row>
    <row r="574" spans="1:13" ht="14.5">
      <c r="A574" s="3">
        <v>43</v>
      </c>
      <c r="B574" s="15">
        <f>AVERAGE(Sheet1!G572:G1909,Sheet1!D572:D1909)</f>
        <v>5230.5946093749999</v>
      </c>
      <c r="C574" s="3"/>
      <c r="J574" s="4" t="s">
        <v>10</v>
      </c>
      <c r="K574" s="4" t="s">
        <v>11</v>
      </c>
      <c r="L574" s="17">
        <f t="shared" si="16"/>
        <v>0</v>
      </c>
      <c r="M574" s="5">
        <f t="shared" si="17"/>
        <v>1</v>
      </c>
    </row>
    <row r="575" spans="1:13" ht="14.5">
      <c r="A575" s="3">
        <v>43</v>
      </c>
      <c r="B575" s="15">
        <f>AVERAGE(Sheet1!G573:G1910,Sheet1!D573:D1910)</f>
        <v>5233.3395567144726</v>
      </c>
      <c r="C575" s="3"/>
      <c r="J575" s="4" t="s">
        <v>7</v>
      </c>
      <c r="K575" s="4" t="s">
        <v>8</v>
      </c>
      <c r="L575" s="17">
        <f t="shared" si="16"/>
        <v>0</v>
      </c>
      <c r="M575" s="5">
        <f t="shared" si="17"/>
        <v>0</v>
      </c>
    </row>
    <row r="576" spans="1:13" ht="14.5">
      <c r="A576" s="3">
        <v>43</v>
      </c>
      <c r="B576" s="15">
        <f>AVERAGE(Sheet1!G574:G1911,Sheet1!D574:D1911)</f>
        <v>5213.3862010443863</v>
      </c>
      <c r="C576" s="3"/>
      <c r="J576" s="4" t="s">
        <v>7</v>
      </c>
      <c r="K576" s="4" t="s">
        <v>11</v>
      </c>
      <c r="L576" s="17">
        <f t="shared" si="16"/>
        <v>1</v>
      </c>
      <c r="M576" s="5">
        <f t="shared" si="17"/>
        <v>0</v>
      </c>
    </row>
    <row r="577" spans="1:13" ht="14.5">
      <c r="A577" s="3">
        <v>43</v>
      </c>
      <c r="B577" s="15">
        <f>AVERAGE(Sheet1!G575:G1912,Sheet1!D575:D1912)</f>
        <v>5214.7023594771244</v>
      </c>
      <c r="C577" s="3"/>
      <c r="J577" s="4" t="s">
        <v>7</v>
      </c>
      <c r="K577" s="4" t="s">
        <v>8</v>
      </c>
      <c r="L577" s="17">
        <f t="shared" si="16"/>
        <v>0</v>
      </c>
      <c r="M577" s="5">
        <f t="shared" si="17"/>
        <v>0</v>
      </c>
    </row>
    <row r="578" spans="1:13" ht="14.5">
      <c r="A578" s="3">
        <v>43</v>
      </c>
      <c r="B578" s="15">
        <f>AVERAGE(Sheet1!G576:G1913,Sheet1!D576:D1913)</f>
        <v>5209.2440248691109</v>
      </c>
      <c r="C578" s="3"/>
      <c r="J578" s="4" t="s">
        <v>7</v>
      </c>
      <c r="K578" s="4" t="s">
        <v>11</v>
      </c>
      <c r="L578" s="17">
        <f t="shared" si="16"/>
        <v>1</v>
      </c>
      <c r="M578" s="5">
        <f t="shared" si="17"/>
        <v>0</v>
      </c>
    </row>
    <row r="579" spans="1:13" ht="14.5">
      <c r="A579" s="3">
        <v>43</v>
      </c>
      <c r="B579" s="15">
        <f>AVERAGE(Sheet1!G577:G1914,Sheet1!D577:D1914)</f>
        <v>5201.7313564875503</v>
      </c>
      <c r="C579" s="3"/>
      <c r="J579" s="4" t="s">
        <v>10</v>
      </c>
      <c r="K579" s="4" t="s">
        <v>11</v>
      </c>
      <c r="L579" s="17">
        <f t="shared" si="16"/>
        <v>0</v>
      </c>
      <c r="M579" s="5">
        <f t="shared" si="17"/>
        <v>1</v>
      </c>
    </row>
    <row r="580" spans="1:13" ht="14.5">
      <c r="A580" s="3">
        <v>43</v>
      </c>
      <c r="B580" s="15">
        <f>AVERAGE(Sheet1!G578:G1915,Sheet1!D578:D1915)</f>
        <v>5203.7513123359586</v>
      </c>
      <c r="C580" s="3"/>
      <c r="J580" s="4" t="s">
        <v>10</v>
      </c>
      <c r="K580" s="4" t="s">
        <v>8</v>
      </c>
      <c r="L580" s="17">
        <f t="shared" si="16"/>
        <v>0</v>
      </c>
      <c r="M580" s="5">
        <f t="shared" si="17"/>
        <v>0</v>
      </c>
    </row>
    <row r="581" spans="1:13" ht="14.5">
      <c r="A581" s="3">
        <v>43</v>
      </c>
      <c r="B581" s="15">
        <f>AVERAGE(Sheet1!G579:G1916,Sheet1!D579:D1916)</f>
        <v>5183.6877201051257</v>
      </c>
      <c r="C581" s="3"/>
      <c r="J581" s="4" t="s">
        <v>10</v>
      </c>
      <c r="K581" s="4" t="s">
        <v>11</v>
      </c>
      <c r="L581" s="17">
        <f t="shared" si="16"/>
        <v>0</v>
      </c>
      <c r="M581" s="5">
        <f t="shared" si="17"/>
        <v>1</v>
      </c>
    </row>
    <row r="582" spans="1:13" ht="14.5">
      <c r="A582" s="3">
        <v>43</v>
      </c>
      <c r="B582" s="15">
        <f>AVERAGE(Sheet1!G580:G1917,Sheet1!D580:D1917)</f>
        <v>5185.4239868421064</v>
      </c>
      <c r="C582" s="3"/>
      <c r="J582" s="4" t="s">
        <v>10</v>
      </c>
      <c r="K582" s="4" t="s">
        <v>8</v>
      </c>
      <c r="L582" s="17">
        <f t="shared" ref="L582:L645" si="18">IF(AND(J582="male", K582="yes"),1,0)</f>
        <v>0</v>
      </c>
      <c r="M582" s="5">
        <f t="shared" ref="M582:M645" si="19">IF(AND(J582="female", K582="yes"), 1, 0)</f>
        <v>0</v>
      </c>
    </row>
    <row r="583" spans="1:13" ht="14.5">
      <c r="A583" s="3">
        <v>43</v>
      </c>
      <c r="B583" s="15">
        <f>AVERAGE(Sheet1!G581:G1918,Sheet1!D581:D1918)</f>
        <v>5177.4465480895933</v>
      </c>
      <c r="C583" s="3"/>
      <c r="J583" s="4" t="s">
        <v>10</v>
      </c>
      <c r="K583" s="4" t="s">
        <v>11</v>
      </c>
      <c r="L583" s="17">
        <f t="shared" si="18"/>
        <v>0</v>
      </c>
      <c r="M583" s="5">
        <f t="shared" si="19"/>
        <v>1</v>
      </c>
    </row>
    <row r="584" spans="1:13" ht="14.5">
      <c r="A584" s="3">
        <v>43</v>
      </c>
      <c r="B584" s="15">
        <f>AVERAGE(Sheet1!G582:G1919,Sheet1!D582:D1919)</f>
        <v>5169.9152506596329</v>
      </c>
      <c r="C584" s="3"/>
      <c r="J584" s="4" t="s">
        <v>10</v>
      </c>
      <c r="K584" s="4" t="s">
        <v>11</v>
      </c>
      <c r="L584" s="17">
        <f t="shared" si="18"/>
        <v>0</v>
      </c>
      <c r="M584" s="5">
        <f t="shared" si="19"/>
        <v>1</v>
      </c>
    </row>
    <row r="585" spans="1:13" ht="14.5">
      <c r="A585" s="3">
        <v>43</v>
      </c>
      <c r="B585" s="15">
        <f>AVERAGE(Sheet1!G583:G1920,Sheet1!D583:D1920)</f>
        <v>5171.897470277413</v>
      </c>
      <c r="C585" s="3"/>
      <c r="J585" s="4" t="s">
        <v>10</v>
      </c>
      <c r="K585" s="4" t="s">
        <v>8</v>
      </c>
      <c r="L585" s="17">
        <f t="shared" si="18"/>
        <v>0</v>
      </c>
      <c r="M585" s="5">
        <f t="shared" si="19"/>
        <v>0</v>
      </c>
    </row>
    <row r="586" spans="1:13" ht="14.5">
      <c r="A586" s="3">
        <v>43</v>
      </c>
      <c r="B586" s="15">
        <f>AVERAGE(Sheet1!G584:G1921,Sheet1!D584:D1921)</f>
        <v>5169.1596825396855</v>
      </c>
      <c r="C586" s="3"/>
      <c r="J586" s="4" t="s">
        <v>7</v>
      </c>
      <c r="K586" s="4" t="s">
        <v>8</v>
      </c>
      <c r="L586" s="17">
        <f t="shared" si="18"/>
        <v>0</v>
      </c>
      <c r="M586" s="5">
        <f t="shared" si="19"/>
        <v>0</v>
      </c>
    </row>
    <row r="587" spans="1:13" ht="14.5">
      <c r="A587" s="3">
        <v>42</v>
      </c>
      <c r="B587" s="15">
        <f>AVERAGE(Sheet1!G585:G1922,Sheet1!D585:D1922)</f>
        <v>5150.9534569536445</v>
      </c>
      <c r="C587" s="3"/>
      <c r="J587" s="4" t="s">
        <v>7</v>
      </c>
      <c r="K587" s="4" t="s">
        <v>11</v>
      </c>
      <c r="L587" s="17">
        <f t="shared" si="18"/>
        <v>1</v>
      </c>
      <c r="M587" s="5">
        <f t="shared" si="19"/>
        <v>0</v>
      </c>
    </row>
    <row r="588" spans="1:13" ht="14.5">
      <c r="A588" s="3">
        <v>42</v>
      </c>
      <c r="B588" s="15">
        <f>AVERAGE(Sheet1!G586:G1923,Sheet1!D586:D1923)</f>
        <v>5144.5457360742721</v>
      </c>
      <c r="C588" s="3"/>
      <c r="J588" s="4" t="s">
        <v>10</v>
      </c>
      <c r="K588" s="4" t="s">
        <v>11</v>
      </c>
      <c r="L588" s="17">
        <f t="shared" si="18"/>
        <v>0</v>
      </c>
      <c r="M588" s="5">
        <f t="shared" si="19"/>
        <v>1</v>
      </c>
    </row>
    <row r="589" spans="1:13" ht="14.5">
      <c r="A589" s="3">
        <v>42</v>
      </c>
      <c r="B589" s="15">
        <f>AVERAGE(Sheet1!G587:G1924,Sheet1!D587:D1924)</f>
        <v>5137.2020318725117</v>
      </c>
      <c r="C589" s="3"/>
      <c r="J589" s="4" t="s">
        <v>10</v>
      </c>
      <c r="K589" s="4" t="s">
        <v>11</v>
      </c>
      <c r="L589" s="17">
        <f t="shared" si="18"/>
        <v>0</v>
      </c>
      <c r="M589" s="5">
        <f t="shared" si="19"/>
        <v>1</v>
      </c>
    </row>
    <row r="590" spans="1:13" ht="14.5">
      <c r="A590" s="3">
        <v>42</v>
      </c>
      <c r="B590" s="15">
        <f>AVERAGE(Sheet1!G588:G1925,Sheet1!D588:D1925)</f>
        <v>5131.0576595744697</v>
      </c>
      <c r="C590" s="3"/>
      <c r="J590" s="4" t="s">
        <v>7</v>
      </c>
      <c r="K590" s="4" t="s">
        <v>11</v>
      </c>
      <c r="L590" s="17">
        <f t="shared" si="18"/>
        <v>1</v>
      </c>
      <c r="M590" s="5">
        <f t="shared" si="19"/>
        <v>0</v>
      </c>
    </row>
    <row r="591" spans="1:13" ht="14.5">
      <c r="A591" s="3">
        <v>42</v>
      </c>
      <c r="B591" s="15">
        <f>AVERAGE(Sheet1!G589:G1926,Sheet1!D589:D1926)</f>
        <v>5132.9334753661806</v>
      </c>
      <c r="C591" s="3"/>
      <c r="J591" s="4" t="s">
        <v>10</v>
      </c>
      <c r="K591" s="4" t="s">
        <v>8</v>
      </c>
      <c r="L591" s="17">
        <f t="shared" si="18"/>
        <v>0</v>
      </c>
      <c r="M591" s="5">
        <f t="shared" si="19"/>
        <v>0</v>
      </c>
    </row>
    <row r="592" spans="1:13" ht="14.5">
      <c r="A592" s="3">
        <v>42</v>
      </c>
      <c r="B592" s="15">
        <f>AVERAGE(Sheet1!G590:G1927,Sheet1!D590:D1927)</f>
        <v>5134.4313466666681</v>
      </c>
      <c r="C592" s="3"/>
      <c r="J592" s="4" t="s">
        <v>10</v>
      </c>
      <c r="K592" s="4" t="s">
        <v>8</v>
      </c>
      <c r="L592" s="17">
        <f t="shared" si="18"/>
        <v>0</v>
      </c>
      <c r="M592" s="5">
        <f t="shared" si="19"/>
        <v>0</v>
      </c>
    </row>
    <row r="593" spans="1:13" ht="14.5">
      <c r="A593" s="3">
        <v>42</v>
      </c>
      <c r="B593" s="15">
        <f>AVERAGE(Sheet1!G591:G1928,Sheet1!D591:D1928)</f>
        <v>5136.1859813084129</v>
      </c>
      <c r="C593" s="3"/>
      <c r="J593" s="4" t="s">
        <v>10</v>
      </c>
      <c r="K593" s="4" t="s">
        <v>8</v>
      </c>
      <c r="L593" s="17">
        <f t="shared" si="18"/>
        <v>0</v>
      </c>
      <c r="M593" s="5">
        <f t="shared" si="19"/>
        <v>0</v>
      </c>
    </row>
    <row r="594" spans="1:13" ht="14.5">
      <c r="A594" s="3">
        <v>42</v>
      </c>
      <c r="B594" s="15">
        <f>AVERAGE(Sheet1!G592:G1929,Sheet1!D592:D1929)</f>
        <v>5139.0620855614989</v>
      </c>
      <c r="C594" s="3"/>
      <c r="J594" s="4" t="s">
        <v>7</v>
      </c>
      <c r="K594" s="4" t="s">
        <v>8</v>
      </c>
      <c r="L594" s="17">
        <f t="shared" si="18"/>
        <v>0</v>
      </c>
      <c r="M594" s="5">
        <f t="shared" si="19"/>
        <v>0</v>
      </c>
    </row>
    <row r="595" spans="1:13" ht="14.5">
      <c r="A595" s="3">
        <v>42</v>
      </c>
      <c r="B595" s="15">
        <f>AVERAGE(Sheet1!G593:G1930,Sheet1!D593:D1930)</f>
        <v>5131.1197121820642</v>
      </c>
      <c r="C595" s="3"/>
      <c r="J595" s="4" t="s">
        <v>7</v>
      </c>
      <c r="K595" s="4" t="s">
        <v>11</v>
      </c>
      <c r="L595" s="17">
        <f t="shared" si="18"/>
        <v>1</v>
      </c>
      <c r="M595" s="5">
        <f t="shared" si="19"/>
        <v>0</v>
      </c>
    </row>
    <row r="596" spans="1:13" ht="14.5">
      <c r="A596" s="3">
        <v>42</v>
      </c>
      <c r="B596" s="15">
        <f>AVERAGE(Sheet1!G594:G1931,Sheet1!D594:D1931)</f>
        <v>5112.3634450402178</v>
      </c>
      <c r="C596" s="3"/>
      <c r="J596" s="4" t="s">
        <v>7</v>
      </c>
      <c r="K596" s="4" t="s">
        <v>11</v>
      </c>
      <c r="L596" s="17">
        <f t="shared" si="18"/>
        <v>1</v>
      </c>
      <c r="M596" s="5">
        <f t="shared" si="19"/>
        <v>0</v>
      </c>
    </row>
    <row r="597" spans="1:13" ht="14.5">
      <c r="A597" s="3">
        <v>42</v>
      </c>
      <c r="B597" s="15">
        <f>AVERAGE(Sheet1!G595:G1932,Sheet1!D595:D1932)</f>
        <v>5114.0966107382583</v>
      </c>
      <c r="C597" s="3"/>
      <c r="J597" s="4" t="s">
        <v>10</v>
      </c>
      <c r="K597" s="4" t="s">
        <v>8</v>
      </c>
      <c r="L597" s="17">
        <f t="shared" si="18"/>
        <v>0</v>
      </c>
      <c r="M597" s="5">
        <f t="shared" si="19"/>
        <v>0</v>
      </c>
    </row>
    <row r="598" spans="1:13" ht="14.5">
      <c r="A598" s="3">
        <v>42</v>
      </c>
      <c r="B598" s="15">
        <f>AVERAGE(Sheet1!G596:G1933,Sheet1!D596:D1933)</f>
        <v>5098.9337970430142</v>
      </c>
      <c r="C598" s="3"/>
      <c r="J598" s="4" t="s">
        <v>7</v>
      </c>
      <c r="K598" s="4" t="s">
        <v>11</v>
      </c>
      <c r="L598" s="17">
        <f t="shared" si="18"/>
        <v>1</v>
      </c>
      <c r="M598" s="5">
        <f t="shared" si="19"/>
        <v>0</v>
      </c>
    </row>
    <row r="599" spans="1:13" ht="14.5">
      <c r="A599" s="3">
        <v>42</v>
      </c>
      <c r="B599" s="15">
        <f>AVERAGE(Sheet1!G597:G1934,Sheet1!D597:D1934)</f>
        <v>5100.5934320323058</v>
      </c>
      <c r="C599" s="3"/>
      <c r="J599" s="4" t="s">
        <v>7</v>
      </c>
      <c r="K599" s="4" t="s">
        <v>8</v>
      </c>
      <c r="L599" s="17">
        <f t="shared" si="18"/>
        <v>0</v>
      </c>
      <c r="M599" s="5">
        <f t="shared" si="19"/>
        <v>0</v>
      </c>
    </row>
    <row r="600" spans="1:13" ht="14.5">
      <c r="A600" s="3">
        <v>42</v>
      </c>
      <c r="B600" s="15">
        <f>AVERAGE(Sheet1!G598:G1935,Sheet1!D598:D1935)</f>
        <v>5102.7157681940744</v>
      </c>
      <c r="C600" s="3"/>
      <c r="J600" s="4" t="s">
        <v>10</v>
      </c>
      <c r="K600" s="4" t="s">
        <v>8</v>
      </c>
      <c r="L600" s="17">
        <f t="shared" si="18"/>
        <v>0</v>
      </c>
      <c r="M600" s="5">
        <f t="shared" si="19"/>
        <v>0</v>
      </c>
    </row>
    <row r="601" spans="1:13" ht="14.5">
      <c r="A601" s="3">
        <v>42</v>
      </c>
      <c r="B601" s="15">
        <f>AVERAGE(Sheet1!G599:G1936,Sheet1!D599:D1936)</f>
        <v>5104.8464777327972</v>
      </c>
      <c r="C601" s="3"/>
      <c r="J601" s="4" t="s">
        <v>10</v>
      </c>
      <c r="K601" s="4" t="s">
        <v>8</v>
      </c>
      <c r="L601" s="17">
        <f t="shared" si="18"/>
        <v>0</v>
      </c>
      <c r="M601" s="5">
        <f t="shared" si="19"/>
        <v>0</v>
      </c>
    </row>
    <row r="602" spans="1:13" ht="14.5">
      <c r="A602" s="3">
        <v>42</v>
      </c>
      <c r="B602" s="15">
        <f>AVERAGE(Sheet1!G600:G1937,Sheet1!D600:D1937)</f>
        <v>5106.9055067567606</v>
      </c>
      <c r="C602" s="3"/>
      <c r="J602" s="4" t="s">
        <v>7</v>
      </c>
      <c r="K602" s="4" t="s">
        <v>8</v>
      </c>
      <c r="L602" s="17">
        <f t="shared" si="18"/>
        <v>0</v>
      </c>
      <c r="M602" s="5">
        <f t="shared" si="19"/>
        <v>0</v>
      </c>
    </row>
    <row r="603" spans="1:13" ht="14.5">
      <c r="A603" s="3">
        <v>42</v>
      </c>
      <c r="B603" s="15">
        <f>AVERAGE(Sheet1!G601:G1938,Sheet1!D601:D1938)</f>
        <v>5109.7789309878253</v>
      </c>
      <c r="C603" s="3"/>
      <c r="J603" s="4" t="s">
        <v>7</v>
      </c>
      <c r="K603" s="4" t="s">
        <v>8</v>
      </c>
      <c r="L603" s="17">
        <f t="shared" si="18"/>
        <v>0</v>
      </c>
      <c r="M603" s="5">
        <f t="shared" si="19"/>
        <v>0</v>
      </c>
    </row>
    <row r="604" spans="1:13" ht="14.5">
      <c r="A604" s="3">
        <v>42</v>
      </c>
      <c r="B604" s="15">
        <f>AVERAGE(Sheet1!G602:G1939,Sheet1!D602:D1939)</f>
        <v>5111.8503861788658</v>
      </c>
      <c r="C604" s="3"/>
      <c r="J604" s="4" t="s">
        <v>7</v>
      </c>
      <c r="K604" s="4" t="s">
        <v>8</v>
      </c>
      <c r="L604" s="17">
        <f t="shared" si="18"/>
        <v>0</v>
      </c>
      <c r="M604" s="5">
        <f t="shared" si="19"/>
        <v>0</v>
      </c>
    </row>
    <row r="605" spans="1:13" ht="14.5">
      <c r="A605" s="3">
        <v>42</v>
      </c>
      <c r="B605" s="15">
        <f>AVERAGE(Sheet1!G603:G1940,Sheet1!D603:D1940)</f>
        <v>5114.4724491180505</v>
      </c>
      <c r="C605" s="3"/>
      <c r="J605" s="4" t="s">
        <v>7</v>
      </c>
      <c r="K605" s="4" t="s">
        <v>8</v>
      </c>
      <c r="L605" s="17">
        <f t="shared" si="18"/>
        <v>0</v>
      </c>
      <c r="M605" s="5">
        <f t="shared" si="19"/>
        <v>0</v>
      </c>
    </row>
    <row r="606" spans="1:13" ht="14.5">
      <c r="A606" s="3">
        <v>42</v>
      </c>
      <c r="B606" s="15">
        <f>AVERAGE(Sheet1!G604:G1941,Sheet1!D604:D1941)</f>
        <v>5116.6344361413085</v>
      </c>
      <c r="C606" s="3"/>
      <c r="J606" s="4" t="s">
        <v>10</v>
      </c>
      <c r="K606" s="4" t="s">
        <v>8</v>
      </c>
      <c r="L606" s="17">
        <f t="shared" si="18"/>
        <v>0</v>
      </c>
      <c r="M606" s="5">
        <f t="shared" si="19"/>
        <v>0</v>
      </c>
    </row>
    <row r="607" spans="1:13" ht="14.5">
      <c r="A607" s="3">
        <v>42</v>
      </c>
      <c r="B607" s="15">
        <f>AVERAGE(Sheet1!G605:G1942,Sheet1!D605:D1942)</f>
        <v>5119.5280000000048</v>
      </c>
      <c r="C607" s="3"/>
      <c r="J607" s="4" t="s">
        <v>7</v>
      </c>
      <c r="K607" s="4" t="s">
        <v>8</v>
      </c>
      <c r="L607" s="17">
        <f t="shared" si="18"/>
        <v>0</v>
      </c>
      <c r="M607" s="5">
        <f t="shared" si="19"/>
        <v>0</v>
      </c>
    </row>
    <row r="608" spans="1:13" ht="14.5">
      <c r="A608" s="3">
        <v>42</v>
      </c>
      <c r="B608" s="15">
        <f>AVERAGE(Sheet1!G606:G1943,Sheet1!D606:D1943)</f>
        <v>5121.2904564032742</v>
      </c>
      <c r="C608" s="3"/>
      <c r="J608" s="4" t="s">
        <v>10</v>
      </c>
      <c r="K608" s="4" t="s">
        <v>8</v>
      </c>
      <c r="L608" s="17">
        <f t="shared" si="18"/>
        <v>0</v>
      </c>
      <c r="M608" s="5">
        <f t="shared" si="19"/>
        <v>0</v>
      </c>
    </row>
    <row r="609" spans="1:13" ht="14.5">
      <c r="A609" s="3">
        <v>42</v>
      </c>
      <c r="B609" s="15">
        <f>AVERAGE(Sheet1!G607:G1944,Sheet1!D607:D1944)</f>
        <v>5123.3904365620783</v>
      </c>
      <c r="C609" s="3"/>
      <c r="J609" s="4" t="s">
        <v>7</v>
      </c>
      <c r="K609" s="4" t="s">
        <v>8</v>
      </c>
      <c r="L609" s="17">
        <f t="shared" si="18"/>
        <v>0</v>
      </c>
      <c r="M609" s="5">
        <f t="shared" si="19"/>
        <v>0</v>
      </c>
    </row>
    <row r="610" spans="1:13" ht="14.5">
      <c r="A610" s="3">
        <v>42</v>
      </c>
      <c r="B610" s="15">
        <f>AVERAGE(Sheet1!G608:G1945,Sheet1!D608:D1945)</f>
        <v>5125.9674658469985</v>
      </c>
      <c r="C610" s="3"/>
      <c r="J610" s="4" t="s">
        <v>10</v>
      </c>
      <c r="K610" s="4" t="s">
        <v>8</v>
      </c>
      <c r="L610" s="17">
        <f t="shared" si="18"/>
        <v>0</v>
      </c>
      <c r="M610" s="5">
        <f t="shared" si="19"/>
        <v>0</v>
      </c>
    </row>
    <row r="611" spans="1:13" ht="14.5">
      <c r="A611" s="3">
        <v>42</v>
      </c>
      <c r="B611" s="15">
        <f>AVERAGE(Sheet1!G609:G1946,Sheet1!D609:D1946)</f>
        <v>5118.4370656634783</v>
      </c>
      <c r="C611" s="3"/>
      <c r="J611" s="4" t="s">
        <v>7</v>
      </c>
      <c r="K611" s="4" t="s">
        <v>11</v>
      </c>
      <c r="L611" s="17">
        <f t="shared" si="18"/>
        <v>1</v>
      </c>
      <c r="M611" s="5">
        <f t="shared" si="19"/>
        <v>0</v>
      </c>
    </row>
    <row r="612" spans="1:13" ht="14.5">
      <c r="A612" s="3">
        <v>42</v>
      </c>
      <c r="B612" s="15">
        <f>AVERAGE(Sheet1!G610:G1947,Sheet1!D610:D1947)</f>
        <v>5120.693890410962</v>
      </c>
      <c r="C612" s="3"/>
      <c r="J612" s="4" t="s">
        <v>7</v>
      </c>
      <c r="K612" s="4" t="s">
        <v>8</v>
      </c>
      <c r="L612" s="17">
        <f t="shared" si="18"/>
        <v>0</v>
      </c>
      <c r="M612" s="5">
        <f t="shared" si="19"/>
        <v>0</v>
      </c>
    </row>
    <row r="613" spans="1:13" ht="14.5">
      <c r="A613" s="3">
        <v>42</v>
      </c>
      <c r="B613" s="15">
        <f>AVERAGE(Sheet1!G611:G1948,Sheet1!D611:D1948)</f>
        <v>5097.6095336076842</v>
      </c>
      <c r="C613" s="3"/>
      <c r="J613" s="4" t="s">
        <v>10</v>
      </c>
      <c r="K613" s="4" t="s">
        <v>11</v>
      </c>
      <c r="L613" s="17">
        <f t="shared" si="18"/>
        <v>0</v>
      </c>
      <c r="M613" s="5">
        <f t="shared" si="19"/>
        <v>1</v>
      </c>
    </row>
    <row r="614" spans="1:13" ht="14.5">
      <c r="A614" s="3">
        <v>41</v>
      </c>
      <c r="B614" s="15">
        <f>AVERAGE(Sheet1!G612:G1949,Sheet1!D612:D1949)</f>
        <v>5099.7696978022004</v>
      </c>
      <c r="C614" s="3"/>
      <c r="J614" s="4" t="s">
        <v>10</v>
      </c>
      <c r="K614" s="4" t="s">
        <v>8</v>
      </c>
      <c r="L614" s="17">
        <f t="shared" si="18"/>
        <v>0</v>
      </c>
      <c r="M614" s="5">
        <f t="shared" si="19"/>
        <v>0</v>
      </c>
    </row>
    <row r="615" spans="1:13" ht="14.5">
      <c r="A615" s="3">
        <v>41</v>
      </c>
      <c r="B615" s="15">
        <f>AVERAGE(Sheet1!G613:G1950,Sheet1!D613:D1950)</f>
        <v>5102.4698762035787</v>
      </c>
      <c r="C615" s="3"/>
      <c r="J615" s="4" t="s">
        <v>7</v>
      </c>
      <c r="K615" s="4" t="s">
        <v>8</v>
      </c>
      <c r="L615" s="17">
        <f t="shared" si="18"/>
        <v>0</v>
      </c>
      <c r="M615" s="5">
        <f t="shared" si="19"/>
        <v>0</v>
      </c>
    </row>
    <row r="616" spans="1:13" ht="14.5">
      <c r="A616" s="3">
        <v>41</v>
      </c>
      <c r="B616" s="15">
        <f>AVERAGE(Sheet1!G614:G1951,Sheet1!D614:D1951)</f>
        <v>5104.9725757575779</v>
      </c>
      <c r="C616" s="3"/>
      <c r="J616" s="4" t="s">
        <v>10</v>
      </c>
      <c r="K616" s="4" t="s">
        <v>8</v>
      </c>
      <c r="L616" s="17">
        <f t="shared" si="18"/>
        <v>0</v>
      </c>
      <c r="M616" s="5">
        <f t="shared" si="19"/>
        <v>0</v>
      </c>
    </row>
    <row r="617" spans="1:13" ht="14.5">
      <c r="A617" s="3">
        <v>41</v>
      </c>
      <c r="B617" s="15">
        <f>AVERAGE(Sheet1!G615:G1952,Sheet1!D615:D1952)</f>
        <v>5107.7476206896572</v>
      </c>
      <c r="C617" s="3"/>
      <c r="J617" s="4" t="s">
        <v>10</v>
      </c>
      <c r="K617" s="4" t="s">
        <v>8</v>
      </c>
      <c r="L617" s="17">
        <f t="shared" si="18"/>
        <v>0</v>
      </c>
      <c r="M617" s="5">
        <f t="shared" si="19"/>
        <v>0</v>
      </c>
    </row>
    <row r="618" spans="1:13" ht="14.5">
      <c r="A618" s="3">
        <v>41</v>
      </c>
      <c r="B618" s="15">
        <f>AVERAGE(Sheet1!G616:G1953,Sheet1!D616:D1953)</f>
        <v>5108.9038397790082</v>
      </c>
      <c r="C618" s="3"/>
      <c r="J618" s="4" t="s">
        <v>10</v>
      </c>
      <c r="K618" s="4" t="s">
        <v>8</v>
      </c>
      <c r="L618" s="17">
        <f t="shared" si="18"/>
        <v>0</v>
      </c>
      <c r="M618" s="5">
        <f t="shared" si="19"/>
        <v>0</v>
      </c>
    </row>
    <row r="619" spans="1:13" ht="14.5">
      <c r="A619" s="3">
        <v>41</v>
      </c>
      <c r="B619" s="15">
        <f>AVERAGE(Sheet1!G617:G1954,Sheet1!D617:D1954)</f>
        <v>5111.2834024896292</v>
      </c>
      <c r="C619" s="3"/>
      <c r="J619" s="4" t="s">
        <v>10</v>
      </c>
      <c r="K619" s="4" t="s">
        <v>8</v>
      </c>
      <c r="L619" s="17">
        <f t="shared" si="18"/>
        <v>0</v>
      </c>
      <c r="M619" s="5">
        <f t="shared" si="19"/>
        <v>0</v>
      </c>
    </row>
    <row r="620" spans="1:13" ht="14.5">
      <c r="A620" s="3">
        <v>41</v>
      </c>
      <c r="B620" s="15">
        <f>AVERAGE(Sheet1!G618:G1955,Sheet1!D618:D1955)</f>
        <v>5113.2562534626068</v>
      </c>
      <c r="C620" s="3"/>
      <c r="J620" s="4" t="s">
        <v>10</v>
      </c>
      <c r="K620" s="4" t="s">
        <v>8</v>
      </c>
      <c r="L620" s="17">
        <f t="shared" si="18"/>
        <v>0</v>
      </c>
      <c r="M620" s="5">
        <f t="shared" si="19"/>
        <v>0</v>
      </c>
    </row>
    <row r="621" spans="1:13" ht="14.5">
      <c r="A621" s="3">
        <v>41</v>
      </c>
      <c r="B621" s="15">
        <f>AVERAGE(Sheet1!G619:G1956,Sheet1!D619:D1956)</f>
        <v>5115.2446948682409</v>
      </c>
      <c r="C621" s="3"/>
      <c r="J621" s="4" t="s">
        <v>10</v>
      </c>
      <c r="K621" s="4" t="s">
        <v>8</v>
      </c>
      <c r="L621" s="17">
        <f t="shared" si="18"/>
        <v>0</v>
      </c>
      <c r="M621" s="5">
        <f t="shared" si="19"/>
        <v>0</v>
      </c>
    </row>
    <row r="622" spans="1:13" ht="14.5">
      <c r="A622" s="3">
        <v>41</v>
      </c>
      <c r="B622" s="15">
        <f>AVERAGE(Sheet1!G620:G1957,Sheet1!D620:D1957)</f>
        <v>5117.3021875000022</v>
      </c>
      <c r="C622" s="3"/>
      <c r="J622" s="4" t="s">
        <v>7</v>
      </c>
      <c r="K622" s="4" t="s">
        <v>8</v>
      </c>
      <c r="L622" s="17">
        <f t="shared" si="18"/>
        <v>0</v>
      </c>
      <c r="M622" s="5">
        <f t="shared" si="19"/>
        <v>0</v>
      </c>
    </row>
    <row r="623" spans="1:13" ht="14.5">
      <c r="A623" s="3">
        <v>41</v>
      </c>
      <c r="B623" s="15">
        <f>AVERAGE(Sheet1!G621:G1958,Sheet1!D621:D1958)</f>
        <v>5119.0292002781671</v>
      </c>
      <c r="C623" s="3"/>
      <c r="J623" s="4" t="s">
        <v>10</v>
      </c>
      <c r="K623" s="4" t="s">
        <v>8</v>
      </c>
      <c r="L623" s="17">
        <f t="shared" si="18"/>
        <v>0</v>
      </c>
      <c r="M623" s="5">
        <f t="shared" si="19"/>
        <v>0</v>
      </c>
    </row>
    <row r="624" spans="1:13" ht="14.5">
      <c r="A624" s="3">
        <v>41</v>
      </c>
      <c r="B624" s="15">
        <f>AVERAGE(Sheet1!G622:G1959,Sheet1!D622:D1959)</f>
        <v>5121.1039484679686</v>
      </c>
      <c r="C624" s="3"/>
      <c r="J624" s="4" t="s">
        <v>7</v>
      </c>
      <c r="K624" s="4" t="s">
        <v>8</v>
      </c>
      <c r="L624" s="17">
        <f t="shared" si="18"/>
        <v>0</v>
      </c>
      <c r="M624" s="5">
        <f t="shared" si="19"/>
        <v>0</v>
      </c>
    </row>
    <row r="625" spans="1:13" ht="14.5">
      <c r="A625" s="3">
        <v>41</v>
      </c>
      <c r="B625" s="15">
        <f>AVERAGE(Sheet1!G623:G1960,Sheet1!D623:D1960)</f>
        <v>5124.26506973501</v>
      </c>
      <c r="C625" s="3"/>
      <c r="J625" s="4" t="s">
        <v>7</v>
      </c>
      <c r="K625" s="4" t="s">
        <v>8</v>
      </c>
      <c r="L625" s="17">
        <f t="shared" si="18"/>
        <v>0</v>
      </c>
      <c r="M625" s="5">
        <f t="shared" si="19"/>
        <v>0</v>
      </c>
    </row>
    <row r="626" spans="1:13" ht="14.5">
      <c r="A626" s="3">
        <v>41</v>
      </c>
      <c r="B626" s="15">
        <f>AVERAGE(Sheet1!G624:G1961,Sheet1!D624:D1961)</f>
        <v>5127.1025069832431</v>
      </c>
      <c r="C626" s="3"/>
      <c r="J626" s="4" t="s">
        <v>10</v>
      </c>
      <c r="K626" s="4" t="s">
        <v>8</v>
      </c>
      <c r="L626" s="17">
        <f t="shared" si="18"/>
        <v>0</v>
      </c>
      <c r="M626" s="5">
        <f t="shared" si="19"/>
        <v>0</v>
      </c>
    </row>
    <row r="627" spans="1:13" ht="14.5">
      <c r="A627" s="3">
        <v>41</v>
      </c>
      <c r="B627" s="15">
        <f>AVERAGE(Sheet1!G625:G1962,Sheet1!D625:D1962)</f>
        <v>5106.1091888111914</v>
      </c>
      <c r="C627" s="3"/>
      <c r="J627" s="4" t="s">
        <v>7</v>
      </c>
      <c r="K627" s="4" t="s">
        <v>11</v>
      </c>
      <c r="L627" s="17">
        <f t="shared" si="18"/>
        <v>1</v>
      </c>
      <c r="M627" s="5">
        <f t="shared" si="19"/>
        <v>0</v>
      </c>
    </row>
    <row r="628" spans="1:13" ht="14.5">
      <c r="A628" s="3">
        <v>41</v>
      </c>
      <c r="B628" s="15">
        <f>AVERAGE(Sheet1!G626:G1963,Sheet1!D626:D1963)</f>
        <v>5108.5927521008434</v>
      </c>
      <c r="C628" s="3"/>
      <c r="J628" s="4" t="s">
        <v>7</v>
      </c>
      <c r="K628" s="4" t="s">
        <v>8</v>
      </c>
      <c r="L628" s="17">
        <f t="shared" si="18"/>
        <v>0</v>
      </c>
      <c r="M628" s="5">
        <f t="shared" si="19"/>
        <v>0</v>
      </c>
    </row>
    <row r="629" spans="1:13" ht="14.5">
      <c r="A629" s="3">
        <v>41</v>
      </c>
      <c r="B629" s="15">
        <f>AVERAGE(Sheet1!G627:G1964,Sheet1!D627:D1964)</f>
        <v>5111.0014726507752</v>
      </c>
      <c r="C629" s="3"/>
      <c r="J629" s="4" t="s">
        <v>10</v>
      </c>
      <c r="K629" s="4" t="s">
        <v>8</v>
      </c>
      <c r="L629" s="17">
        <f t="shared" si="18"/>
        <v>0</v>
      </c>
      <c r="M629" s="5">
        <f t="shared" si="19"/>
        <v>0</v>
      </c>
    </row>
    <row r="630" spans="1:13" ht="14.5">
      <c r="A630" s="3">
        <v>41</v>
      </c>
      <c r="B630" s="15">
        <f>AVERAGE(Sheet1!G628:G1965,Sheet1!D628:D1965)</f>
        <v>5113.0789044943858</v>
      </c>
      <c r="C630" s="3"/>
      <c r="J630" s="4" t="s">
        <v>7</v>
      </c>
      <c r="K630" s="4" t="s">
        <v>8</v>
      </c>
      <c r="L630" s="17">
        <f t="shared" si="18"/>
        <v>0</v>
      </c>
      <c r="M630" s="5">
        <f t="shared" si="19"/>
        <v>0</v>
      </c>
    </row>
    <row r="631" spans="1:13" ht="14.5">
      <c r="A631" s="3">
        <v>41</v>
      </c>
      <c r="B631" s="15">
        <f>AVERAGE(Sheet1!G629:G1966,Sheet1!D629:D1966)</f>
        <v>5092.4219057665296</v>
      </c>
      <c r="C631" s="3"/>
      <c r="J631" s="4" t="s">
        <v>7</v>
      </c>
      <c r="K631" s="4" t="s">
        <v>11</v>
      </c>
      <c r="L631" s="17">
        <f t="shared" si="18"/>
        <v>1</v>
      </c>
      <c r="M631" s="5">
        <f t="shared" si="19"/>
        <v>0</v>
      </c>
    </row>
    <row r="632" spans="1:13" ht="14.5">
      <c r="A632" s="3">
        <v>41</v>
      </c>
      <c r="B632" s="15">
        <f>AVERAGE(Sheet1!G630:G1967,Sheet1!D630:D1967)</f>
        <v>5095.1695140845113</v>
      </c>
      <c r="C632" s="3"/>
      <c r="J632" s="4" t="s">
        <v>7</v>
      </c>
      <c r="K632" s="4" t="s">
        <v>8</v>
      </c>
      <c r="L632" s="17">
        <f t="shared" si="18"/>
        <v>0</v>
      </c>
      <c r="M632" s="5">
        <f t="shared" si="19"/>
        <v>0</v>
      </c>
    </row>
    <row r="633" spans="1:13" ht="14.5">
      <c r="A633" s="3">
        <v>41</v>
      </c>
      <c r="B633" s="15">
        <f>AVERAGE(Sheet1!G631:G1968,Sheet1!D631:D1968)</f>
        <v>5097.9195768688332</v>
      </c>
      <c r="C633" s="3"/>
      <c r="J633" s="4" t="s">
        <v>7</v>
      </c>
      <c r="K633" s="4" t="s">
        <v>8</v>
      </c>
      <c r="L633" s="17">
        <f t="shared" si="18"/>
        <v>0</v>
      </c>
      <c r="M633" s="5">
        <f t="shared" si="19"/>
        <v>0</v>
      </c>
    </row>
    <row r="634" spans="1:13" ht="14.5">
      <c r="A634" s="3">
        <v>41</v>
      </c>
      <c r="B634" s="15">
        <f>AVERAGE(Sheet1!G632:G1969,Sheet1!D632:D1969)</f>
        <v>5098.6035028248625</v>
      </c>
      <c r="C634" s="3"/>
      <c r="J634" s="4" t="s">
        <v>7</v>
      </c>
      <c r="K634" s="4" t="s">
        <v>8</v>
      </c>
      <c r="L634" s="17">
        <f t="shared" si="18"/>
        <v>0</v>
      </c>
      <c r="M634" s="5">
        <f t="shared" si="19"/>
        <v>0</v>
      </c>
    </row>
    <row r="635" spans="1:13" ht="14.5">
      <c r="A635" s="3">
        <v>41</v>
      </c>
      <c r="B635" s="15">
        <f>AVERAGE(Sheet1!G633:G1970,Sheet1!D633:D1970)</f>
        <v>5100.1874398868495</v>
      </c>
      <c r="C635" s="3"/>
      <c r="J635" s="4" t="s">
        <v>10</v>
      </c>
      <c r="K635" s="4" t="s">
        <v>8</v>
      </c>
      <c r="L635" s="17">
        <f t="shared" si="18"/>
        <v>0</v>
      </c>
      <c r="M635" s="5">
        <f t="shared" si="19"/>
        <v>0</v>
      </c>
    </row>
    <row r="636" spans="1:13" ht="14.5">
      <c r="A636" s="3">
        <v>41</v>
      </c>
      <c r="B636" s="15">
        <f>AVERAGE(Sheet1!G634:G1971,Sheet1!D634:D1971)</f>
        <v>5102.34453966006</v>
      </c>
      <c r="C636" s="3"/>
      <c r="J636" s="4" t="s">
        <v>10</v>
      </c>
      <c r="K636" s="4" t="s">
        <v>8</v>
      </c>
      <c r="L636" s="17">
        <f t="shared" si="18"/>
        <v>0</v>
      </c>
      <c r="M636" s="5">
        <f t="shared" si="19"/>
        <v>0</v>
      </c>
    </row>
    <row r="637" spans="1:13" ht="14.5">
      <c r="A637" s="3">
        <v>41</v>
      </c>
      <c r="B637" s="15">
        <f>AVERAGE(Sheet1!G635:G1972,Sheet1!D635:D1972)</f>
        <v>5099.846822695039</v>
      </c>
      <c r="C637" s="3"/>
      <c r="J637" s="4" t="s">
        <v>10</v>
      </c>
      <c r="K637" s="4" t="s">
        <v>8</v>
      </c>
      <c r="L637" s="17">
        <f t="shared" si="18"/>
        <v>0</v>
      </c>
      <c r="M637" s="5">
        <f t="shared" si="19"/>
        <v>0</v>
      </c>
    </row>
    <row r="638" spans="1:13" ht="14.5">
      <c r="A638" s="3">
        <v>41</v>
      </c>
      <c r="B638" s="15">
        <f>AVERAGE(Sheet1!G636:G1973,Sheet1!D636:D1973)</f>
        <v>5103.0427414772766</v>
      </c>
      <c r="C638" s="3"/>
      <c r="J638" s="4" t="s">
        <v>7</v>
      </c>
      <c r="K638" s="4" t="s">
        <v>8</v>
      </c>
      <c r="L638" s="17">
        <f t="shared" si="18"/>
        <v>0</v>
      </c>
      <c r="M638" s="5">
        <f t="shared" si="19"/>
        <v>0</v>
      </c>
    </row>
    <row r="639" spans="1:13" ht="14.5">
      <c r="A639" s="3">
        <v>41</v>
      </c>
      <c r="B639" s="15">
        <f>AVERAGE(Sheet1!G637:G1974,Sheet1!D637:D1974)</f>
        <v>5105.4229729729768</v>
      </c>
      <c r="C639" s="3"/>
      <c r="J639" s="4" t="s">
        <v>7</v>
      </c>
      <c r="K639" s="4" t="s">
        <v>8</v>
      </c>
      <c r="L639" s="17">
        <f t="shared" si="18"/>
        <v>0</v>
      </c>
      <c r="M639" s="5">
        <f t="shared" si="19"/>
        <v>0</v>
      </c>
    </row>
    <row r="640" spans="1:13" ht="14.5">
      <c r="A640" s="3">
        <v>41</v>
      </c>
      <c r="B640" s="15">
        <f>AVERAGE(Sheet1!G638:G1975,Sheet1!D638:D1975)</f>
        <v>5107.8728703703746</v>
      </c>
      <c r="C640" s="3"/>
      <c r="J640" s="4" t="s">
        <v>10</v>
      </c>
      <c r="K640" s="4" t="s">
        <v>8</v>
      </c>
      <c r="L640" s="17">
        <f t="shared" si="18"/>
        <v>0</v>
      </c>
      <c r="M640" s="5">
        <f t="shared" si="19"/>
        <v>0</v>
      </c>
    </row>
    <row r="641" spans="1:13" ht="14.5">
      <c r="A641" s="3">
        <v>40</v>
      </c>
      <c r="B641" s="15">
        <f>AVERAGE(Sheet1!G639:G1976,Sheet1!D639:D1976)</f>
        <v>5110.2536019971512</v>
      </c>
      <c r="C641" s="3"/>
      <c r="J641" s="4" t="s">
        <v>7</v>
      </c>
      <c r="K641" s="4" t="s">
        <v>8</v>
      </c>
      <c r="L641" s="17">
        <f t="shared" si="18"/>
        <v>0</v>
      </c>
      <c r="M641" s="5">
        <f t="shared" si="19"/>
        <v>0</v>
      </c>
    </row>
    <row r="642" spans="1:13" ht="14.5">
      <c r="A642" s="3">
        <v>40</v>
      </c>
      <c r="B642" s="15">
        <f>AVERAGE(Sheet1!G640:G1977,Sheet1!D640:D1977)</f>
        <v>5111.7949071428611</v>
      </c>
      <c r="C642" s="3"/>
      <c r="J642" s="4" t="s">
        <v>10</v>
      </c>
      <c r="K642" s="4" t="s">
        <v>8</v>
      </c>
      <c r="L642" s="17">
        <f t="shared" si="18"/>
        <v>0</v>
      </c>
      <c r="M642" s="5">
        <f t="shared" si="19"/>
        <v>0</v>
      </c>
    </row>
    <row r="643" spans="1:13" ht="14.5">
      <c r="A643" s="3">
        <v>40</v>
      </c>
      <c r="B643" s="15">
        <f>AVERAGE(Sheet1!G641:G1978,Sheet1!D641:D1978)</f>
        <v>5114.5368311874145</v>
      </c>
      <c r="C643" s="3"/>
      <c r="J643" s="4" t="s">
        <v>7</v>
      </c>
      <c r="K643" s="4" t="s">
        <v>8</v>
      </c>
      <c r="L643" s="17">
        <f t="shared" si="18"/>
        <v>0</v>
      </c>
      <c r="M643" s="5">
        <f t="shared" si="19"/>
        <v>0</v>
      </c>
    </row>
    <row r="644" spans="1:13" ht="14.5">
      <c r="A644" s="3">
        <v>40</v>
      </c>
      <c r="B644" s="15">
        <f>AVERAGE(Sheet1!G642:G1979,Sheet1!D642:D1979)</f>
        <v>5117.6234885386866</v>
      </c>
      <c r="C644" s="3"/>
      <c r="J644" s="4" t="s">
        <v>10</v>
      </c>
      <c r="K644" s="4" t="s">
        <v>8</v>
      </c>
      <c r="L644" s="17">
        <f t="shared" si="18"/>
        <v>0</v>
      </c>
      <c r="M644" s="5">
        <f t="shared" si="19"/>
        <v>0</v>
      </c>
    </row>
    <row r="645" spans="1:13" ht="14.5">
      <c r="A645" s="3">
        <v>40</v>
      </c>
      <c r="B645" s="15">
        <f>AVERAGE(Sheet1!G643:G1980,Sheet1!D643:D1980)</f>
        <v>5119.8882352941218</v>
      </c>
      <c r="C645" s="3"/>
      <c r="J645" s="4" t="s">
        <v>10</v>
      </c>
      <c r="K645" s="4" t="s">
        <v>8</v>
      </c>
      <c r="L645" s="17">
        <f t="shared" si="18"/>
        <v>0</v>
      </c>
      <c r="M645" s="5">
        <f t="shared" si="19"/>
        <v>0</v>
      </c>
    </row>
    <row r="646" spans="1:13" ht="14.5">
      <c r="A646" s="3">
        <v>40</v>
      </c>
      <c r="B646" s="15">
        <f>AVERAGE(Sheet1!G644:G1981,Sheet1!D644:D1981)</f>
        <v>5122.4950359195445</v>
      </c>
      <c r="C646" s="3"/>
      <c r="J646" s="4" t="s">
        <v>7</v>
      </c>
      <c r="K646" s="4" t="s">
        <v>8</v>
      </c>
      <c r="L646" s="17">
        <f t="shared" ref="L646:L709" si="20">IF(AND(J646="male", K646="yes"),1,0)</f>
        <v>0</v>
      </c>
      <c r="M646" s="5">
        <f t="shared" ref="M646:M709" si="21">IF(AND(J646="female", K646="yes"), 1, 0)</f>
        <v>0</v>
      </c>
    </row>
    <row r="647" spans="1:13" ht="14.5">
      <c r="A647" s="3">
        <v>40</v>
      </c>
      <c r="B647" s="15">
        <f>AVERAGE(Sheet1!G645:G1982,Sheet1!D645:D1982)</f>
        <v>5123.9901942446077</v>
      </c>
      <c r="C647" s="3"/>
      <c r="J647" s="4" t="s">
        <v>7</v>
      </c>
      <c r="K647" s="4" t="s">
        <v>8</v>
      </c>
      <c r="L647" s="17">
        <f t="shared" si="20"/>
        <v>0</v>
      </c>
      <c r="M647" s="5">
        <f t="shared" si="21"/>
        <v>0</v>
      </c>
    </row>
    <row r="648" spans="1:13" ht="14.5">
      <c r="A648" s="3">
        <v>40</v>
      </c>
      <c r="B648" s="15">
        <f>AVERAGE(Sheet1!G646:G1983,Sheet1!D646:D1983)</f>
        <v>5117.3631844380434</v>
      </c>
      <c r="C648" s="3"/>
      <c r="J648" s="4" t="s">
        <v>10</v>
      </c>
      <c r="K648" s="4" t="s">
        <v>11</v>
      </c>
      <c r="L648" s="17">
        <f t="shared" si="20"/>
        <v>0</v>
      </c>
      <c r="M648" s="5">
        <f t="shared" si="21"/>
        <v>1</v>
      </c>
    </row>
    <row r="649" spans="1:13" ht="14.5">
      <c r="A649" s="3">
        <v>40</v>
      </c>
      <c r="B649" s="15">
        <f>AVERAGE(Sheet1!G647:G1984,Sheet1!D647:D1984)</f>
        <v>5119.5528354978396</v>
      </c>
      <c r="C649" s="3"/>
      <c r="J649" s="4" t="s">
        <v>7</v>
      </c>
      <c r="K649" s="4" t="s">
        <v>8</v>
      </c>
      <c r="L649" s="17">
        <f t="shared" si="20"/>
        <v>0</v>
      </c>
      <c r="M649" s="5">
        <f t="shared" si="21"/>
        <v>0</v>
      </c>
    </row>
    <row r="650" spans="1:13" ht="14.5">
      <c r="A650" s="3">
        <v>40</v>
      </c>
      <c r="B650" s="15">
        <f>AVERAGE(Sheet1!G648:G1985,Sheet1!D648:D1985)</f>
        <v>5114.5373627167673</v>
      </c>
      <c r="C650" s="3"/>
      <c r="J650" s="4" t="s">
        <v>7</v>
      </c>
      <c r="K650" s="4" t="s">
        <v>11</v>
      </c>
      <c r="L650" s="17">
        <f t="shared" si="20"/>
        <v>1</v>
      </c>
      <c r="M650" s="5">
        <f t="shared" si="21"/>
        <v>0</v>
      </c>
    </row>
    <row r="651" spans="1:13" ht="14.5">
      <c r="A651" s="3">
        <v>40</v>
      </c>
      <c r="B651" s="15">
        <f>AVERAGE(Sheet1!G649:G1986,Sheet1!D649:D1986)</f>
        <v>5105.7794066570223</v>
      </c>
      <c r="C651" s="3"/>
      <c r="J651" s="4" t="s">
        <v>10</v>
      </c>
      <c r="K651" s="4" t="s">
        <v>11</v>
      </c>
      <c r="L651" s="17">
        <f t="shared" si="20"/>
        <v>0</v>
      </c>
      <c r="M651" s="5">
        <f t="shared" si="21"/>
        <v>1</v>
      </c>
    </row>
    <row r="652" spans="1:13" ht="14.5">
      <c r="A652" s="3">
        <v>40</v>
      </c>
      <c r="B652" s="15">
        <f>AVERAGE(Sheet1!G650:G1987,Sheet1!D650:D1987)</f>
        <v>5108.3956014492796</v>
      </c>
      <c r="C652" s="3"/>
      <c r="J652" s="4" t="s">
        <v>7</v>
      </c>
      <c r="K652" s="4" t="s">
        <v>8</v>
      </c>
      <c r="L652" s="17">
        <f t="shared" si="20"/>
        <v>0</v>
      </c>
      <c r="M652" s="5">
        <f t="shared" si="21"/>
        <v>0</v>
      </c>
    </row>
    <row r="653" spans="1:13" ht="14.5">
      <c r="A653" s="3">
        <v>40</v>
      </c>
      <c r="B653" s="15">
        <f>AVERAGE(Sheet1!G651:G1988,Sheet1!D651:D1988)</f>
        <v>5087.4162554426739</v>
      </c>
      <c r="C653" s="3"/>
      <c r="J653" s="4" t="s">
        <v>7</v>
      </c>
      <c r="K653" s="4" t="s">
        <v>11</v>
      </c>
      <c r="L653" s="17">
        <f t="shared" si="20"/>
        <v>1</v>
      </c>
      <c r="M653" s="5">
        <f t="shared" si="21"/>
        <v>0</v>
      </c>
    </row>
    <row r="654" spans="1:13" ht="14.5">
      <c r="A654" s="3">
        <v>40</v>
      </c>
      <c r="B654" s="15">
        <f>AVERAGE(Sheet1!G652:G1989,Sheet1!D652:D1989)</f>
        <v>5090.5150145348871</v>
      </c>
      <c r="C654" s="3"/>
      <c r="J654" s="4" t="s">
        <v>10</v>
      </c>
      <c r="K654" s="4" t="s">
        <v>8</v>
      </c>
      <c r="L654" s="17">
        <f t="shared" si="20"/>
        <v>0</v>
      </c>
      <c r="M654" s="5">
        <f t="shared" si="21"/>
        <v>0</v>
      </c>
    </row>
    <row r="655" spans="1:13" ht="14.5">
      <c r="A655" s="3">
        <v>40</v>
      </c>
      <c r="B655" s="15">
        <f>AVERAGE(Sheet1!G653:G1990,Sheet1!D653:D1990)</f>
        <v>5092.3311426492028</v>
      </c>
      <c r="C655" s="3"/>
      <c r="J655" s="4" t="s">
        <v>10</v>
      </c>
      <c r="K655" s="4" t="s">
        <v>8</v>
      </c>
      <c r="L655" s="17">
        <f t="shared" si="20"/>
        <v>0</v>
      </c>
      <c r="M655" s="5">
        <f t="shared" si="21"/>
        <v>0</v>
      </c>
    </row>
    <row r="656" spans="1:13" ht="14.5">
      <c r="A656" s="3">
        <v>40</v>
      </c>
      <c r="B656" s="15">
        <f>AVERAGE(Sheet1!G654:G1991,Sheet1!D654:D1991)</f>
        <v>5094.5245116618098</v>
      </c>
      <c r="C656" s="3"/>
      <c r="J656" s="4" t="s">
        <v>7</v>
      </c>
      <c r="K656" s="4" t="s">
        <v>8</v>
      </c>
      <c r="L656" s="17">
        <f t="shared" si="20"/>
        <v>0</v>
      </c>
      <c r="M656" s="5">
        <f t="shared" si="21"/>
        <v>0</v>
      </c>
    </row>
    <row r="657" spans="1:13" ht="14.5">
      <c r="A657" s="3">
        <v>40</v>
      </c>
      <c r="B657" s="15">
        <f>AVERAGE(Sheet1!G655:G1992,Sheet1!D655:D1992)</f>
        <v>5095.9360218978136</v>
      </c>
      <c r="C657" s="3"/>
      <c r="J657" s="4" t="s">
        <v>10</v>
      </c>
      <c r="K657" s="4" t="s">
        <v>8</v>
      </c>
      <c r="L657" s="17">
        <f t="shared" si="20"/>
        <v>0</v>
      </c>
      <c r="M657" s="5">
        <f t="shared" si="21"/>
        <v>0</v>
      </c>
    </row>
    <row r="658" spans="1:13" ht="14.5">
      <c r="A658" s="3">
        <v>40</v>
      </c>
      <c r="B658" s="15">
        <f>AVERAGE(Sheet1!G656:G1993,Sheet1!D656:D1993)</f>
        <v>5074.1425584795343</v>
      </c>
      <c r="C658" s="3"/>
      <c r="J658" s="4" t="s">
        <v>10</v>
      </c>
      <c r="K658" s="4" t="s">
        <v>11</v>
      </c>
      <c r="L658" s="17">
        <f t="shared" si="20"/>
        <v>0</v>
      </c>
      <c r="M658" s="5">
        <f t="shared" si="21"/>
        <v>1</v>
      </c>
    </row>
    <row r="659" spans="1:13" ht="14.5">
      <c r="A659" s="3">
        <v>40</v>
      </c>
      <c r="B659" s="15">
        <f>AVERAGE(Sheet1!G657:G1994,Sheet1!D657:D1994)</f>
        <v>5076.8124304538815</v>
      </c>
      <c r="C659" s="3"/>
      <c r="J659" s="4" t="s">
        <v>10</v>
      </c>
      <c r="K659" s="4" t="s">
        <v>8</v>
      </c>
      <c r="L659" s="17">
        <f t="shared" si="20"/>
        <v>0</v>
      </c>
      <c r="M659" s="5">
        <f t="shared" si="21"/>
        <v>0</v>
      </c>
    </row>
    <row r="660" spans="1:13" ht="14.5">
      <c r="A660" s="3">
        <v>40</v>
      </c>
      <c r="B660" s="15">
        <f>AVERAGE(Sheet1!G658:G1995,Sheet1!D658:D1995)</f>
        <v>5080.2690835777139</v>
      </c>
      <c r="C660" s="3"/>
      <c r="J660" s="4" t="s">
        <v>7</v>
      </c>
      <c r="K660" s="4" t="s">
        <v>8</v>
      </c>
      <c r="L660" s="17">
        <f t="shared" si="20"/>
        <v>0</v>
      </c>
      <c r="M660" s="5">
        <f t="shared" si="21"/>
        <v>0</v>
      </c>
    </row>
    <row r="661" spans="1:13" ht="14.5">
      <c r="A661" s="3">
        <v>40</v>
      </c>
      <c r="B661" s="15">
        <f>AVERAGE(Sheet1!G659:G1996,Sheet1!D659:D1996)</f>
        <v>5082.5978928047007</v>
      </c>
      <c r="C661" s="3"/>
      <c r="J661" s="4" t="s">
        <v>7</v>
      </c>
      <c r="K661" s="4" t="s">
        <v>8</v>
      </c>
      <c r="L661" s="17">
        <f t="shared" si="20"/>
        <v>0</v>
      </c>
      <c r="M661" s="5">
        <f t="shared" si="21"/>
        <v>0</v>
      </c>
    </row>
    <row r="662" spans="1:13" ht="14.5">
      <c r="A662" s="3">
        <v>40</v>
      </c>
      <c r="B662" s="15">
        <f>AVERAGE(Sheet1!G660:G1997,Sheet1!D660:D1997)</f>
        <v>5069.1327941176487</v>
      </c>
      <c r="C662" s="3"/>
      <c r="J662" s="4" t="s">
        <v>10</v>
      </c>
      <c r="K662" s="4" t="s">
        <v>8</v>
      </c>
      <c r="L662" s="17">
        <f t="shared" si="20"/>
        <v>0</v>
      </c>
      <c r="M662" s="5">
        <f t="shared" si="21"/>
        <v>0</v>
      </c>
    </row>
    <row r="663" spans="1:13" ht="14.5">
      <c r="A663" s="3">
        <v>40</v>
      </c>
      <c r="B663" s="15">
        <f>AVERAGE(Sheet1!G661:G1998,Sheet1!D661:D1998)</f>
        <v>5071.7365537555252</v>
      </c>
      <c r="C663" s="3"/>
      <c r="J663" s="4" t="s">
        <v>7</v>
      </c>
      <c r="K663" s="4" t="s">
        <v>8</v>
      </c>
      <c r="L663" s="17">
        <f t="shared" si="20"/>
        <v>0</v>
      </c>
      <c r="M663" s="5">
        <f t="shared" si="21"/>
        <v>0</v>
      </c>
    </row>
    <row r="664" spans="1:13" ht="14.5">
      <c r="A664" s="3">
        <v>40</v>
      </c>
      <c r="B664" s="15">
        <f>AVERAGE(Sheet1!G662:G1999,Sheet1!D662:D1999)</f>
        <v>5074.4250368731582</v>
      </c>
      <c r="C664" s="3"/>
      <c r="J664" s="4" t="s">
        <v>10</v>
      </c>
      <c r="K664" s="4" t="s">
        <v>8</v>
      </c>
      <c r="L664" s="17">
        <f t="shared" si="20"/>
        <v>0</v>
      </c>
      <c r="M664" s="5">
        <f t="shared" si="21"/>
        <v>0</v>
      </c>
    </row>
    <row r="665" spans="1:13" ht="14.5">
      <c r="A665" s="3">
        <v>40</v>
      </c>
      <c r="B665" s="15">
        <f>AVERAGE(Sheet1!G663:G2000,Sheet1!D663:D2000)</f>
        <v>5077.1977474150681</v>
      </c>
      <c r="C665" s="3"/>
      <c r="J665" s="4" t="s">
        <v>7</v>
      </c>
      <c r="K665" s="4" t="s">
        <v>8</v>
      </c>
      <c r="L665" s="17">
        <f t="shared" si="20"/>
        <v>0</v>
      </c>
      <c r="M665" s="5">
        <f t="shared" si="21"/>
        <v>0</v>
      </c>
    </row>
    <row r="666" spans="1:13" ht="14.5">
      <c r="A666" s="3">
        <v>40</v>
      </c>
      <c r="B666" s="15">
        <f>AVERAGE(Sheet1!G664:G2001,Sheet1!D664:D2001)</f>
        <v>5080.7027292899429</v>
      </c>
      <c r="C666" s="3"/>
      <c r="J666" s="4" t="s">
        <v>7</v>
      </c>
      <c r="K666" s="4" t="s">
        <v>8</v>
      </c>
      <c r="L666" s="17">
        <f t="shared" si="20"/>
        <v>0</v>
      </c>
      <c r="M666" s="5">
        <f t="shared" si="21"/>
        <v>0</v>
      </c>
    </row>
    <row r="667" spans="1:13" ht="14.5">
      <c r="A667" s="3">
        <v>40</v>
      </c>
      <c r="B667" s="15">
        <f>AVERAGE(Sheet1!G665:G2002,Sheet1!D665:D2002)</f>
        <v>5083.3441333333349</v>
      </c>
      <c r="C667" s="3"/>
      <c r="J667" s="4" t="s">
        <v>7</v>
      </c>
      <c r="K667" s="4" t="s">
        <v>8</v>
      </c>
      <c r="L667" s="17">
        <f t="shared" si="20"/>
        <v>0</v>
      </c>
      <c r="M667" s="5">
        <f t="shared" si="21"/>
        <v>0</v>
      </c>
    </row>
    <row r="668" spans="1:13" ht="14.5">
      <c r="A668" s="3">
        <v>39</v>
      </c>
      <c r="B668" s="15">
        <f>AVERAGE(Sheet1!G666:G2003,Sheet1!D666:D2003)</f>
        <v>5079.1407715133546</v>
      </c>
      <c r="C668" s="3"/>
      <c r="J668" s="4" t="s">
        <v>10</v>
      </c>
      <c r="K668" s="4" t="s">
        <v>8</v>
      </c>
      <c r="L668" s="17">
        <f t="shared" si="20"/>
        <v>0</v>
      </c>
      <c r="M668" s="5">
        <f t="shared" si="21"/>
        <v>0</v>
      </c>
    </row>
    <row r="669" spans="1:13" ht="14.5">
      <c r="A669" s="3">
        <v>39</v>
      </c>
      <c r="B669" s="15">
        <f>AVERAGE(Sheet1!G667:G2004,Sheet1!D667:D2004)</f>
        <v>5082.4903714710263</v>
      </c>
      <c r="C669" s="3"/>
      <c r="J669" s="4" t="s">
        <v>10</v>
      </c>
      <c r="K669" s="4" t="s">
        <v>8</v>
      </c>
      <c r="L669" s="17">
        <f t="shared" si="20"/>
        <v>0</v>
      </c>
      <c r="M669" s="5">
        <f t="shared" si="21"/>
        <v>0</v>
      </c>
    </row>
    <row r="670" spans="1:13" ht="14.5">
      <c r="A670" s="3">
        <v>39</v>
      </c>
      <c r="B670" s="15">
        <f>AVERAGE(Sheet1!G668:G2005,Sheet1!D668:D2005)</f>
        <v>5085.0594122023822</v>
      </c>
      <c r="C670" s="3"/>
      <c r="J670" s="4" t="s">
        <v>7</v>
      </c>
      <c r="K670" s="4" t="s">
        <v>8</v>
      </c>
      <c r="L670" s="17">
        <f t="shared" si="20"/>
        <v>0</v>
      </c>
      <c r="M670" s="5">
        <f t="shared" si="21"/>
        <v>0</v>
      </c>
    </row>
    <row r="671" spans="1:13" ht="14.5">
      <c r="A671" s="3">
        <v>39</v>
      </c>
      <c r="B671" s="15">
        <f>AVERAGE(Sheet1!G669:G2006,Sheet1!D669:D2006)</f>
        <v>5076.4954694485859</v>
      </c>
      <c r="C671" s="3"/>
      <c r="J671" s="4" t="s">
        <v>10</v>
      </c>
      <c r="K671" s="4" t="s">
        <v>11</v>
      </c>
      <c r="L671" s="17">
        <f t="shared" si="20"/>
        <v>0</v>
      </c>
      <c r="M671" s="5">
        <f t="shared" si="21"/>
        <v>1</v>
      </c>
    </row>
    <row r="672" spans="1:13" ht="14.5">
      <c r="A672" s="3">
        <v>39</v>
      </c>
      <c r="B672" s="15">
        <f>AVERAGE(Sheet1!G670:G2007,Sheet1!D670:D2007)</f>
        <v>5078.4631716417916</v>
      </c>
      <c r="C672" s="3"/>
      <c r="J672" s="4" t="s">
        <v>7</v>
      </c>
      <c r="K672" s="4" t="s">
        <v>8</v>
      </c>
      <c r="L672" s="17">
        <f t="shared" si="20"/>
        <v>0</v>
      </c>
      <c r="M672" s="5">
        <f t="shared" si="21"/>
        <v>0</v>
      </c>
    </row>
    <row r="673" spans="1:13" ht="14.5">
      <c r="A673" s="3">
        <v>39</v>
      </c>
      <c r="B673" s="15">
        <f>AVERAGE(Sheet1!G671:G2008,Sheet1!D671:D2008)</f>
        <v>5070.2970777279534</v>
      </c>
      <c r="C673" s="3"/>
      <c r="J673" s="4" t="s">
        <v>7</v>
      </c>
      <c r="K673" s="4" t="s">
        <v>11</v>
      </c>
      <c r="L673" s="17">
        <f t="shared" si="20"/>
        <v>1</v>
      </c>
      <c r="M673" s="5">
        <f t="shared" si="21"/>
        <v>0</v>
      </c>
    </row>
    <row r="674" spans="1:13" ht="14.5">
      <c r="A674" s="3">
        <v>39</v>
      </c>
      <c r="B674" s="15">
        <f>AVERAGE(Sheet1!G672:G2009,Sheet1!D672:D2009)</f>
        <v>5073.1281586826362</v>
      </c>
      <c r="C674" s="3"/>
      <c r="J674" s="4" t="s">
        <v>7</v>
      </c>
      <c r="K674" s="4" t="s">
        <v>8</v>
      </c>
      <c r="L674" s="17">
        <f t="shared" si="20"/>
        <v>0</v>
      </c>
      <c r="M674" s="5">
        <f t="shared" si="21"/>
        <v>0</v>
      </c>
    </row>
    <row r="675" spans="1:13" ht="14.5">
      <c r="A675" s="3">
        <v>39</v>
      </c>
      <c r="B675" s="15">
        <f>AVERAGE(Sheet1!G673:G2010,Sheet1!D673:D2010)</f>
        <v>5065.6296101949038</v>
      </c>
      <c r="C675" s="3"/>
      <c r="J675" s="4" t="s">
        <v>7</v>
      </c>
      <c r="K675" s="4" t="s">
        <v>11</v>
      </c>
      <c r="L675" s="17">
        <f t="shared" si="20"/>
        <v>1</v>
      </c>
      <c r="M675" s="5">
        <f t="shared" si="21"/>
        <v>0</v>
      </c>
    </row>
    <row r="676" spans="1:13" ht="14.5">
      <c r="A676" s="3">
        <v>39</v>
      </c>
      <c r="B676" s="15">
        <f>AVERAGE(Sheet1!G674:G2011,Sheet1!D674:D2011)</f>
        <v>5068.6376351351364</v>
      </c>
      <c r="C676" s="3"/>
      <c r="J676" s="4" t="s">
        <v>7</v>
      </c>
      <c r="K676" s="4" t="s">
        <v>8</v>
      </c>
      <c r="L676" s="17">
        <f t="shared" si="20"/>
        <v>0</v>
      </c>
      <c r="M676" s="5">
        <f t="shared" si="21"/>
        <v>0</v>
      </c>
    </row>
    <row r="677" spans="1:13" ht="14.5">
      <c r="A677" s="3">
        <v>39</v>
      </c>
      <c r="B677" s="15">
        <f>AVERAGE(Sheet1!G675:G2012,Sheet1!D675:D2012)</f>
        <v>5046.1048421052637</v>
      </c>
      <c r="C677" s="3"/>
      <c r="J677" s="4" t="s">
        <v>7</v>
      </c>
      <c r="K677" s="4" t="s">
        <v>11</v>
      </c>
      <c r="L677" s="17">
        <f t="shared" si="20"/>
        <v>1</v>
      </c>
      <c r="M677" s="5">
        <f t="shared" si="21"/>
        <v>0</v>
      </c>
    </row>
    <row r="678" spans="1:13" ht="14.5">
      <c r="A678" s="3">
        <v>39</v>
      </c>
      <c r="B678" s="15">
        <f>AVERAGE(Sheet1!G676:G2013,Sheet1!D676:D2013)</f>
        <v>5047.6887198795184</v>
      </c>
      <c r="C678" s="3"/>
      <c r="J678" s="4" t="s">
        <v>10</v>
      </c>
      <c r="K678" s="4" t="s">
        <v>8</v>
      </c>
      <c r="L678" s="17">
        <f t="shared" si="20"/>
        <v>0</v>
      </c>
      <c r="M678" s="5">
        <f t="shared" si="21"/>
        <v>0</v>
      </c>
    </row>
    <row r="679" spans="1:13" ht="14.5">
      <c r="A679" s="3">
        <v>39</v>
      </c>
      <c r="B679" s="15">
        <f>AVERAGE(Sheet1!G677:G2014,Sheet1!D677:D2014)</f>
        <v>5051.0319683257921</v>
      </c>
      <c r="C679" s="3"/>
      <c r="J679" s="4" t="s">
        <v>10</v>
      </c>
      <c r="K679" s="4" t="s">
        <v>8</v>
      </c>
      <c r="L679" s="17">
        <f t="shared" si="20"/>
        <v>0</v>
      </c>
      <c r="M679" s="5">
        <f t="shared" si="21"/>
        <v>0</v>
      </c>
    </row>
    <row r="680" spans="1:13" ht="14.5">
      <c r="A680" s="3">
        <v>39</v>
      </c>
      <c r="B680" s="15">
        <f>AVERAGE(Sheet1!G678:G2015,Sheet1!D678:D2015)</f>
        <v>5053.2151812688826</v>
      </c>
      <c r="C680" s="3"/>
      <c r="J680" s="4" t="s">
        <v>10</v>
      </c>
      <c r="K680" s="4" t="s">
        <v>8</v>
      </c>
      <c r="L680" s="17">
        <f t="shared" si="20"/>
        <v>0</v>
      </c>
      <c r="M680" s="5">
        <f t="shared" si="21"/>
        <v>0</v>
      </c>
    </row>
    <row r="681" spans="1:13" ht="14.5">
      <c r="A681" s="3">
        <v>39</v>
      </c>
      <c r="B681" s="15">
        <f>AVERAGE(Sheet1!G679:G2016,Sheet1!D679:D2016)</f>
        <v>5056.2317776096825</v>
      </c>
      <c r="C681" s="3"/>
      <c r="J681" s="4" t="s">
        <v>7</v>
      </c>
      <c r="K681" s="4" t="s">
        <v>8</v>
      </c>
      <c r="L681" s="17">
        <f t="shared" si="20"/>
        <v>0</v>
      </c>
      <c r="M681" s="5">
        <f t="shared" si="21"/>
        <v>0</v>
      </c>
    </row>
    <row r="682" spans="1:13" ht="14.5">
      <c r="A682" s="3">
        <v>39</v>
      </c>
      <c r="B682" s="15">
        <f>AVERAGE(Sheet1!G680:G2017,Sheet1!D680:D2017)</f>
        <v>5059.1659924242431</v>
      </c>
      <c r="C682" s="3"/>
      <c r="J682" s="4" t="s">
        <v>10</v>
      </c>
      <c r="K682" s="4" t="s">
        <v>8</v>
      </c>
      <c r="L682" s="17">
        <f t="shared" si="20"/>
        <v>0</v>
      </c>
      <c r="M682" s="5">
        <f t="shared" si="21"/>
        <v>0</v>
      </c>
    </row>
    <row r="683" spans="1:13" ht="14.5">
      <c r="A683" s="3">
        <v>39</v>
      </c>
      <c r="B683" s="15">
        <f>AVERAGE(Sheet1!G681:G2018,Sheet1!D681:D2018)</f>
        <v>5060.0366540212444</v>
      </c>
      <c r="C683" s="3"/>
      <c r="J683" s="4" t="s">
        <v>10</v>
      </c>
      <c r="K683" s="4" t="s">
        <v>8</v>
      </c>
      <c r="L683" s="17">
        <f t="shared" si="20"/>
        <v>0</v>
      </c>
      <c r="M683" s="5">
        <f t="shared" si="21"/>
        <v>0</v>
      </c>
    </row>
    <row r="684" spans="1:13" ht="14.5">
      <c r="A684" s="3">
        <v>39</v>
      </c>
      <c r="B684" s="15">
        <f>AVERAGE(Sheet1!G682:G2019,Sheet1!D682:D2019)</f>
        <v>5061.1903343465056</v>
      </c>
      <c r="C684" s="3"/>
      <c r="J684" s="4" t="s">
        <v>10</v>
      </c>
      <c r="K684" s="4" t="s">
        <v>8</v>
      </c>
      <c r="L684" s="17">
        <f t="shared" si="20"/>
        <v>0</v>
      </c>
      <c r="M684" s="5">
        <f t="shared" si="21"/>
        <v>0</v>
      </c>
    </row>
    <row r="685" spans="1:13" ht="14.5">
      <c r="A685" s="3">
        <v>39</v>
      </c>
      <c r="B685" s="15">
        <f>AVERAGE(Sheet1!G683:G2020,Sheet1!D683:D2020)</f>
        <v>5062.8135464231364</v>
      </c>
      <c r="C685" s="3"/>
      <c r="J685" s="4" t="s">
        <v>10</v>
      </c>
      <c r="K685" s="4" t="s">
        <v>8</v>
      </c>
      <c r="L685" s="17">
        <f t="shared" si="20"/>
        <v>0</v>
      </c>
      <c r="M685" s="5">
        <f t="shared" si="21"/>
        <v>0</v>
      </c>
    </row>
    <row r="686" spans="1:13" ht="14.5">
      <c r="A686" s="3">
        <v>39</v>
      </c>
      <c r="B686" s="15">
        <f>AVERAGE(Sheet1!G684:G2021,Sheet1!D684:D2021)</f>
        <v>5064.874603658538</v>
      </c>
      <c r="C686" s="3"/>
      <c r="J686" s="4" t="s">
        <v>10</v>
      </c>
      <c r="K686" s="4" t="s">
        <v>8</v>
      </c>
      <c r="L686" s="17">
        <f t="shared" si="20"/>
        <v>0</v>
      </c>
      <c r="M686" s="5">
        <f t="shared" si="21"/>
        <v>0</v>
      </c>
    </row>
    <row r="687" spans="1:13" ht="14.5">
      <c r="A687" s="3">
        <v>39</v>
      </c>
      <c r="B687" s="15">
        <f>AVERAGE(Sheet1!G685:G2022,Sheet1!D685:D2022)</f>
        <v>5068.2122671755724</v>
      </c>
      <c r="C687" s="3"/>
      <c r="J687" s="4" t="s">
        <v>7</v>
      </c>
      <c r="K687" s="4" t="s">
        <v>8</v>
      </c>
      <c r="L687" s="17">
        <f t="shared" si="20"/>
        <v>0</v>
      </c>
      <c r="M687" s="5">
        <f t="shared" si="21"/>
        <v>0</v>
      </c>
    </row>
    <row r="688" spans="1:13" ht="14.5">
      <c r="A688" s="3">
        <v>39</v>
      </c>
      <c r="B688" s="15">
        <f>AVERAGE(Sheet1!G686:G2023,Sheet1!D686:D2023)</f>
        <v>5061.4142278287463</v>
      </c>
      <c r="C688" s="3"/>
      <c r="J688" s="4" t="s">
        <v>10</v>
      </c>
      <c r="K688" s="4" t="s">
        <v>11</v>
      </c>
      <c r="L688" s="17">
        <f t="shared" si="20"/>
        <v>0</v>
      </c>
      <c r="M688" s="5">
        <f t="shared" si="21"/>
        <v>1</v>
      </c>
    </row>
    <row r="689" spans="1:13" ht="14.5">
      <c r="A689" s="3">
        <v>39</v>
      </c>
      <c r="B689" s="15">
        <f>AVERAGE(Sheet1!G687:G2024,Sheet1!D687:D2024)</f>
        <v>5062.589977029098</v>
      </c>
      <c r="C689" s="3"/>
      <c r="J689" s="4" t="s">
        <v>10</v>
      </c>
      <c r="K689" s="4" t="s">
        <v>8</v>
      </c>
      <c r="L689" s="17">
        <f t="shared" si="20"/>
        <v>0</v>
      </c>
      <c r="M689" s="5">
        <f t="shared" si="21"/>
        <v>0</v>
      </c>
    </row>
    <row r="690" spans="1:13" ht="14.5">
      <c r="A690" s="3">
        <v>39</v>
      </c>
      <c r="B690" s="15">
        <f>AVERAGE(Sheet1!G688:G2025,Sheet1!D688:D2025)</f>
        <v>5065.4926610429457</v>
      </c>
      <c r="C690" s="3"/>
      <c r="J690" s="4" t="s">
        <v>7</v>
      </c>
      <c r="K690" s="4" t="s">
        <v>8</v>
      </c>
      <c r="L690" s="17">
        <f t="shared" si="20"/>
        <v>0</v>
      </c>
      <c r="M690" s="5">
        <f t="shared" si="21"/>
        <v>0</v>
      </c>
    </row>
    <row r="691" spans="1:13" ht="14.5">
      <c r="A691" s="3">
        <v>39</v>
      </c>
      <c r="B691" s="15">
        <f>AVERAGE(Sheet1!G689:G2026,Sheet1!D689:D2026)</f>
        <v>5055.1746620583717</v>
      </c>
      <c r="C691" s="3"/>
      <c r="J691" s="4" t="s">
        <v>7</v>
      </c>
      <c r="K691" s="4" t="s">
        <v>8</v>
      </c>
      <c r="L691" s="17">
        <f t="shared" si="20"/>
        <v>0</v>
      </c>
      <c r="M691" s="5">
        <f t="shared" si="21"/>
        <v>0</v>
      </c>
    </row>
    <row r="692" spans="1:13" ht="14.5">
      <c r="A692" s="3">
        <v>39</v>
      </c>
      <c r="B692" s="15">
        <f>AVERAGE(Sheet1!G690:G2027,Sheet1!D690:D2027)</f>
        <v>5045.672592307692</v>
      </c>
      <c r="C692" s="3"/>
      <c r="J692" s="4" t="s">
        <v>7</v>
      </c>
      <c r="K692" s="4" t="s">
        <v>11</v>
      </c>
      <c r="L692" s="17">
        <f t="shared" si="20"/>
        <v>1</v>
      </c>
      <c r="M692" s="5">
        <f t="shared" si="21"/>
        <v>0</v>
      </c>
    </row>
    <row r="693" spans="1:13" ht="14.5">
      <c r="A693" s="3">
        <v>38</v>
      </c>
      <c r="B693" s="15">
        <f>AVERAGE(Sheet1!G691:G2028,Sheet1!D691:D2028)</f>
        <v>5047.8972804314335</v>
      </c>
      <c r="C693" s="3"/>
      <c r="J693" s="4" t="s">
        <v>10</v>
      </c>
      <c r="K693" s="4" t="s">
        <v>8</v>
      </c>
      <c r="L693" s="17">
        <f t="shared" si="20"/>
        <v>0</v>
      </c>
      <c r="M693" s="5">
        <f t="shared" si="21"/>
        <v>0</v>
      </c>
    </row>
    <row r="694" spans="1:13" ht="14.5">
      <c r="A694" s="3">
        <v>38</v>
      </c>
      <c r="B694" s="15">
        <f>AVERAGE(Sheet1!G692:G2029,Sheet1!D692:D2029)</f>
        <v>5050.9953703703713</v>
      </c>
      <c r="C694" s="3"/>
      <c r="J694" s="4" t="s">
        <v>7</v>
      </c>
      <c r="K694" s="4" t="s">
        <v>8</v>
      </c>
      <c r="L694" s="17">
        <f t="shared" si="20"/>
        <v>0</v>
      </c>
      <c r="M694" s="5">
        <f t="shared" si="21"/>
        <v>0</v>
      </c>
    </row>
    <row r="695" spans="1:13" ht="14.5">
      <c r="A695" s="3">
        <v>38</v>
      </c>
      <c r="B695" s="15">
        <f>AVERAGE(Sheet1!G693:G2030,Sheet1!D693:D2030)</f>
        <v>5046.575965996909</v>
      </c>
      <c r="C695" s="3"/>
      <c r="J695" s="4" t="s">
        <v>7</v>
      </c>
      <c r="K695" s="4" t="s">
        <v>11</v>
      </c>
      <c r="L695" s="17">
        <f t="shared" si="20"/>
        <v>1</v>
      </c>
      <c r="M695" s="5">
        <f t="shared" si="21"/>
        <v>0</v>
      </c>
    </row>
    <row r="696" spans="1:13" ht="14.5">
      <c r="A696" s="3">
        <v>38</v>
      </c>
      <c r="B696" s="15">
        <f>AVERAGE(Sheet1!G694:G2031,Sheet1!D694:D2031)</f>
        <v>5049.678707430342</v>
      </c>
      <c r="C696" s="3"/>
      <c r="J696" s="4" t="s">
        <v>7</v>
      </c>
      <c r="K696" s="4" t="s">
        <v>8</v>
      </c>
      <c r="L696" s="17">
        <f t="shared" si="20"/>
        <v>0</v>
      </c>
      <c r="M696" s="5">
        <f t="shared" si="21"/>
        <v>0</v>
      </c>
    </row>
    <row r="697" spans="1:13" ht="14.5">
      <c r="A697" s="3">
        <v>38</v>
      </c>
      <c r="B697" s="15">
        <f>AVERAGE(Sheet1!G695:G2032,Sheet1!D695:D2032)</f>
        <v>5052.5015736434116</v>
      </c>
      <c r="C697" s="3"/>
      <c r="J697" s="4" t="s">
        <v>7</v>
      </c>
      <c r="K697" s="4" t="s">
        <v>8</v>
      </c>
      <c r="L697" s="17">
        <f t="shared" si="20"/>
        <v>0</v>
      </c>
      <c r="M697" s="5">
        <f t="shared" si="21"/>
        <v>0</v>
      </c>
    </row>
    <row r="698" spans="1:13" ht="14.5">
      <c r="A698" s="3">
        <v>38</v>
      </c>
      <c r="B698" s="15">
        <f>AVERAGE(Sheet1!G696:G2033,Sheet1!D696:D2033)</f>
        <v>5056.1537655279517</v>
      </c>
      <c r="C698" s="3"/>
      <c r="J698" s="4" t="s">
        <v>10</v>
      </c>
      <c r="K698" s="4" t="s">
        <v>8</v>
      </c>
      <c r="L698" s="17">
        <f t="shared" si="20"/>
        <v>0</v>
      </c>
      <c r="M698" s="5">
        <f t="shared" si="21"/>
        <v>0</v>
      </c>
    </row>
    <row r="699" spans="1:13" ht="14.5">
      <c r="A699" s="3">
        <v>38</v>
      </c>
      <c r="B699" s="15">
        <f>AVERAGE(Sheet1!G697:G2034,Sheet1!D697:D2034)</f>
        <v>5058.8417729393486</v>
      </c>
      <c r="C699" s="3"/>
      <c r="J699" s="4" t="s">
        <v>7</v>
      </c>
      <c r="K699" s="4" t="s">
        <v>8</v>
      </c>
      <c r="L699" s="17">
        <f t="shared" si="20"/>
        <v>0</v>
      </c>
      <c r="M699" s="5">
        <f t="shared" si="21"/>
        <v>0</v>
      </c>
    </row>
    <row r="700" spans="1:13" ht="14.5">
      <c r="A700" s="3">
        <v>38</v>
      </c>
      <c r="B700" s="15">
        <f>AVERAGE(Sheet1!G698:G2035,Sheet1!D698:D2035)</f>
        <v>5061.6156152647991</v>
      </c>
      <c r="C700" s="3"/>
      <c r="J700" s="4" t="s">
        <v>10</v>
      </c>
      <c r="K700" s="4" t="s">
        <v>8</v>
      </c>
      <c r="L700" s="17">
        <f t="shared" si="20"/>
        <v>0</v>
      </c>
      <c r="M700" s="5">
        <f t="shared" si="21"/>
        <v>0</v>
      </c>
    </row>
    <row r="701" spans="1:13" ht="14.5">
      <c r="A701" s="3">
        <v>38</v>
      </c>
      <c r="B701" s="15">
        <f>AVERAGE(Sheet1!G699:G2036,Sheet1!D699:D2036)</f>
        <v>5064.8510686427471</v>
      </c>
      <c r="C701" s="3"/>
      <c r="J701" s="4" t="s">
        <v>10</v>
      </c>
      <c r="K701" s="4" t="s">
        <v>8</v>
      </c>
      <c r="L701" s="17">
        <f t="shared" si="20"/>
        <v>0</v>
      </c>
      <c r="M701" s="5">
        <f t="shared" si="21"/>
        <v>0</v>
      </c>
    </row>
    <row r="702" spans="1:13" ht="14.5">
      <c r="A702" s="3">
        <v>38</v>
      </c>
      <c r="B702" s="15">
        <f>AVERAGE(Sheet1!G700:G2037,Sheet1!D700:D2037)</f>
        <v>5068.548007812502</v>
      </c>
      <c r="C702" s="3"/>
      <c r="J702" s="4" t="s">
        <v>10</v>
      </c>
      <c r="K702" s="4" t="s">
        <v>8</v>
      </c>
      <c r="L702" s="17">
        <f t="shared" si="20"/>
        <v>0</v>
      </c>
      <c r="M702" s="5">
        <f t="shared" si="21"/>
        <v>0</v>
      </c>
    </row>
    <row r="703" spans="1:13" ht="14.5">
      <c r="A703" s="3">
        <v>38</v>
      </c>
      <c r="B703" s="15">
        <f>AVERAGE(Sheet1!G701:G2038,Sheet1!D701:D2038)</f>
        <v>5071.7318622848225</v>
      </c>
      <c r="C703" s="3"/>
      <c r="J703" s="4" t="s">
        <v>7</v>
      </c>
      <c r="K703" s="4" t="s">
        <v>8</v>
      </c>
      <c r="L703" s="17">
        <f t="shared" si="20"/>
        <v>0</v>
      </c>
      <c r="M703" s="5">
        <f t="shared" si="21"/>
        <v>0</v>
      </c>
    </row>
    <row r="704" spans="1:13" ht="14.5">
      <c r="A704" s="3">
        <v>38</v>
      </c>
      <c r="B704" s="15">
        <f>AVERAGE(Sheet1!G702:G2039,Sheet1!D702:D2039)</f>
        <v>5074.6855485893439</v>
      </c>
      <c r="C704" s="3"/>
      <c r="J704" s="4" t="s">
        <v>10</v>
      </c>
      <c r="K704" s="4" t="s">
        <v>8</v>
      </c>
      <c r="L704" s="17">
        <f t="shared" si="20"/>
        <v>0</v>
      </c>
      <c r="M704" s="5">
        <f t="shared" si="21"/>
        <v>0</v>
      </c>
    </row>
    <row r="705" spans="1:13" ht="14.5">
      <c r="A705" s="3">
        <v>38</v>
      </c>
      <c r="B705" s="15">
        <f>AVERAGE(Sheet1!G703:G2040,Sheet1!D703:D2040)</f>
        <v>5077.9599136577726</v>
      </c>
      <c r="C705" s="3"/>
      <c r="J705" s="4" t="s">
        <v>10</v>
      </c>
      <c r="K705" s="4" t="s">
        <v>8</v>
      </c>
      <c r="L705" s="17">
        <f t="shared" si="20"/>
        <v>0</v>
      </c>
      <c r="M705" s="5">
        <f t="shared" si="21"/>
        <v>0</v>
      </c>
    </row>
    <row r="706" spans="1:13" ht="14.5">
      <c r="A706" s="3">
        <v>38</v>
      </c>
      <c r="B706" s="15">
        <f>AVERAGE(Sheet1!G704:G2041,Sheet1!D704:D2041)</f>
        <v>5080.7762500000017</v>
      </c>
      <c r="C706" s="3"/>
      <c r="J706" s="4" t="s">
        <v>10</v>
      </c>
      <c r="K706" s="4" t="s">
        <v>8</v>
      </c>
      <c r="L706" s="17">
        <f t="shared" si="20"/>
        <v>0</v>
      </c>
      <c r="M706" s="5">
        <f t="shared" si="21"/>
        <v>0</v>
      </c>
    </row>
    <row r="707" spans="1:13" ht="14.5">
      <c r="A707" s="3">
        <v>38</v>
      </c>
      <c r="B707" s="15">
        <f>AVERAGE(Sheet1!G705:G2042,Sheet1!D705:D2042)</f>
        <v>5083.3166535433093</v>
      </c>
      <c r="C707" s="3"/>
      <c r="J707" s="4" t="s">
        <v>10</v>
      </c>
      <c r="K707" s="4" t="s">
        <v>8</v>
      </c>
      <c r="L707" s="17">
        <f t="shared" si="20"/>
        <v>0</v>
      </c>
      <c r="M707" s="5">
        <f t="shared" si="21"/>
        <v>0</v>
      </c>
    </row>
    <row r="708" spans="1:13" ht="14.5">
      <c r="A708" s="3">
        <v>38</v>
      </c>
      <c r="B708" s="15">
        <f>AVERAGE(Sheet1!G706:G2043,Sheet1!D706:D2043)</f>
        <v>5085.692476340696</v>
      </c>
      <c r="C708" s="3"/>
      <c r="J708" s="4" t="s">
        <v>10</v>
      </c>
      <c r="K708" s="4" t="s">
        <v>8</v>
      </c>
      <c r="L708" s="17">
        <f t="shared" si="20"/>
        <v>0</v>
      </c>
      <c r="M708" s="5">
        <f t="shared" si="21"/>
        <v>0</v>
      </c>
    </row>
    <row r="709" spans="1:13" ht="14.5">
      <c r="A709" s="3">
        <v>38</v>
      </c>
      <c r="B709" s="15">
        <f>AVERAGE(Sheet1!G707:G2044,Sheet1!D707:D2044)</f>
        <v>5089.3908372827827</v>
      </c>
      <c r="C709" s="3"/>
      <c r="J709" s="4" t="s">
        <v>7</v>
      </c>
      <c r="K709" s="4" t="s">
        <v>8</v>
      </c>
      <c r="L709" s="17">
        <f t="shared" si="20"/>
        <v>0</v>
      </c>
      <c r="M709" s="5">
        <f t="shared" si="21"/>
        <v>0</v>
      </c>
    </row>
    <row r="710" spans="1:13" ht="14.5">
      <c r="A710" s="3">
        <v>38</v>
      </c>
      <c r="B710" s="15">
        <f>AVERAGE(Sheet1!G708:G2045,Sheet1!D708:D2045)</f>
        <v>5091.789509493673</v>
      </c>
      <c r="C710" s="3"/>
      <c r="J710" s="4" t="s">
        <v>10</v>
      </c>
      <c r="K710" s="4" t="s">
        <v>8</v>
      </c>
      <c r="L710" s="17">
        <f t="shared" ref="L710:L773" si="22">IF(AND(J710="male", K710="yes"),1,0)</f>
        <v>0</v>
      </c>
      <c r="M710" s="5">
        <f t="shared" ref="M710:M773" si="23">IF(AND(J710="female", K710="yes"), 1, 0)</f>
        <v>0</v>
      </c>
    </row>
    <row r="711" spans="1:13" ht="14.5">
      <c r="A711" s="3">
        <v>38</v>
      </c>
      <c r="B711" s="15">
        <f>AVERAGE(Sheet1!G709:G2046,Sheet1!D709:D2046)</f>
        <v>5095.5122583201291</v>
      </c>
      <c r="C711" s="3"/>
      <c r="J711" s="4" t="s">
        <v>7</v>
      </c>
      <c r="K711" s="4" t="s">
        <v>8</v>
      </c>
      <c r="L711" s="17">
        <f t="shared" si="22"/>
        <v>0</v>
      </c>
      <c r="M711" s="5">
        <f t="shared" si="23"/>
        <v>0</v>
      </c>
    </row>
    <row r="712" spans="1:13" ht="14.5">
      <c r="A712" s="3">
        <v>38</v>
      </c>
      <c r="B712" s="15">
        <f>AVERAGE(Sheet1!G710:G2047,Sheet1!D710:D2047)</f>
        <v>5099.3277222222241</v>
      </c>
      <c r="C712" s="3"/>
      <c r="J712" s="4" t="s">
        <v>10</v>
      </c>
      <c r="K712" s="4" t="s">
        <v>8</v>
      </c>
      <c r="L712" s="17">
        <f t="shared" si="22"/>
        <v>0</v>
      </c>
      <c r="M712" s="5">
        <f t="shared" si="23"/>
        <v>0</v>
      </c>
    </row>
    <row r="713" spans="1:13" ht="14.5">
      <c r="A713" s="3">
        <v>38</v>
      </c>
      <c r="B713" s="15">
        <f>AVERAGE(Sheet1!G711:G2048,Sheet1!D711:D2048)</f>
        <v>5102.7790381558052</v>
      </c>
      <c r="C713" s="3"/>
      <c r="J713" s="4" t="s">
        <v>7</v>
      </c>
      <c r="K713" s="4" t="s">
        <v>8</v>
      </c>
      <c r="L713" s="17">
        <f t="shared" si="22"/>
        <v>0</v>
      </c>
      <c r="M713" s="5">
        <f t="shared" si="23"/>
        <v>0</v>
      </c>
    </row>
    <row r="714" spans="1:13" ht="14.5">
      <c r="A714" s="3">
        <v>38</v>
      </c>
      <c r="B714" s="15">
        <f>AVERAGE(Sheet1!G712:G2049,Sheet1!D712:D2049)</f>
        <v>5077.5030175159254</v>
      </c>
      <c r="C714" s="3"/>
      <c r="J714" s="4" t="s">
        <v>7</v>
      </c>
      <c r="K714" s="4" t="s">
        <v>11</v>
      </c>
      <c r="L714" s="17">
        <f t="shared" si="22"/>
        <v>1</v>
      </c>
      <c r="M714" s="5">
        <f t="shared" si="23"/>
        <v>0</v>
      </c>
    </row>
    <row r="715" spans="1:13" ht="14.5">
      <c r="A715" s="3">
        <v>38</v>
      </c>
      <c r="B715" s="15">
        <f>AVERAGE(Sheet1!G713:G2050,Sheet1!D713:D2050)</f>
        <v>5080.4497208931443</v>
      </c>
      <c r="C715" s="3"/>
      <c r="J715" s="4" t="s">
        <v>7</v>
      </c>
      <c r="K715" s="4" t="s">
        <v>8</v>
      </c>
      <c r="L715" s="17">
        <f t="shared" si="22"/>
        <v>0</v>
      </c>
      <c r="M715" s="5">
        <f t="shared" si="23"/>
        <v>0</v>
      </c>
    </row>
    <row r="716" spans="1:13" ht="14.5">
      <c r="A716" s="3">
        <v>38</v>
      </c>
      <c r="B716" s="15">
        <f>AVERAGE(Sheet1!G714:G2051,Sheet1!D714:D2051)</f>
        <v>5082.5429632587884</v>
      </c>
      <c r="C716" s="3"/>
      <c r="J716" s="4" t="s">
        <v>10</v>
      </c>
      <c r="K716" s="4" t="s">
        <v>8</v>
      </c>
      <c r="L716" s="17">
        <f t="shared" si="22"/>
        <v>0</v>
      </c>
      <c r="M716" s="5">
        <f t="shared" si="23"/>
        <v>0</v>
      </c>
    </row>
    <row r="717" spans="1:13" ht="14.5">
      <c r="A717" s="3">
        <v>38</v>
      </c>
      <c r="B717" s="15">
        <f>AVERAGE(Sheet1!G715:G2052,Sheet1!D715:D2052)</f>
        <v>5085.3610000000026</v>
      </c>
      <c r="C717" s="3"/>
      <c r="J717" s="4" t="s">
        <v>7</v>
      </c>
      <c r="K717" s="4" t="s">
        <v>8</v>
      </c>
      <c r="L717" s="17">
        <f t="shared" si="22"/>
        <v>0</v>
      </c>
      <c r="M717" s="5">
        <f t="shared" si="23"/>
        <v>0</v>
      </c>
    </row>
    <row r="718" spans="1:13" ht="14.5">
      <c r="A718" s="3">
        <v>37</v>
      </c>
      <c r="B718" s="15">
        <f>AVERAGE(Sheet1!G716:G2053,Sheet1!D716:D2053)</f>
        <v>5087.7927483974381</v>
      </c>
      <c r="C718" s="3"/>
      <c r="J718" s="4" t="s">
        <v>10</v>
      </c>
      <c r="K718" s="4" t="s">
        <v>8</v>
      </c>
      <c r="L718" s="17">
        <f t="shared" si="22"/>
        <v>0</v>
      </c>
      <c r="M718" s="5">
        <f t="shared" si="23"/>
        <v>0</v>
      </c>
    </row>
    <row r="719" spans="1:13" ht="14.5">
      <c r="A719" s="3">
        <v>37</v>
      </c>
      <c r="B719" s="15">
        <f>AVERAGE(Sheet1!G717:G2054,Sheet1!D717:D2054)</f>
        <v>5090.1130337078675</v>
      </c>
      <c r="C719" s="3"/>
      <c r="J719" s="4" t="s">
        <v>10</v>
      </c>
      <c r="K719" s="4" t="s">
        <v>8</v>
      </c>
      <c r="L719" s="17">
        <f t="shared" si="22"/>
        <v>0</v>
      </c>
      <c r="M719" s="5">
        <f t="shared" si="23"/>
        <v>0</v>
      </c>
    </row>
    <row r="720" spans="1:13" ht="14.5">
      <c r="A720" s="3">
        <v>37</v>
      </c>
      <c r="B720" s="15">
        <f>AVERAGE(Sheet1!G718:G2055,Sheet1!D718:D2055)</f>
        <v>5093.1450401929278</v>
      </c>
      <c r="C720" s="3"/>
      <c r="J720" s="4" t="s">
        <v>7</v>
      </c>
      <c r="K720" s="4" t="s">
        <v>8</v>
      </c>
      <c r="L720" s="17">
        <f t="shared" si="22"/>
        <v>0</v>
      </c>
      <c r="M720" s="5">
        <f t="shared" si="23"/>
        <v>0</v>
      </c>
    </row>
    <row r="721" spans="1:13" ht="14.5">
      <c r="A721" s="3">
        <v>37</v>
      </c>
      <c r="B721" s="15">
        <f>AVERAGE(Sheet1!G719:G2056,Sheet1!D719:D2056)</f>
        <v>5096.3498631239963</v>
      </c>
      <c r="C721" s="3"/>
      <c r="J721" s="4" t="s">
        <v>7</v>
      </c>
      <c r="K721" s="4" t="s">
        <v>8</v>
      </c>
      <c r="L721" s="17">
        <f t="shared" si="22"/>
        <v>0</v>
      </c>
      <c r="M721" s="5">
        <f t="shared" si="23"/>
        <v>0</v>
      </c>
    </row>
    <row r="722" spans="1:13" ht="14.5">
      <c r="A722" s="3">
        <v>37</v>
      </c>
      <c r="B722" s="15">
        <f>AVERAGE(Sheet1!G720:G2057,Sheet1!D720:D2057)</f>
        <v>5099.4764274193576</v>
      </c>
      <c r="C722" s="3"/>
      <c r="J722" s="4" t="s">
        <v>10</v>
      </c>
      <c r="K722" s="4" t="s">
        <v>8</v>
      </c>
      <c r="L722" s="17">
        <f t="shared" si="22"/>
        <v>0</v>
      </c>
      <c r="M722" s="5">
        <f t="shared" si="23"/>
        <v>0</v>
      </c>
    </row>
    <row r="723" spans="1:13" ht="14.5">
      <c r="A723" s="3">
        <v>37</v>
      </c>
      <c r="B723" s="15">
        <f>AVERAGE(Sheet1!G721:G2058,Sheet1!D721:D2058)</f>
        <v>5075.5349353796473</v>
      </c>
      <c r="C723" s="3"/>
      <c r="J723" s="4" t="s">
        <v>10</v>
      </c>
      <c r="K723" s="4" t="s">
        <v>11</v>
      </c>
      <c r="L723" s="17">
        <f t="shared" si="22"/>
        <v>0</v>
      </c>
      <c r="M723" s="5">
        <f t="shared" si="23"/>
        <v>1</v>
      </c>
    </row>
    <row r="724" spans="1:13" ht="14.5">
      <c r="A724" s="3">
        <v>37</v>
      </c>
      <c r="B724" s="15">
        <f>AVERAGE(Sheet1!G722:G2059,Sheet1!D722:D2059)</f>
        <v>5079.9882605178027</v>
      </c>
      <c r="C724" s="3"/>
      <c r="J724" s="4" t="s">
        <v>7</v>
      </c>
      <c r="K724" s="4" t="s">
        <v>8</v>
      </c>
      <c r="L724" s="17">
        <f t="shared" si="22"/>
        <v>0</v>
      </c>
      <c r="M724" s="5">
        <f t="shared" si="23"/>
        <v>0</v>
      </c>
    </row>
    <row r="725" spans="1:13" ht="14.5">
      <c r="A725" s="3">
        <v>37</v>
      </c>
      <c r="B725" s="15">
        <f>AVERAGE(Sheet1!G723:G2060,Sheet1!D723:D2060)</f>
        <v>5082.8015072933576</v>
      </c>
      <c r="C725" s="3"/>
      <c r="J725" s="4" t="s">
        <v>10</v>
      </c>
      <c r="K725" s="4" t="s">
        <v>8</v>
      </c>
      <c r="L725" s="17">
        <f t="shared" si="22"/>
        <v>0</v>
      </c>
      <c r="M725" s="5">
        <f t="shared" si="23"/>
        <v>0</v>
      </c>
    </row>
    <row r="726" spans="1:13" ht="14.5">
      <c r="A726" s="3">
        <v>37</v>
      </c>
      <c r="B726" s="15">
        <f>AVERAGE(Sheet1!G724:G2061,Sheet1!D724:D2061)</f>
        <v>5086.971517857146</v>
      </c>
      <c r="C726" s="3"/>
      <c r="J726" s="4" t="s">
        <v>7</v>
      </c>
      <c r="K726" s="4" t="s">
        <v>8</v>
      </c>
      <c r="L726" s="17">
        <f t="shared" si="22"/>
        <v>0</v>
      </c>
      <c r="M726" s="5">
        <f t="shared" si="23"/>
        <v>0</v>
      </c>
    </row>
    <row r="727" spans="1:13" ht="14.5">
      <c r="A727" s="3">
        <v>37</v>
      </c>
      <c r="B727" s="15">
        <f>AVERAGE(Sheet1!G725:G2062,Sheet1!D725:D2062)</f>
        <v>5089.7146747967508</v>
      </c>
      <c r="C727" s="3"/>
      <c r="J727" s="4" t="s">
        <v>7</v>
      </c>
      <c r="K727" s="4" t="s">
        <v>8</v>
      </c>
      <c r="L727" s="17">
        <f t="shared" si="22"/>
        <v>0</v>
      </c>
      <c r="M727" s="5">
        <f t="shared" si="23"/>
        <v>0</v>
      </c>
    </row>
    <row r="728" spans="1:13" ht="14.5">
      <c r="A728" s="3">
        <v>37</v>
      </c>
      <c r="B728" s="15">
        <f>AVERAGE(Sheet1!G726:G2063,Sheet1!D726:D2063)</f>
        <v>5082.3569543973972</v>
      </c>
      <c r="C728" s="3"/>
      <c r="J728" s="4" t="s">
        <v>7</v>
      </c>
      <c r="K728" s="4" t="s">
        <v>8</v>
      </c>
      <c r="L728" s="17">
        <f t="shared" si="22"/>
        <v>0</v>
      </c>
      <c r="M728" s="5">
        <f t="shared" si="23"/>
        <v>0</v>
      </c>
    </row>
    <row r="729" spans="1:13" ht="14.5">
      <c r="A729" s="3">
        <v>37</v>
      </c>
      <c r="B729" s="15">
        <f>AVERAGE(Sheet1!G727:G2064,Sheet1!D727:D2064)</f>
        <v>5057.8695676998395</v>
      </c>
      <c r="C729" s="3"/>
      <c r="J729" s="4" t="s">
        <v>7</v>
      </c>
      <c r="K729" s="4" t="s">
        <v>11</v>
      </c>
      <c r="L729" s="17">
        <f t="shared" si="22"/>
        <v>1</v>
      </c>
      <c r="M729" s="5">
        <f t="shared" si="23"/>
        <v>0</v>
      </c>
    </row>
    <row r="730" spans="1:13" ht="14.5">
      <c r="A730" s="3">
        <v>37</v>
      </c>
      <c r="B730" s="15">
        <f>AVERAGE(Sheet1!G728:G2065,Sheet1!D728:D2065)</f>
        <v>5060.8737500000034</v>
      </c>
      <c r="C730" s="3"/>
      <c r="J730" s="4" t="s">
        <v>7</v>
      </c>
      <c r="K730" s="4" t="s">
        <v>8</v>
      </c>
      <c r="L730" s="17">
        <f t="shared" si="22"/>
        <v>0</v>
      </c>
      <c r="M730" s="5">
        <f t="shared" si="23"/>
        <v>0</v>
      </c>
    </row>
    <row r="731" spans="1:13" ht="14.5">
      <c r="A731" s="3">
        <v>37</v>
      </c>
      <c r="B731" s="15">
        <f>AVERAGE(Sheet1!G729:G2066,Sheet1!D729:D2066)</f>
        <v>5036.0805646481213</v>
      </c>
      <c r="C731" s="3"/>
      <c r="J731" s="4" t="s">
        <v>10</v>
      </c>
      <c r="K731" s="4" t="s">
        <v>11</v>
      </c>
      <c r="L731" s="17">
        <f t="shared" si="22"/>
        <v>0</v>
      </c>
      <c r="M731" s="5">
        <f t="shared" si="23"/>
        <v>1</v>
      </c>
    </row>
    <row r="732" spans="1:13" ht="14.5">
      <c r="A732" s="3">
        <v>37</v>
      </c>
      <c r="B732" s="15">
        <f>AVERAGE(Sheet1!G730:G2067,Sheet1!D730:D2067)</f>
        <v>5028.3206639344289</v>
      </c>
      <c r="C732" s="3"/>
      <c r="J732" s="4" t="s">
        <v>10</v>
      </c>
      <c r="K732" s="4" t="s">
        <v>11</v>
      </c>
      <c r="L732" s="17">
        <f t="shared" si="22"/>
        <v>0</v>
      </c>
      <c r="M732" s="5">
        <f t="shared" si="23"/>
        <v>1</v>
      </c>
    </row>
    <row r="733" spans="1:13" ht="14.5">
      <c r="A733" s="3">
        <v>37</v>
      </c>
      <c r="B733" s="15">
        <f>AVERAGE(Sheet1!G731:G2068,Sheet1!D731:D2068)</f>
        <v>5005.9778817734014</v>
      </c>
      <c r="C733" s="3"/>
      <c r="J733" s="4" t="s">
        <v>10</v>
      </c>
      <c r="K733" s="4" t="s">
        <v>11</v>
      </c>
      <c r="L733" s="17">
        <f t="shared" si="22"/>
        <v>0</v>
      </c>
      <c r="M733" s="5">
        <f t="shared" si="23"/>
        <v>1</v>
      </c>
    </row>
    <row r="734" spans="1:13" ht="14.5">
      <c r="A734" s="3">
        <v>37</v>
      </c>
      <c r="B734" s="15">
        <f>AVERAGE(Sheet1!G732:G2069,Sheet1!D732:D2069)</f>
        <v>4976.2874588815812</v>
      </c>
      <c r="C734" s="3"/>
      <c r="J734" s="4" t="s">
        <v>10</v>
      </c>
      <c r="K734" s="4" t="s">
        <v>11</v>
      </c>
      <c r="L734" s="17">
        <f t="shared" si="22"/>
        <v>0</v>
      </c>
      <c r="M734" s="5">
        <f t="shared" si="23"/>
        <v>1</v>
      </c>
    </row>
    <row r="735" spans="1:13" ht="14.5">
      <c r="A735" s="3">
        <v>37</v>
      </c>
      <c r="B735" s="15">
        <f>AVERAGE(Sheet1!G733:G2070,Sheet1!D733:D2070)</f>
        <v>4979.284678747943</v>
      </c>
      <c r="C735" s="3"/>
      <c r="J735" s="4" t="s">
        <v>10</v>
      </c>
      <c r="K735" s="4" t="s">
        <v>8</v>
      </c>
      <c r="L735" s="17">
        <f t="shared" si="22"/>
        <v>0</v>
      </c>
      <c r="M735" s="5">
        <f t="shared" si="23"/>
        <v>0</v>
      </c>
    </row>
    <row r="736" spans="1:13" ht="14.5">
      <c r="A736" s="3">
        <v>37</v>
      </c>
      <c r="B736" s="15">
        <f>AVERAGE(Sheet1!G734:G2071,Sheet1!D734:D2071)</f>
        <v>4955.2832590759099</v>
      </c>
      <c r="C736" s="3"/>
      <c r="J736" s="4" t="s">
        <v>7</v>
      </c>
      <c r="K736" s="4" t="s">
        <v>11</v>
      </c>
      <c r="L736" s="17">
        <f t="shared" si="22"/>
        <v>1</v>
      </c>
      <c r="M736" s="5">
        <f t="shared" si="23"/>
        <v>0</v>
      </c>
    </row>
    <row r="737" spans="1:13" ht="14.5">
      <c r="A737" s="3">
        <v>37</v>
      </c>
      <c r="B737" s="15">
        <f>AVERAGE(Sheet1!G735:G2072,Sheet1!D735:D2072)</f>
        <v>4957.7878760330605</v>
      </c>
      <c r="C737" s="3"/>
      <c r="J737" s="4" t="s">
        <v>10</v>
      </c>
      <c r="K737" s="4" t="s">
        <v>8</v>
      </c>
      <c r="L737" s="17">
        <f t="shared" si="22"/>
        <v>0</v>
      </c>
      <c r="M737" s="5">
        <f t="shared" si="23"/>
        <v>0</v>
      </c>
    </row>
    <row r="738" spans="1:13" ht="14.5">
      <c r="A738" s="3">
        <v>37</v>
      </c>
      <c r="B738" s="15">
        <f>AVERAGE(Sheet1!G736:G2073,Sheet1!D736:D2073)</f>
        <v>4932.9889321192086</v>
      </c>
      <c r="C738" s="3"/>
      <c r="J738" s="4" t="s">
        <v>7</v>
      </c>
      <c r="K738" s="4" t="s">
        <v>11</v>
      </c>
      <c r="L738" s="17">
        <f t="shared" si="22"/>
        <v>1</v>
      </c>
      <c r="M738" s="5">
        <f t="shared" si="23"/>
        <v>0</v>
      </c>
    </row>
    <row r="739" spans="1:13" ht="14.5">
      <c r="A739" s="3">
        <v>37</v>
      </c>
      <c r="B739" s="15">
        <f>AVERAGE(Sheet1!G737:G2074,Sheet1!D737:D2074)</f>
        <v>4924.237172470981</v>
      </c>
      <c r="C739" s="3"/>
      <c r="J739" s="4" t="s">
        <v>7</v>
      </c>
      <c r="K739" s="4" t="s">
        <v>8</v>
      </c>
      <c r="L739" s="17">
        <f t="shared" si="22"/>
        <v>0</v>
      </c>
      <c r="M739" s="5">
        <f t="shared" si="23"/>
        <v>0</v>
      </c>
    </row>
    <row r="740" spans="1:13" ht="14.5">
      <c r="A740" s="3">
        <v>37</v>
      </c>
      <c r="B740" s="15">
        <f>AVERAGE(Sheet1!G738:G2075,Sheet1!D738:D2075)</f>
        <v>4927.3394352159494</v>
      </c>
      <c r="C740" s="3"/>
      <c r="J740" s="4" t="s">
        <v>10</v>
      </c>
      <c r="K740" s="4" t="s">
        <v>8</v>
      </c>
      <c r="L740" s="17">
        <f t="shared" si="22"/>
        <v>0</v>
      </c>
      <c r="M740" s="5">
        <f t="shared" si="23"/>
        <v>0</v>
      </c>
    </row>
    <row r="741" spans="1:13" ht="14.5">
      <c r="A741" s="3">
        <v>37</v>
      </c>
      <c r="B741" s="15">
        <f>AVERAGE(Sheet1!G739:G2076,Sheet1!D739:D2076)</f>
        <v>4930.3793094841958</v>
      </c>
      <c r="C741" s="3"/>
      <c r="J741" s="4" t="s">
        <v>7</v>
      </c>
      <c r="K741" s="4" t="s">
        <v>8</v>
      </c>
      <c r="L741" s="17">
        <f t="shared" si="22"/>
        <v>0</v>
      </c>
      <c r="M741" s="5">
        <f t="shared" si="23"/>
        <v>0</v>
      </c>
    </row>
    <row r="742" spans="1:13" ht="14.5">
      <c r="A742" s="3">
        <v>37</v>
      </c>
      <c r="B742" s="15">
        <f>AVERAGE(Sheet1!G740:G2077,Sheet1!D740:D2077)</f>
        <v>4921.6817250000022</v>
      </c>
      <c r="C742" s="3"/>
      <c r="J742" s="4" t="s">
        <v>10</v>
      </c>
      <c r="K742" s="4" t="s">
        <v>11</v>
      </c>
      <c r="L742" s="17">
        <f t="shared" si="22"/>
        <v>0</v>
      </c>
      <c r="M742" s="5">
        <f t="shared" si="23"/>
        <v>1</v>
      </c>
    </row>
    <row r="743" spans="1:13" ht="14.5">
      <c r="A743" s="3">
        <v>36</v>
      </c>
      <c r="B743" s="15">
        <f>AVERAGE(Sheet1!G741:G2078,Sheet1!D741:D2078)</f>
        <v>4924.0647412353946</v>
      </c>
      <c r="C743" s="3"/>
      <c r="J743" s="4" t="s">
        <v>7</v>
      </c>
      <c r="K743" s="4" t="s">
        <v>8</v>
      </c>
      <c r="L743" s="17">
        <f t="shared" si="22"/>
        <v>0</v>
      </c>
      <c r="M743" s="5">
        <f t="shared" si="23"/>
        <v>0</v>
      </c>
    </row>
    <row r="744" spans="1:13" ht="14.5">
      <c r="A744" s="3">
        <v>36</v>
      </c>
      <c r="B744" s="15">
        <f>AVERAGE(Sheet1!G742:G2079,Sheet1!D742:D2079)</f>
        <v>4899.9325919732464</v>
      </c>
      <c r="C744" s="3"/>
      <c r="J744" s="4" t="s">
        <v>7</v>
      </c>
      <c r="K744" s="4" t="s">
        <v>11</v>
      </c>
      <c r="L744" s="17">
        <f t="shared" si="22"/>
        <v>1</v>
      </c>
      <c r="M744" s="5">
        <f t="shared" si="23"/>
        <v>0</v>
      </c>
    </row>
    <row r="745" spans="1:13" ht="14.5">
      <c r="A745" s="3">
        <v>36</v>
      </c>
      <c r="B745" s="15">
        <f>AVERAGE(Sheet1!G743:G2080,Sheet1!D743:D2080)</f>
        <v>4876.5299832495839</v>
      </c>
      <c r="C745" s="3"/>
      <c r="J745" s="4" t="s">
        <v>7</v>
      </c>
      <c r="K745" s="4" t="s">
        <v>11</v>
      </c>
      <c r="L745" s="17">
        <f t="shared" si="22"/>
        <v>1</v>
      </c>
      <c r="M745" s="5">
        <f t="shared" si="23"/>
        <v>0</v>
      </c>
    </row>
    <row r="746" spans="1:13" ht="14.5">
      <c r="A746" s="3">
        <v>36</v>
      </c>
      <c r="B746" s="15">
        <f>AVERAGE(Sheet1!G744:G2081,Sheet1!D744:D2081)</f>
        <v>4848.0037416107398</v>
      </c>
      <c r="C746" s="3"/>
      <c r="J746" s="4" t="s">
        <v>7</v>
      </c>
      <c r="K746" s="4" t="s">
        <v>11</v>
      </c>
      <c r="L746" s="17">
        <f t="shared" si="22"/>
        <v>1</v>
      </c>
      <c r="M746" s="5">
        <f t="shared" si="23"/>
        <v>0</v>
      </c>
    </row>
    <row r="747" spans="1:13" ht="14.5">
      <c r="A747" s="3">
        <v>36</v>
      </c>
      <c r="B747" s="15">
        <f>AVERAGE(Sheet1!G745:G2082,Sheet1!D745:D2082)</f>
        <v>4852.0475546218504</v>
      </c>
      <c r="C747" s="3"/>
      <c r="J747" s="4" t="s">
        <v>10</v>
      </c>
      <c r="K747" s="4" t="s">
        <v>8</v>
      </c>
      <c r="L747" s="17">
        <f t="shared" si="22"/>
        <v>0</v>
      </c>
      <c r="M747" s="5">
        <f t="shared" si="23"/>
        <v>0</v>
      </c>
    </row>
    <row r="748" spans="1:13" ht="14.5">
      <c r="A748" s="3">
        <v>36</v>
      </c>
      <c r="B748" s="15">
        <f>AVERAGE(Sheet1!G746:G2083,Sheet1!D746:D2083)</f>
        <v>4854.534385521888</v>
      </c>
      <c r="C748" s="3"/>
      <c r="J748" s="4" t="s">
        <v>7</v>
      </c>
      <c r="K748" s="4" t="s">
        <v>8</v>
      </c>
      <c r="L748" s="17">
        <f t="shared" si="22"/>
        <v>0</v>
      </c>
      <c r="M748" s="5">
        <f t="shared" si="23"/>
        <v>0</v>
      </c>
    </row>
    <row r="749" spans="1:13" ht="14.5">
      <c r="A749" s="3">
        <v>36</v>
      </c>
      <c r="B749" s="15">
        <f>AVERAGE(Sheet1!G747:G2084,Sheet1!D747:D2084)</f>
        <v>4858.1010202360894</v>
      </c>
      <c r="C749" s="3"/>
      <c r="J749" s="4" t="s">
        <v>10</v>
      </c>
      <c r="K749" s="4" t="s">
        <v>8</v>
      </c>
      <c r="L749" s="17">
        <f t="shared" si="22"/>
        <v>0</v>
      </c>
      <c r="M749" s="5">
        <f t="shared" si="23"/>
        <v>0</v>
      </c>
    </row>
    <row r="750" spans="1:13" ht="14.5">
      <c r="A750" s="3">
        <v>36</v>
      </c>
      <c r="B750" s="15">
        <f>AVERAGE(Sheet1!G748:G2085,Sheet1!D748:D2085)</f>
        <v>4850.5891469594617</v>
      </c>
      <c r="C750" s="3"/>
      <c r="J750" s="4" t="s">
        <v>10</v>
      </c>
      <c r="K750" s="4" t="s">
        <v>11</v>
      </c>
      <c r="L750" s="17">
        <f t="shared" si="22"/>
        <v>0</v>
      </c>
      <c r="M750" s="5">
        <f t="shared" si="23"/>
        <v>1</v>
      </c>
    </row>
    <row r="751" spans="1:13" ht="14.5">
      <c r="A751" s="3">
        <v>36</v>
      </c>
      <c r="B751" s="15">
        <f>AVERAGE(Sheet1!G749:G2086,Sheet1!D749:D2086)</f>
        <v>4853.0845685279201</v>
      </c>
      <c r="C751" s="3"/>
      <c r="J751" s="4" t="s">
        <v>7</v>
      </c>
      <c r="K751" s="4" t="s">
        <v>8</v>
      </c>
      <c r="L751" s="17">
        <f t="shared" si="22"/>
        <v>0</v>
      </c>
      <c r="M751" s="5">
        <f t="shared" si="23"/>
        <v>0</v>
      </c>
    </row>
    <row r="752" spans="1:13" ht="14.5">
      <c r="A752" s="3">
        <v>36</v>
      </c>
      <c r="B752" s="15">
        <f>AVERAGE(Sheet1!G750:G2087,Sheet1!D750:D2087)</f>
        <v>4857.5815508474598</v>
      </c>
      <c r="C752" s="3"/>
      <c r="J752" s="4" t="s">
        <v>7</v>
      </c>
      <c r="K752" s="4" t="s">
        <v>8</v>
      </c>
      <c r="L752" s="17">
        <f t="shared" si="22"/>
        <v>0</v>
      </c>
      <c r="M752" s="5">
        <f t="shared" si="23"/>
        <v>0</v>
      </c>
    </row>
    <row r="753" spans="1:13" ht="14.5">
      <c r="A753" s="3">
        <v>36</v>
      </c>
      <c r="B753" s="15">
        <f>AVERAGE(Sheet1!G751:G2088,Sheet1!D751:D2088)</f>
        <v>4861.186095076403</v>
      </c>
      <c r="C753" s="3"/>
      <c r="J753" s="4" t="s">
        <v>10</v>
      </c>
      <c r="K753" s="4" t="s">
        <v>8</v>
      </c>
      <c r="L753" s="17">
        <f t="shared" si="22"/>
        <v>0</v>
      </c>
      <c r="M753" s="5">
        <f t="shared" si="23"/>
        <v>0</v>
      </c>
    </row>
    <row r="754" spans="1:13" ht="14.5">
      <c r="A754" s="3">
        <v>36</v>
      </c>
      <c r="B754" s="15">
        <f>AVERAGE(Sheet1!G752:G2089,Sheet1!D752:D2089)</f>
        <v>4864.7031547619063</v>
      </c>
      <c r="C754" s="3"/>
      <c r="J754" s="4" t="s">
        <v>7</v>
      </c>
      <c r="K754" s="4" t="s">
        <v>8</v>
      </c>
      <c r="L754" s="17">
        <f t="shared" si="22"/>
        <v>0</v>
      </c>
      <c r="M754" s="5">
        <f t="shared" si="23"/>
        <v>0</v>
      </c>
    </row>
    <row r="755" spans="1:13" ht="14.5">
      <c r="A755" s="3">
        <v>36</v>
      </c>
      <c r="B755" s="15">
        <f>AVERAGE(Sheet1!G753:G2090,Sheet1!D753:D2090)</f>
        <v>4855.2949574105651</v>
      </c>
      <c r="C755" s="3"/>
      <c r="J755" s="4" t="s">
        <v>7</v>
      </c>
      <c r="K755" s="4" t="s">
        <v>11</v>
      </c>
      <c r="L755" s="17">
        <f t="shared" si="22"/>
        <v>1</v>
      </c>
      <c r="M755" s="5">
        <f t="shared" si="23"/>
        <v>0</v>
      </c>
    </row>
    <row r="756" spans="1:13" ht="14.5">
      <c r="A756" s="3">
        <v>36</v>
      </c>
      <c r="B756" s="15">
        <f>AVERAGE(Sheet1!G754:G2091,Sheet1!D754:D2091)</f>
        <v>4859.086953924917</v>
      </c>
      <c r="C756" s="3"/>
      <c r="J756" s="4" t="s">
        <v>10</v>
      </c>
      <c r="K756" s="4" t="s">
        <v>8</v>
      </c>
      <c r="L756" s="17">
        <f t="shared" si="22"/>
        <v>0</v>
      </c>
      <c r="M756" s="5">
        <f t="shared" si="23"/>
        <v>0</v>
      </c>
    </row>
    <row r="757" spans="1:13" ht="14.5">
      <c r="A757" s="3">
        <v>36</v>
      </c>
      <c r="B757" s="15">
        <f>AVERAGE(Sheet1!G755:G2092,Sheet1!D755:D2092)</f>
        <v>4862.7961111111135</v>
      </c>
      <c r="C757" s="3"/>
      <c r="J757" s="4" t="s">
        <v>7</v>
      </c>
      <c r="K757" s="4" t="s">
        <v>8</v>
      </c>
      <c r="L757" s="17">
        <f t="shared" si="22"/>
        <v>0</v>
      </c>
      <c r="M757" s="5">
        <f t="shared" si="23"/>
        <v>0</v>
      </c>
    </row>
    <row r="758" spans="1:13" ht="14.5">
      <c r="A758" s="3">
        <v>36</v>
      </c>
      <c r="B758" s="15">
        <f>AVERAGE(Sheet1!G756:G2093,Sheet1!D756:D2093)</f>
        <v>4867.3537842465767</v>
      </c>
      <c r="C758" s="3"/>
      <c r="J758" s="4" t="s">
        <v>7</v>
      </c>
      <c r="K758" s="4" t="s">
        <v>8</v>
      </c>
      <c r="L758" s="17">
        <f t="shared" si="22"/>
        <v>0</v>
      </c>
      <c r="M758" s="5">
        <f t="shared" si="23"/>
        <v>0</v>
      </c>
    </row>
    <row r="759" spans="1:13" ht="14.5">
      <c r="A759" s="3">
        <v>36</v>
      </c>
      <c r="B759" s="15">
        <f>AVERAGE(Sheet1!G757:G2094,Sheet1!D757:D2094)</f>
        <v>4871.0215866209282</v>
      </c>
      <c r="C759" s="3"/>
      <c r="J759" s="4" t="s">
        <v>10</v>
      </c>
      <c r="K759" s="4" t="s">
        <v>8</v>
      </c>
      <c r="L759" s="17">
        <f t="shared" si="22"/>
        <v>0</v>
      </c>
      <c r="M759" s="5">
        <f t="shared" si="23"/>
        <v>0</v>
      </c>
    </row>
    <row r="760" spans="1:13" ht="14.5">
      <c r="A760" s="3">
        <v>36</v>
      </c>
      <c r="B760" s="15">
        <f>AVERAGE(Sheet1!G758:G2095,Sheet1!D758:D2095)</f>
        <v>4874.8616752577336</v>
      </c>
      <c r="C760" s="3"/>
      <c r="J760" s="4" t="s">
        <v>10</v>
      </c>
      <c r="K760" s="4" t="s">
        <v>8</v>
      </c>
      <c r="L760" s="17">
        <f t="shared" si="22"/>
        <v>0</v>
      </c>
      <c r="M760" s="5">
        <f t="shared" si="23"/>
        <v>0</v>
      </c>
    </row>
    <row r="761" spans="1:13" ht="14.5">
      <c r="A761" s="3">
        <v>36</v>
      </c>
      <c r="B761" s="15">
        <f>AVERAGE(Sheet1!G759:G2096,Sheet1!D759:D2096)</f>
        <v>4877.0147848537026</v>
      </c>
      <c r="C761" s="3"/>
      <c r="J761" s="4" t="s">
        <v>10</v>
      </c>
      <c r="K761" s="4" t="s">
        <v>8</v>
      </c>
      <c r="L761" s="17">
        <f t="shared" si="22"/>
        <v>0</v>
      </c>
      <c r="M761" s="5">
        <f t="shared" si="23"/>
        <v>0</v>
      </c>
    </row>
    <row r="762" spans="1:13" ht="14.5">
      <c r="A762" s="3">
        <v>36</v>
      </c>
      <c r="B762" s="15">
        <f>AVERAGE(Sheet1!G760:G2097,Sheet1!D760:D2097)</f>
        <v>4881.2087413793124</v>
      </c>
      <c r="C762" s="3"/>
      <c r="J762" s="4" t="s">
        <v>10</v>
      </c>
      <c r="K762" s="4" t="s">
        <v>8</v>
      </c>
      <c r="L762" s="17">
        <f t="shared" si="22"/>
        <v>0</v>
      </c>
      <c r="M762" s="5">
        <f t="shared" si="23"/>
        <v>0</v>
      </c>
    </row>
    <row r="763" spans="1:13" ht="14.5">
      <c r="A763" s="3">
        <v>36</v>
      </c>
      <c r="B763" s="15">
        <f>AVERAGE(Sheet1!G761:G2098,Sheet1!D761:D2098)</f>
        <v>4885.0900863557881</v>
      </c>
      <c r="C763" s="3"/>
      <c r="J763" s="4" t="s">
        <v>10</v>
      </c>
      <c r="K763" s="4" t="s">
        <v>8</v>
      </c>
      <c r="L763" s="17">
        <f t="shared" si="22"/>
        <v>0</v>
      </c>
      <c r="M763" s="5">
        <f t="shared" si="23"/>
        <v>0</v>
      </c>
    </row>
    <row r="764" spans="1:13" ht="14.5">
      <c r="A764" s="3">
        <v>36</v>
      </c>
      <c r="B764" s="15">
        <f>AVERAGE(Sheet1!G762:G2099,Sheet1!D762:D2099)</f>
        <v>4887.8746712802795</v>
      </c>
      <c r="C764" s="3"/>
      <c r="J764" s="4" t="s">
        <v>7</v>
      </c>
      <c r="K764" s="4" t="s">
        <v>8</v>
      </c>
      <c r="L764" s="17">
        <f t="shared" si="22"/>
        <v>0</v>
      </c>
      <c r="M764" s="5">
        <f t="shared" si="23"/>
        <v>0</v>
      </c>
    </row>
    <row r="765" spans="1:13" ht="14.5">
      <c r="A765" s="3">
        <v>36</v>
      </c>
      <c r="B765" s="15">
        <f>AVERAGE(Sheet1!G763:G2100,Sheet1!D763:D2100)</f>
        <v>4890.0796360485292</v>
      </c>
      <c r="C765" s="3"/>
      <c r="J765" s="4" t="s">
        <v>10</v>
      </c>
      <c r="K765" s="4" t="s">
        <v>8</v>
      </c>
      <c r="L765" s="17">
        <f t="shared" si="22"/>
        <v>0</v>
      </c>
      <c r="M765" s="5">
        <f t="shared" si="23"/>
        <v>0</v>
      </c>
    </row>
    <row r="766" spans="1:13" ht="14.5">
      <c r="A766" s="3">
        <v>36</v>
      </c>
      <c r="B766" s="15">
        <f>AVERAGE(Sheet1!G764:G2101,Sheet1!D764:D2101)</f>
        <v>4865.220859375002</v>
      </c>
      <c r="C766" s="3"/>
      <c r="J766" s="4" t="s">
        <v>7</v>
      </c>
      <c r="K766" s="4" t="s">
        <v>11</v>
      </c>
      <c r="L766" s="17">
        <f t="shared" si="22"/>
        <v>1</v>
      </c>
      <c r="M766" s="5">
        <f t="shared" si="23"/>
        <v>0</v>
      </c>
    </row>
    <row r="767" spans="1:13" ht="14.5">
      <c r="A767" s="3">
        <v>36</v>
      </c>
      <c r="B767" s="15">
        <f>AVERAGE(Sheet1!G765:G2102,Sheet1!D765:D2102)</f>
        <v>4869.0087565217409</v>
      </c>
      <c r="C767" s="3"/>
      <c r="J767" s="4" t="s">
        <v>7</v>
      </c>
      <c r="K767" s="4" t="s">
        <v>8</v>
      </c>
      <c r="L767" s="17">
        <f t="shared" si="22"/>
        <v>0</v>
      </c>
      <c r="M767" s="5">
        <f t="shared" si="23"/>
        <v>0</v>
      </c>
    </row>
    <row r="768" spans="1:13" ht="14.5">
      <c r="A768" s="3">
        <v>35</v>
      </c>
      <c r="B768" s="15">
        <f>AVERAGE(Sheet1!G766:G2103,Sheet1!D766:D2103)</f>
        <v>4872.7235365853676</v>
      </c>
      <c r="C768" s="3"/>
      <c r="J768" s="4" t="s">
        <v>10</v>
      </c>
      <c r="K768" s="4" t="s">
        <v>8</v>
      </c>
      <c r="L768" s="17">
        <f t="shared" si="22"/>
        <v>0</v>
      </c>
      <c r="M768" s="5">
        <f t="shared" si="23"/>
        <v>0</v>
      </c>
    </row>
    <row r="769" spans="1:13" ht="14.5">
      <c r="A769" s="3">
        <v>35</v>
      </c>
      <c r="B769" s="15">
        <f>AVERAGE(Sheet1!G767:G2104,Sheet1!D767:D2104)</f>
        <v>4846.5194938917994</v>
      </c>
      <c r="C769" s="3"/>
      <c r="J769" s="4" t="s">
        <v>7</v>
      </c>
      <c r="K769" s="4" t="s">
        <v>11</v>
      </c>
      <c r="L769" s="17">
        <f t="shared" si="22"/>
        <v>1</v>
      </c>
      <c r="M769" s="5">
        <f t="shared" si="23"/>
        <v>0</v>
      </c>
    </row>
    <row r="770" spans="1:13" ht="14.5">
      <c r="A770" s="3">
        <v>35</v>
      </c>
      <c r="B770" s="15">
        <f>AVERAGE(Sheet1!G768:G2105,Sheet1!D768:D2105)</f>
        <v>4849.9828059440579</v>
      </c>
      <c r="C770" s="3"/>
      <c r="J770" s="4" t="s">
        <v>7</v>
      </c>
      <c r="K770" s="4" t="s">
        <v>8</v>
      </c>
      <c r="L770" s="17">
        <f t="shared" si="22"/>
        <v>0</v>
      </c>
      <c r="M770" s="5">
        <f t="shared" si="23"/>
        <v>0</v>
      </c>
    </row>
    <row r="771" spans="1:13" ht="14.5">
      <c r="A771" s="3">
        <v>35</v>
      </c>
      <c r="B771" s="15">
        <f>AVERAGE(Sheet1!G769:G2106,Sheet1!D769:D2106)</f>
        <v>4853.9878371278483</v>
      </c>
      <c r="C771" s="3"/>
      <c r="J771" s="4" t="s">
        <v>7</v>
      </c>
      <c r="K771" s="4" t="s">
        <v>8</v>
      </c>
      <c r="L771" s="17">
        <f t="shared" si="22"/>
        <v>0</v>
      </c>
      <c r="M771" s="5">
        <f t="shared" si="23"/>
        <v>0</v>
      </c>
    </row>
    <row r="772" spans="1:13" ht="14.5">
      <c r="A772" s="3">
        <v>35</v>
      </c>
      <c r="B772" s="15">
        <f>AVERAGE(Sheet1!G770:G2107,Sheet1!D770:D2107)</f>
        <v>4857.9009298245628</v>
      </c>
      <c r="C772" s="3"/>
      <c r="J772" s="4" t="s">
        <v>10</v>
      </c>
      <c r="K772" s="4" t="s">
        <v>8</v>
      </c>
      <c r="L772" s="17">
        <f t="shared" si="22"/>
        <v>0</v>
      </c>
      <c r="M772" s="5">
        <f t="shared" si="23"/>
        <v>0</v>
      </c>
    </row>
    <row r="773" spans="1:13" ht="14.5">
      <c r="A773" s="3">
        <v>35</v>
      </c>
      <c r="B773" s="15">
        <f>AVERAGE(Sheet1!G771:G2108,Sheet1!D771:D2108)</f>
        <v>4847.9973374340971</v>
      </c>
      <c r="C773" s="3"/>
      <c r="J773" s="4" t="s">
        <v>7</v>
      </c>
      <c r="K773" s="4" t="s">
        <v>11</v>
      </c>
      <c r="L773" s="17">
        <f t="shared" si="22"/>
        <v>1</v>
      </c>
      <c r="M773" s="5">
        <f t="shared" si="23"/>
        <v>0</v>
      </c>
    </row>
    <row r="774" spans="1:13" ht="14.5">
      <c r="A774" s="3">
        <v>35</v>
      </c>
      <c r="B774" s="15">
        <f>AVERAGE(Sheet1!G772:G2109,Sheet1!D772:D2109)</f>
        <v>4852.3493838028189</v>
      </c>
      <c r="C774" s="3"/>
      <c r="J774" s="4" t="s">
        <v>7</v>
      </c>
      <c r="K774" s="4" t="s">
        <v>8</v>
      </c>
      <c r="L774" s="17">
        <f t="shared" ref="L774:L837" si="24">IF(AND(J774="male", K774="yes"),1,0)</f>
        <v>0</v>
      </c>
      <c r="M774" s="5">
        <f t="shared" ref="M774:M837" si="25">IF(AND(J774="female", K774="yes"), 1, 0)</f>
        <v>0</v>
      </c>
    </row>
    <row r="775" spans="1:13" ht="14.5">
      <c r="A775" s="3">
        <v>35</v>
      </c>
      <c r="B775" s="15">
        <f>AVERAGE(Sheet1!G773:G2110,Sheet1!D773:D2110)</f>
        <v>4855.7495414462101</v>
      </c>
      <c r="C775" s="3"/>
      <c r="J775" s="4" t="s">
        <v>10</v>
      </c>
      <c r="K775" s="4" t="s">
        <v>8</v>
      </c>
      <c r="L775" s="17">
        <f t="shared" si="24"/>
        <v>0</v>
      </c>
      <c r="M775" s="5">
        <f t="shared" si="25"/>
        <v>0</v>
      </c>
    </row>
    <row r="776" spans="1:13" ht="14.5">
      <c r="A776" s="3">
        <v>35</v>
      </c>
      <c r="B776" s="15">
        <f>AVERAGE(Sheet1!G774:G2111,Sheet1!D774:D2111)</f>
        <v>4859.0902208480584</v>
      </c>
      <c r="C776" s="3"/>
      <c r="J776" s="4" t="s">
        <v>7</v>
      </c>
      <c r="K776" s="4" t="s">
        <v>8</v>
      </c>
      <c r="L776" s="17">
        <f t="shared" si="24"/>
        <v>0</v>
      </c>
      <c r="M776" s="5">
        <f t="shared" si="25"/>
        <v>0</v>
      </c>
    </row>
    <row r="777" spans="1:13" ht="14.5">
      <c r="A777" s="3">
        <v>35</v>
      </c>
      <c r="B777" s="15">
        <f>AVERAGE(Sheet1!G775:G2112,Sheet1!D775:D2112)</f>
        <v>4863.4750442477889</v>
      </c>
      <c r="C777" s="3"/>
      <c r="J777" s="4" t="s">
        <v>7</v>
      </c>
      <c r="K777" s="4" t="s">
        <v>8</v>
      </c>
      <c r="L777" s="17">
        <f t="shared" si="24"/>
        <v>0</v>
      </c>
      <c r="M777" s="5">
        <f t="shared" si="25"/>
        <v>0</v>
      </c>
    </row>
    <row r="778" spans="1:13" ht="14.5">
      <c r="A778" s="3">
        <v>35</v>
      </c>
      <c r="B778" s="15">
        <f>AVERAGE(Sheet1!G776:G2113,Sheet1!D776:D2113)</f>
        <v>4867.4512677304983</v>
      </c>
      <c r="C778" s="3"/>
      <c r="J778" s="4" t="s">
        <v>10</v>
      </c>
      <c r="K778" s="4" t="s">
        <v>8</v>
      </c>
      <c r="L778" s="17">
        <f t="shared" si="24"/>
        <v>0</v>
      </c>
      <c r="M778" s="5">
        <f t="shared" si="25"/>
        <v>0</v>
      </c>
    </row>
    <row r="779" spans="1:13" ht="14.5">
      <c r="A779" s="3">
        <v>35</v>
      </c>
      <c r="B779" s="15">
        <f>AVERAGE(Sheet1!G777:G2114,Sheet1!D777:D2114)</f>
        <v>4840.5849023090605</v>
      </c>
      <c r="C779" s="3"/>
      <c r="J779" s="4" t="s">
        <v>10</v>
      </c>
      <c r="K779" s="4" t="s">
        <v>11</v>
      </c>
      <c r="L779" s="17">
        <f t="shared" si="24"/>
        <v>0</v>
      </c>
      <c r="M779" s="5">
        <f t="shared" si="25"/>
        <v>1</v>
      </c>
    </row>
    <row r="780" spans="1:13" ht="14.5">
      <c r="A780" s="3">
        <v>35</v>
      </c>
      <c r="B780" s="15">
        <f>AVERAGE(Sheet1!G778:G2115,Sheet1!D778:D2115)</f>
        <v>4827.0298487544505</v>
      </c>
      <c r="C780" s="3"/>
      <c r="J780" s="4" t="s">
        <v>10</v>
      </c>
      <c r="K780" s="4" t="s">
        <v>8</v>
      </c>
      <c r="L780" s="17">
        <f t="shared" si="24"/>
        <v>0</v>
      </c>
      <c r="M780" s="5">
        <f t="shared" si="25"/>
        <v>0</v>
      </c>
    </row>
    <row r="781" spans="1:13" ht="14.5">
      <c r="A781" s="3">
        <v>35</v>
      </c>
      <c r="B781" s="15">
        <f>AVERAGE(Sheet1!G779:G2116,Sheet1!D779:D2116)</f>
        <v>4818.3748217468828</v>
      </c>
      <c r="C781" s="3"/>
      <c r="J781" s="4" t="s">
        <v>7</v>
      </c>
      <c r="K781" s="4" t="s">
        <v>11</v>
      </c>
      <c r="L781" s="17">
        <f t="shared" si="24"/>
        <v>1</v>
      </c>
      <c r="M781" s="5">
        <f t="shared" si="25"/>
        <v>0</v>
      </c>
    </row>
    <row r="782" spans="1:13" ht="14.5">
      <c r="A782" s="3">
        <v>35</v>
      </c>
      <c r="B782" s="15">
        <f>AVERAGE(Sheet1!G780:G2117,Sheet1!D780:D2117)</f>
        <v>4821.6778303571455</v>
      </c>
      <c r="C782" s="3"/>
      <c r="J782" s="4" t="s">
        <v>7</v>
      </c>
      <c r="K782" s="4" t="s">
        <v>8</v>
      </c>
      <c r="L782" s="17">
        <f t="shared" si="24"/>
        <v>0</v>
      </c>
      <c r="M782" s="5">
        <f t="shared" si="25"/>
        <v>0</v>
      </c>
    </row>
    <row r="783" spans="1:13" ht="14.5">
      <c r="A783" s="3">
        <v>35</v>
      </c>
      <c r="B783" s="15">
        <f>AVERAGE(Sheet1!G781:G2118,Sheet1!D781:D2118)</f>
        <v>4824.5634973166389</v>
      </c>
      <c r="C783" s="3"/>
      <c r="J783" s="4" t="s">
        <v>10</v>
      </c>
      <c r="K783" s="4" t="s">
        <v>8</v>
      </c>
      <c r="L783" s="17">
        <f t="shared" si="24"/>
        <v>0</v>
      </c>
      <c r="M783" s="5">
        <f t="shared" si="25"/>
        <v>0</v>
      </c>
    </row>
    <row r="784" spans="1:13" ht="14.5">
      <c r="A784" s="3">
        <v>35</v>
      </c>
      <c r="B784" s="15">
        <f>AVERAGE(Sheet1!G782:G2119,Sheet1!D782:D2119)</f>
        <v>4827.4710573476723</v>
      </c>
      <c r="C784" s="3"/>
      <c r="J784" s="4" t="s">
        <v>10</v>
      </c>
      <c r="K784" s="4" t="s">
        <v>8</v>
      </c>
      <c r="L784" s="17">
        <f t="shared" si="24"/>
        <v>0</v>
      </c>
      <c r="M784" s="5">
        <f t="shared" si="25"/>
        <v>0</v>
      </c>
    </row>
    <row r="785" spans="1:13" ht="14.5">
      <c r="A785" s="3">
        <v>35</v>
      </c>
      <c r="B785" s="15">
        <f>AVERAGE(Sheet1!G783:G2120,Sheet1!D783:D2120)</f>
        <v>4831.4286086175962</v>
      </c>
      <c r="C785" s="3"/>
      <c r="J785" s="4" t="s">
        <v>10</v>
      </c>
      <c r="K785" s="4" t="s">
        <v>8</v>
      </c>
      <c r="L785" s="17">
        <f t="shared" si="24"/>
        <v>0</v>
      </c>
      <c r="M785" s="5">
        <f t="shared" si="25"/>
        <v>0</v>
      </c>
    </row>
    <row r="786" spans="1:13" ht="14.5">
      <c r="A786" s="3">
        <v>35</v>
      </c>
      <c r="B786" s="15">
        <f>AVERAGE(Sheet1!G784:G2121,Sheet1!D784:D2121)</f>
        <v>4835.8490377697854</v>
      </c>
      <c r="C786" s="3"/>
      <c r="J786" s="4" t="s">
        <v>7</v>
      </c>
      <c r="K786" s="4" t="s">
        <v>8</v>
      </c>
      <c r="L786" s="17">
        <f t="shared" si="24"/>
        <v>0</v>
      </c>
      <c r="M786" s="5">
        <f t="shared" si="25"/>
        <v>0</v>
      </c>
    </row>
    <row r="787" spans="1:13" ht="14.5">
      <c r="A787" s="3">
        <v>35</v>
      </c>
      <c r="B787" s="15">
        <f>AVERAGE(Sheet1!G785:G2122,Sheet1!D785:D2122)</f>
        <v>4826.3326846846867</v>
      </c>
      <c r="C787" s="3"/>
      <c r="J787" s="4" t="s">
        <v>10</v>
      </c>
      <c r="K787" s="4" t="s">
        <v>11</v>
      </c>
      <c r="L787" s="17">
        <f t="shared" si="24"/>
        <v>0</v>
      </c>
      <c r="M787" s="5">
        <f t="shared" si="25"/>
        <v>1</v>
      </c>
    </row>
    <row r="788" spans="1:13" ht="14.5">
      <c r="A788" s="3">
        <v>35</v>
      </c>
      <c r="B788" s="15">
        <f>AVERAGE(Sheet1!G786:G2123,Sheet1!D786:D2123)</f>
        <v>4829.775054151627</v>
      </c>
      <c r="C788" s="3"/>
      <c r="J788" s="4" t="s">
        <v>10</v>
      </c>
      <c r="K788" s="4" t="s">
        <v>8</v>
      </c>
      <c r="L788" s="17">
        <f t="shared" si="24"/>
        <v>0</v>
      </c>
      <c r="M788" s="5">
        <f t="shared" si="25"/>
        <v>0</v>
      </c>
    </row>
    <row r="789" spans="1:13" ht="14.5">
      <c r="A789" s="3">
        <v>35</v>
      </c>
      <c r="B789" s="15">
        <f>AVERAGE(Sheet1!G787:G2124,Sheet1!D787:D2124)</f>
        <v>4833.4170886075963</v>
      </c>
      <c r="C789" s="3"/>
      <c r="J789" s="4" t="s">
        <v>10</v>
      </c>
      <c r="K789" s="4" t="s">
        <v>8</v>
      </c>
      <c r="L789" s="17">
        <f t="shared" si="24"/>
        <v>0</v>
      </c>
      <c r="M789" s="5">
        <f t="shared" si="25"/>
        <v>0</v>
      </c>
    </row>
    <row r="790" spans="1:13" ht="14.5">
      <c r="A790" s="3">
        <v>35</v>
      </c>
      <c r="B790" s="15">
        <f>AVERAGE(Sheet1!G788:G2125,Sheet1!D788:D2125)</f>
        <v>4837.4377807971032</v>
      </c>
      <c r="C790" s="3"/>
      <c r="J790" s="4" t="s">
        <v>10</v>
      </c>
      <c r="K790" s="4" t="s">
        <v>8</v>
      </c>
      <c r="L790" s="17">
        <f t="shared" si="24"/>
        <v>0</v>
      </c>
      <c r="M790" s="5">
        <f t="shared" si="25"/>
        <v>0</v>
      </c>
    </row>
    <row r="791" spans="1:13" ht="14.5">
      <c r="A791" s="3">
        <v>35</v>
      </c>
      <c r="B791" s="15">
        <f>AVERAGE(Sheet1!G789:G2126,Sheet1!D789:D2126)</f>
        <v>4841.5733303085317</v>
      </c>
      <c r="C791" s="3"/>
      <c r="J791" s="4" t="s">
        <v>7</v>
      </c>
      <c r="K791" s="4" t="s">
        <v>8</v>
      </c>
      <c r="L791" s="17">
        <f t="shared" si="24"/>
        <v>0</v>
      </c>
      <c r="M791" s="5">
        <f t="shared" si="25"/>
        <v>0</v>
      </c>
    </row>
    <row r="792" spans="1:13" ht="14.5">
      <c r="A792" s="3">
        <v>35</v>
      </c>
      <c r="B792" s="15">
        <f>AVERAGE(Sheet1!G790:G2127,Sheet1!D790:D2127)</f>
        <v>4846.0597818181841</v>
      </c>
      <c r="C792" s="3"/>
      <c r="J792" s="4" t="s">
        <v>7</v>
      </c>
      <c r="K792" s="4" t="s">
        <v>8</v>
      </c>
      <c r="L792" s="17">
        <f t="shared" si="24"/>
        <v>0</v>
      </c>
      <c r="M792" s="5">
        <f t="shared" si="25"/>
        <v>0</v>
      </c>
    </row>
    <row r="793" spans="1:13" ht="14.5">
      <c r="A793" s="3">
        <v>34</v>
      </c>
      <c r="B793" s="15">
        <f>AVERAGE(Sheet1!G791:G2128,Sheet1!D791:D2128)</f>
        <v>4837.1266302367967</v>
      </c>
      <c r="C793" s="3"/>
      <c r="J793" s="4" t="s">
        <v>7</v>
      </c>
      <c r="K793" s="4" t="s">
        <v>8</v>
      </c>
      <c r="L793" s="17">
        <f t="shared" si="24"/>
        <v>0</v>
      </c>
      <c r="M793" s="5">
        <f t="shared" si="25"/>
        <v>0</v>
      </c>
    </row>
    <row r="794" spans="1:13" ht="14.5">
      <c r="A794" s="3">
        <v>34</v>
      </c>
      <c r="B794" s="15">
        <f>AVERAGE(Sheet1!G792:G2129,Sheet1!D792:D2129)</f>
        <v>4811.5530656934334</v>
      </c>
      <c r="C794" s="3"/>
      <c r="J794" s="4" t="s">
        <v>10</v>
      </c>
      <c r="K794" s="4" t="s">
        <v>11</v>
      </c>
      <c r="L794" s="17">
        <f t="shared" si="24"/>
        <v>0</v>
      </c>
      <c r="M794" s="5">
        <f t="shared" si="25"/>
        <v>1</v>
      </c>
    </row>
    <row r="795" spans="1:13" ht="14.5">
      <c r="A795" s="3">
        <v>34</v>
      </c>
      <c r="B795" s="15">
        <f>AVERAGE(Sheet1!G793:G2130,Sheet1!D793:D2130)</f>
        <v>4814.8726142595997</v>
      </c>
      <c r="C795" s="3"/>
      <c r="J795" s="4" t="s">
        <v>10</v>
      </c>
      <c r="K795" s="4" t="s">
        <v>8</v>
      </c>
      <c r="L795" s="17">
        <f t="shared" si="24"/>
        <v>0</v>
      </c>
      <c r="M795" s="5">
        <f t="shared" si="25"/>
        <v>0</v>
      </c>
    </row>
    <row r="796" spans="1:13" ht="14.5">
      <c r="A796" s="3">
        <v>34</v>
      </c>
      <c r="B796" s="15">
        <f>AVERAGE(Sheet1!G794:G2131,Sheet1!D794:D2131)</f>
        <v>4819.1078663003691</v>
      </c>
      <c r="C796" s="3"/>
      <c r="J796" s="4" t="s">
        <v>10</v>
      </c>
      <c r="K796" s="4" t="s">
        <v>8</v>
      </c>
      <c r="L796" s="17">
        <f t="shared" si="24"/>
        <v>0</v>
      </c>
      <c r="M796" s="5">
        <f t="shared" si="25"/>
        <v>0</v>
      </c>
    </row>
    <row r="797" spans="1:13" ht="14.5">
      <c r="A797" s="3">
        <v>34</v>
      </c>
      <c r="B797" s="15">
        <f>AVERAGE(Sheet1!G795:G2132,Sheet1!D795:D2132)</f>
        <v>4802.832926605508</v>
      </c>
      <c r="C797" s="3"/>
      <c r="J797" s="4" t="s">
        <v>7</v>
      </c>
      <c r="K797" s="4" t="s">
        <v>8</v>
      </c>
      <c r="L797" s="17">
        <f t="shared" si="24"/>
        <v>0</v>
      </c>
      <c r="M797" s="5">
        <f t="shared" si="25"/>
        <v>0</v>
      </c>
    </row>
    <row r="798" spans="1:13" ht="14.5">
      <c r="A798" s="3">
        <v>34</v>
      </c>
      <c r="B798" s="15">
        <f>AVERAGE(Sheet1!G796:G2133,Sheet1!D796:D2133)</f>
        <v>4794.2218658088268</v>
      </c>
      <c r="C798" s="3"/>
      <c r="J798" s="4" t="s">
        <v>7</v>
      </c>
      <c r="K798" s="4" t="s">
        <v>11</v>
      </c>
      <c r="L798" s="17">
        <f t="shared" si="24"/>
        <v>1</v>
      </c>
      <c r="M798" s="5">
        <f t="shared" si="25"/>
        <v>0</v>
      </c>
    </row>
    <row r="799" spans="1:13" ht="14.5">
      <c r="A799" s="3">
        <v>34</v>
      </c>
      <c r="B799" s="15">
        <f>AVERAGE(Sheet1!G797:G2134,Sheet1!D797:D2134)</f>
        <v>4798.4434714548834</v>
      </c>
      <c r="C799" s="3"/>
      <c r="J799" s="4" t="s">
        <v>10</v>
      </c>
      <c r="K799" s="4" t="s">
        <v>8</v>
      </c>
      <c r="L799" s="17">
        <f t="shared" si="24"/>
        <v>0</v>
      </c>
      <c r="M799" s="5">
        <f t="shared" si="25"/>
        <v>0</v>
      </c>
    </row>
    <row r="800" spans="1:13" ht="14.5">
      <c r="A800" s="3">
        <v>34</v>
      </c>
      <c r="B800" s="15">
        <f>AVERAGE(Sheet1!G798:G2135,Sheet1!D798:D2135)</f>
        <v>4802.6717158671609</v>
      </c>
      <c r="C800" s="3"/>
      <c r="J800" s="4" t="s">
        <v>10</v>
      </c>
      <c r="K800" s="4" t="s">
        <v>8</v>
      </c>
      <c r="L800" s="17">
        <f t="shared" si="24"/>
        <v>0</v>
      </c>
      <c r="M800" s="5">
        <f t="shared" si="25"/>
        <v>0</v>
      </c>
    </row>
    <row r="801" spans="1:13" ht="14.5">
      <c r="A801" s="3">
        <v>34</v>
      </c>
      <c r="B801" s="15">
        <f>AVERAGE(Sheet1!G799:G2136,Sheet1!D799:D2136)</f>
        <v>4807.0243900184869</v>
      </c>
      <c r="C801" s="3"/>
      <c r="J801" s="4" t="s">
        <v>7</v>
      </c>
      <c r="K801" s="4" t="s">
        <v>8</v>
      </c>
      <c r="L801" s="17">
        <f t="shared" si="24"/>
        <v>0</v>
      </c>
      <c r="M801" s="5">
        <f t="shared" si="25"/>
        <v>0</v>
      </c>
    </row>
    <row r="802" spans="1:13" ht="14.5">
      <c r="A802" s="3">
        <v>34</v>
      </c>
      <c r="B802" s="15">
        <f>AVERAGE(Sheet1!G800:G2137,Sheet1!D800:D2137)</f>
        <v>4783.0636574074097</v>
      </c>
      <c r="C802" s="3"/>
      <c r="J802" s="4" t="s">
        <v>7</v>
      </c>
      <c r="K802" s="4" t="s">
        <v>11</v>
      </c>
      <c r="L802" s="17">
        <f t="shared" si="24"/>
        <v>1</v>
      </c>
      <c r="M802" s="5">
        <f t="shared" si="25"/>
        <v>0</v>
      </c>
    </row>
    <row r="803" spans="1:13" ht="14.5">
      <c r="A803" s="3">
        <v>34</v>
      </c>
      <c r="B803" s="15">
        <f>AVERAGE(Sheet1!G801:G2138,Sheet1!D801:D2138)</f>
        <v>4786.1980055658651</v>
      </c>
      <c r="C803" s="3"/>
      <c r="J803" s="4" t="s">
        <v>10</v>
      </c>
      <c r="K803" s="4" t="s">
        <v>8</v>
      </c>
      <c r="L803" s="17">
        <f t="shared" si="24"/>
        <v>0</v>
      </c>
      <c r="M803" s="5">
        <f t="shared" si="25"/>
        <v>0</v>
      </c>
    </row>
    <row r="804" spans="1:13" ht="14.5">
      <c r="A804" s="3">
        <v>34</v>
      </c>
      <c r="B804" s="15">
        <f>AVERAGE(Sheet1!G802:G2139,Sheet1!D802:D2139)</f>
        <v>4789.3327137546494</v>
      </c>
      <c r="C804" s="3"/>
      <c r="J804" s="4" t="s">
        <v>10</v>
      </c>
      <c r="K804" s="4" t="s">
        <v>8</v>
      </c>
      <c r="L804" s="17">
        <f t="shared" si="24"/>
        <v>0</v>
      </c>
      <c r="M804" s="5">
        <f t="shared" si="25"/>
        <v>0</v>
      </c>
    </row>
    <row r="805" spans="1:13" ht="14.5">
      <c r="A805" s="3">
        <v>34</v>
      </c>
      <c r="B805" s="15">
        <f>AVERAGE(Sheet1!G803:G2140,Sheet1!D803:D2140)</f>
        <v>4794.5873556797051</v>
      </c>
      <c r="C805" s="3"/>
      <c r="J805" s="4" t="s">
        <v>7</v>
      </c>
      <c r="K805" s="4" t="s">
        <v>8</v>
      </c>
      <c r="L805" s="17">
        <f t="shared" si="24"/>
        <v>0</v>
      </c>
      <c r="M805" s="5">
        <f t="shared" si="25"/>
        <v>0</v>
      </c>
    </row>
    <row r="806" spans="1:13" ht="14.5">
      <c r="A806" s="3">
        <v>34</v>
      </c>
      <c r="B806" s="15">
        <f>AVERAGE(Sheet1!G804:G2141,Sheet1!D804:D2141)</f>
        <v>4762.5391231343292</v>
      </c>
      <c r="C806" s="3"/>
      <c r="J806" s="4" t="s">
        <v>10</v>
      </c>
      <c r="K806" s="4" t="s">
        <v>11</v>
      </c>
      <c r="L806" s="17">
        <f t="shared" si="24"/>
        <v>0</v>
      </c>
      <c r="M806" s="5">
        <f t="shared" si="25"/>
        <v>1</v>
      </c>
    </row>
    <row r="807" spans="1:13" ht="14.5">
      <c r="A807" s="3">
        <v>34</v>
      </c>
      <c r="B807" s="15">
        <f>AVERAGE(Sheet1!G805:G2142,Sheet1!D805:D2142)</f>
        <v>4766.2112990654223</v>
      </c>
      <c r="C807" s="3"/>
      <c r="J807" s="4" t="s">
        <v>10</v>
      </c>
      <c r="K807" s="4" t="s">
        <v>8</v>
      </c>
      <c r="L807" s="17">
        <f t="shared" si="24"/>
        <v>0</v>
      </c>
      <c r="M807" s="5">
        <f t="shared" si="25"/>
        <v>0</v>
      </c>
    </row>
    <row r="808" spans="1:13" ht="14.5">
      <c r="A808" s="3">
        <v>34</v>
      </c>
      <c r="B808" s="15">
        <f>AVERAGE(Sheet1!G806:G2143,Sheet1!D806:D2143)</f>
        <v>4768.8109082397013</v>
      </c>
      <c r="C808" s="3"/>
      <c r="J808" s="4" t="s">
        <v>10</v>
      </c>
      <c r="K808" s="4" t="s">
        <v>8</v>
      </c>
      <c r="L808" s="17">
        <f t="shared" si="24"/>
        <v>0</v>
      </c>
      <c r="M808" s="5">
        <f t="shared" si="25"/>
        <v>0</v>
      </c>
    </row>
    <row r="809" spans="1:13" ht="14.5">
      <c r="A809" s="3">
        <v>34</v>
      </c>
      <c r="B809" s="15">
        <f>AVERAGE(Sheet1!G807:G2144,Sheet1!D807:D2144)</f>
        <v>4772.7051688555366</v>
      </c>
      <c r="C809" s="3"/>
      <c r="J809" s="4" t="s">
        <v>10</v>
      </c>
      <c r="K809" s="4" t="s">
        <v>8</v>
      </c>
      <c r="L809" s="17">
        <f t="shared" si="24"/>
        <v>0</v>
      </c>
      <c r="M809" s="5">
        <f t="shared" si="25"/>
        <v>0</v>
      </c>
    </row>
    <row r="810" spans="1:13" ht="14.5">
      <c r="A810" s="3">
        <v>34</v>
      </c>
      <c r="B810" s="15">
        <f>AVERAGE(Sheet1!G808:G2145,Sheet1!D808:D2145)</f>
        <v>4770.642725563911</v>
      </c>
      <c r="C810" s="3"/>
      <c r="J810" s="4" t="s">
        <v>7</v>
      </c>
      <c r="K810" s="4" t="s">
        <v>8</v>
      </c>
      <c r="L810" s="17">
        <f t="shared" si="24"/>
        <v>0</v>
      </c>
      <c r="M810" s="5">
        <f t="shared" si="25"/>
        <v>0</v>
      </c>
    </row>
    <row r="811" spans="1:13" ht="14.5">
      <c r="A811" s="3">
        <v>34</v>
      </c>
      <c r="B811" s="15">
        <f>AVERAGE(Sheet1!G809:G2146,Sheet1!D809:D2146)</f>
        <v>4775.5588041431274</v>
      </c>
      <c r="C811" s="3"/>
      <c r="J811" s="4" t="s">
        <v>7</v>
      </c>
      <c r="K811" s="4" t="s">
        <v>8</v>
      </c>
      <c r="L811" s="17">
        <f t="shared" si="24"/>
        <v>0</v>
      </c>
      <c r="M811" s="5">
        <f t="shared" si="25"/>
        <v>0</v>
      </c>
    </row>
    <row r="812" spans="1:13" ht="14.5">
      <c r="A812" s="3">
        <v>34</v>
      </c>
      <c r="B812" s="15">
        <f>AVERAGE(Sheet1!G810:G2147,Sheet1!D810:D2147)</f>
        <v>4765.6913396226428</v>
      </c>
      <c r="C812" s="3"/>
      <c r="J812" s="4" t="s">
        <v>7</v>
      </c>
      <c r="K812" s="4" t="s">
        <v>11</v>
      </c>
      <c r="L812" s="17">
        <f t="shared" si="24"/>
        <v>1</v>
      </c>
      <c r="M812" s="5">
        <f t="shared" si="25"/>
        <v>0</v>
      </c>
    </row>
    <row r="813" spans="1:13" ht="14.5">
      <c r="A813" s="3">
        <v>34</v>
      </c>
      <c r="B813" s="15">
        <f>AVERAGE(Sheet1!G811:G2148,Sheet1!D811:D2148)</f>
        <v>4769.981512287336</v>
      </c>
      <c r="C813" s="3"/>
      <c r="J813" s="4" t="s">
        <v>10</v>
      </c>
      <c r="K813" s="4" t="s">
        <v>8</v>
      </c>
      <c r="L813" s="17">
        <f t="shared" si="24"/>
        <v>0</v>
      </c>
      <c r="M813" s="5">
        <f t="shared" si="25"/>
        <v>0</v>
      </c>
    </row>
    <row r="814" spans="1:13" ht="14.5">
      <c r="A814" s="3">
        <v>34</v>
      </c>
      <c r="B814" s="15">
        <f>AVERAGE(Sheet1!G812:G2149,Sheet1!D812:D2149)</f>
        <v>4774.7538825757592</v>
      </c>
      <c r="C814" s="3"/>
      <c r="J814" s="4" t="s">
        <v>7</v>
      </c>
      <c r="K814" s="4" t="s">
        <v>8</v>
      </c>
      <c r="L814" s="17">
        <f t="shared" si="24"/>
        <v>0</v>
      </c>
      <c r="M814" s="5">
        <f t="shared" si="25"/>
        <v>0</v>
      </c>
    </row>
    <row r="815" spans="1:13" ht="14.5">
      <c r="A815" s="3">
        <v>34</v>
      </c>
      <c r="B815" s="15">
        <f>AVERAGE(Sheet1!G813:G2150,Sheet1!D813:D2150)</f>
        <v>4779.52682163188</v>
      </c>
      <c r="C815" s="3"/>
      <c r="J815" s="4" t="s">
        <v>7</v>
      </c>
      <c r="K815" s="4" t="s">
        <v>8</v>
      </c>
      <c r="L815" s="17">
        <f t="shared" si="24"/>
        <v>0</v>
      </c>
      <c r="M815" s="5">
        <f t="shared" si="25"/>
        <v>0</v>
      </c>
    </row>
    <row r="816" spans="1:13" ht="14.5">
      <c r="A816" s="3">
        <v>34</v>
      </c>
      <c r="B816" s="15">
        <f>AVERAGE(Sheet1!G814:G2151,Sheet1!D814:D2151)</f>
        <v>4774.9637927756676</v>
      </c>
      <c r="C816" s="3"/>
      <c r="J816" s="4" t="s">
        <v>7</v>
      </c>
      <c r="K816" s="4" t="s">
        <v>8</v>
      </c>
      <c r="L816" s="17">
        <f t="shared" si="24"/>
        <v>0</v>
      </c>
      <c r="M816" s="5">
        <f t="shared" si="25"/>
        <v>0</v>
      </c>
    </row>
    <row r="817" spans="1:13" ht="14.5">
      <c r="A817" s="3">
        <v>34</v>
      </c>
      <c r="B817" s="15">
        <f>AVERAGE(Sheet1!G815:G2152,Sheet1!D815:D2152)</f>
        <v>4779.1768761904787</v>
      </c>
      <c r="C817" s="3"/>
      <c r="J817" s="4" t="s">
        <v>7</v>
      </c>
      <c r="K817" s="4" t="s">
        <v>8</v>
      </c>
      <c r="L817" s="17">
        <f t="shared" si="24"/>
        <v>0</v>
      </c>
      <c r="M817" s="5">
        <f t="shared" si="25"/>
        <v>0</v>
      </c>
    </row>
    <row r="818" spans="1:13" ht="14.5">
      <c r="A818" s="3">
        <v>34</v>
      </c>
      <c r="B818" s="15">
        <f>AVERAGE(Sheet1!G816:G2153,Sheet1!D816:D2153)</f>
        <v>4784.0845038167963</v>
      </c>
      <c r="C818" s="3"/>
      <c r="J818" s="4" t="s">
        <v>10</v>
      </c>
      <c r="K818" s="4" t="s">
        <v>8</v>
      </c>
      <c r="L818" s="17">
        <f t="shared" si="24"/>
        <v>0</v>
      </c>
      <c r="M818" s="5">
        <f t="shared" si="25"/>
        <v>0</v>
      </c>
    </row>
    <row r="819" spans="1:13" ht="14.5">
      <c r="A819" s="3">
        <v>33</v>
      </c>
      <c r="B819" s="15">
        <f>AVERAGE(Sheet1!G817:G2154,Sheet1!D817:D2154)</f>
        <v>4788.8941682600407</v>
      </c>
      <c r="C819" s="3"/>
      <c r="J819" s="4" t="s">
        <v>7</v>
      </c>
      <c r="K819" s="4" t="s">
        <v>8</v>
      </c>
      <c r="L819" s="17">
        <f t="shared" si="24"/>
        <v>0</v>
      </c>
      <c r="M819" s="5">
        <f t="shared" si="25"/>
        <v>0</v>
      </c>
    </row>
    <row r="820" spans="1:13" ht="14.5">
      <c r="A820" s="3">
        <v>33</v>
      </c>
      <c r="B820" s="15">
        <f>AVERAGE(Sheet1!G818:G2155,Sheet1!D818:D2155)</f>
        <v>4777.0103735632201</v>
      </c>
      <c r="C820" s="3"/>
      <c r="J820" s="4" t="s">
        <v>7</v>
      </c>
      <c r="K820" s="4" t="s">
        <v>8</v>
      </c>
      <c r="L820" s="17">
        <f t="shared" si="24"/>
        <v>0</v>
      </c>
      <c r="M820" s="5">
        <f t="shared" si="25"/>
        <v>0</v>
      </c>
    </row>
    <row r="821" spans="1:13" ht="14.5">
      <c r="A821" s="3">
        <v>33</v>
      </c>
      <c r="B821" s="15">
        <f>AVERAGE(Sheet1!G819:G2156,Sheet1!D819:D2156)</f>
        <v>4781.0400767754336</v>
      </c>
      <c r="C821" s="3"/>
      <c r="J821" s="4" t="s">
        <v>10</v>
      </c>
      <c r="K821" s="4" t="s">
        <v>8</v>
      </c>
      <c r="L821" s="17">
        <f t="shared" si="24"/>
        <v>0</v>
      </c>
      <c r="M821" s="5">
        <f t="shared" si="25"/>
        <v>0</v>
      </c>
    </row>
    <row r="822" spans="1:13" ht="14.5">
      <c r="A822" s="3">
        <v>33</v>
      </c>
      <c r="B822" s="15">
        <f>AVERAGE(Sheet1!G820:G2157,Sheet1!D820:D2157)</f>
        <v>4785.5305384615403</v>
      </c>
      <c r="C822" s="3"/>
      <c r="J822" s="4" t="s">
        <v>7</v>
      </c>
      <c r="K822" s="4" t="s">
        <v>8</v>
      </c>
      <c r="L822" s="17">
        <f t="shared" si="24"/>
        <v>0</v>
      </c>
      <c r="M822" s="5">
        <f t="shared" si="25"/>
        <v>0</v>
      </c>
    </row>
    <row r="823" spans="1:13" ht="14.5">
      <c r="A823" s="3">
        <v>33</v>
      </c>
      <c r="B823" s="15">
        <f>AVERAGE(Sheet1!G821:G2158,Sheet1!D821:D2158)</f>
        <v>4782.8004624277464</v>
      </c>
      <c r="C823" s="3"/>
      <c r="J823" s="4" t="s">
        <v>7</v>
      </c>
      <c r="K823" s="4" t="s">
        <v>8</v>
      </c>
      <c r="L823" s="17">
        <f t="shared" si="24"/>
        <v>0</v>
      </c>
      <c r="M823" s="5">
        <f t="shared" si="25"/>
        <v>0</v>
      </c>
    </row>
    <row r="824" spans="1:13" ht="14.5">
      <c r="A824" s="3">
        <v>33</v>
      </c>
      <c r="B824" s="15">
        <f>AVERAGE(Sheet1!G822:G2159,Sheet1!D822:D2159)</f>
        <v>4787.9939961389973</v>
      </c>
      <c r="C824" s="3"/>
      <c r="J824" s="4" t="s">
        <v>10</v>
      </c>
      <c r="K824" s="4" t="s">
        <v>8</v>
      </c>
      <c r="L824" s="17">
        <f t="shared" si="24"/>
        <v>0</v>
      </c>
      <c r="M824" s="5">
        <f t="shared" si="25"/>
        <v>0</v>
      </c>
    </row>
    <row r="825" spans="1:13" ht="14.5">
      <c r="A825" s="3">
        <v>33</v>
      </c>
      <c r="B825" s="15">
        <f>AVERAGE(Sheet1!G823:G2160,Sheet1!D823:D2160)</f>
        <v>4761.394980657642</v>
      </c>
      <c r="C825" s="3"/>
      <c r="J825" s="4" t="s">
        <v>10</v>
      </c>
      <c r="K825" s="4" t="s">
        <v>11</v>
      </c>
      <c r="L825" s="17">
        <f t="shared" si="24"/>
        <v>0</v>
      </c>
      <c r="M825" s="5">
        <f t="shared" si="25"/>
        <v>1</v>
      </c>
    </row>
    <row r="826" spans="1:13" ht="14.5">
      <c r="A826" s="3">
        <v>33</v>
      </c>
      <c r="B826" s="15">
        <f>AVERAGE(Sheet1!G824:G2161,Sheet1!D824:D2161)</f>
        <v>4764.8323934108539</v>
      </c>
      <c r="C826" s="3"/>
      <c r="J826" s="4" t="s">
        <v>10</v>
      </c>
      <c r="K826" s="4" t="s">
        <v>8</v>
      </c>
      <c r="L826" s="17">
        <f t="shared" si="24"/>
        <v>0</v>
      </c>
      <c r="M826" s="5">
        <f t="shared" si="25"/>
        <v>0</v>
      </c>
    </row>
    <row r="827" spans="1:13" ht="14.5">
      <c r="A827" s="3">
        <v>33</v>
      </c>
      <c r="B827" s="15">
        <f>AVERAGE(Sheet1!G825:G2162,Sheet1!D825:D2162)</f>
        <v>4769.4431359223317</v>
      </c>
      <c r="C827" s="3"/>
      <c r="J827" s="4" t="s">
        <v>10</v>
      </c>
      <c r="K827" s="4" t="s">
        <v>8</v>
      </c>
      <c r="L827" s="17">
        <f t="shared" si="24"/>
        <v>0</v>
      </c>
      <c r="M827" s="5">
        <f t="shared" si="25"/>
        <v>0</v>
      </c>
    </row>
    <row r="828" spans="1:13" ht="14.5">
      <c r="A828" s="3">
        <v>33</v>
      </c>
      <c r="B828" s="15">
        <f>AVERAGE(Sheet1!G826:G2163,Sheet1!D826:D2163)</f>
        <v>4767.7030350194564</v>
      </c>
      <c r="C828" s="3"/>
      <c r="J828" s="4" t="s">
        <v>7</v>
      </c>
      <c r="K828" s="4" t="s">
        <v>8</v>
      </c>
      <c r="L828" s="17">
        <f t="shared" si="24"/>
        <v>0</v>
      </c>
      <c r="M828" s="5">
        <f t="shared" si="25"/>
        <v>0</v>
      </c>
    </row>
    <row r="829" spans="1:13" ht="14.5">
      <c r="A829" s="3">
        <v>33</v>
      </c>
      <c r="B829" s="15">
        <f>AVERAGE(Sheet1!G827:G2164,Sheet1!D827:D2164)</f>
        <v>4770.494619883043</v>
      </c>
      <c r="C829" s="3"/>
      <c r="J829" s="4" t="s">
        <v>7</v>
      </c>
      <c r="K829" s="4" t="s">
        <v>8</v>
      </c>
      <c r="L829" s="17">
        <f t="shared" si="24"/>
        <v>0</v>
      </c>
      <c r="M829" s="5">
        <f t="shared" si="25"/>
        <v>0</v>
      </c>
    </row>
    <row r="830" spans="1:13" ht="14.5">
      <c r="A830" s="3">
        <v>33</v>
      </c>
      <c r="B830" s="15">
        <f>AVERAGE(Sheet1!G828:G2165,Sheet1!D828:D2165)</f>
        <v>4775.1566992187518</v>
      </c>
      <c r="C830" s="3"/>
      <c r="J830" s="4" t="s">
        <v>10</v>
      </c>
      <c r="K830" s="4" t="s">
        <v>8</v>
      </c>
      <c r="L830" s="17">
        <f t="shared" si="24"/>
        <v>0</v>
      </c>
      <c r="M830" s="5">
        <f t="shared" si="25"/>
        <v>0</v>
      </c>
    </row>
    <row r="831" spans="1:13" ht="14.5">
      <c r="A831" s="3">
        <v>33</v>
      </c>
      <c r="B831" s="15">
        <f>AVERAGE(Sheet1!G829:G2166,Sheet1!D829:D2166)</f>
        <v>4779.2401369863028</v>
      </c>
      <c r="C831" s="3"/>
      <c r="J831" s="4" t="s">
        <v>10</v>
      </c>
      <c r="K831" s="4" t="s">
        <v>8</v>
      </c>
      <c r="L831" s="17">
        <f t="shared" si="24"/>
        <v>0</v>
      </c>
      <c r="M831" s="5">
        <f t="shared" si="25"/>
        <v>0</v>
      </c>
    </row>
    <row r="832" spans="1:13" ht="14.5">
      <c r="A832" s="3">
        <v>33</v>
      </c>
      <c r="B832" s="15">
        <f>AVERAGE(Sheet1!G830:G2167,Sheet1!D830:D2167)</f>
        <v>4769.9426862745113</v>
      </c>
      <c r="C832" s="3"/>
      <c r="J832" s="4" t="s">
        <v>7</v>
      </c>
      <c r="K832" s="4" t="s">
        <v>11</v>
      </c>
      <c r="L832" s="17">
        <f t="shared" si="24"/>
        <v>1</v>
      </c>
      <c r="M832" s="5">
        <f t="shared" si="25"/>
        <v>0</v>
      </c>
    </row>
    <row r="833" spans="1:13" ht="14.5">
      <c r="A833" s="3">
        <v>33</v>
      </c>
      <c r="B833" s="15">
        <f>AVERAGE(Sheet1!G831:G2168,Sheet1!D831:D2168)</f>
        <v>4761.7259430255408</v>
      </c>
      <c r="C833" s="3"/>
      <c r="J833" s="4" t="s">
        <v>7</v>
      </c>
      <c r="K833" s="4" t="s">
        <v>11</v>
      </c>
      <c r="L833" s="17">
        <f t="shared" si="24"/>
        <v>1</v>
      </c>
      <c r="M833" s="5">
        <f t="shared" si="25"/>
        <v>0</v>
      </c>
    </row>
    <row r="834" spans="1:13" ht="14.5">
      <c r="A834" s="3">
        <v>33</v>
      </c>
      <c r="B834" s="15">
        <f>AVERAGE(Sheet1!G832:G2169,Sheet1!D832:D2169)</f>
        <v>4764.8356496063006</v>
      </c>
      <c r="C834" s="3"/>
      <c r="J834" s="4" t="s">
        <v>10</v>
      </c>
      <c r="K834" s="4" t="s">
        <v>8</v>
      </c>
      <c r="L834" s="17">
        <f t="shared" si="24"/>
        <v>0</v>
      </c>
      <c r="M834" s="5">
        <f t="shared" si="25"/>
        <v>0</v>
      </c>
    </row>
    <row r="835" spans="1:13" ht="14.5">
      <c r="A835" s="3">
        <v>33</v>
      </c>
      <c r="B835" s="15">
        <f>AVERAGE(Sheet1!G833:G2170,Sheet1!D833:D2170)</f>
        <v>4719.8595857988175</v>
      </c>
      <c r="C835" s="3"/>
      <c r="J835" s="4" t="s">
        <v>10</v>
      </c>
      <c r="K835" s="4" t="s">
        <v>11</v>
      </c>
      <c r="L835" s="17">
        <f t="shared" si="24"/>
        <v>0</v>
      </c>
      <c r="M835" s="5">
        <f t="shared" si="25"/>
        <v>1</v>
      </c>
    </row>
    <row r="836" spans="1:13" ht="14.5">
      <c r="A836" s="3">
        <v>33</v>
      </c>
      <c r="B836" s="15">
        <f>AVERAGE(Sheet1!G834:G2171,Sheet1!D834:D2171)</f>
        <v>4722.607539525693</v>
      </c>
      <c r="C836" s="3"/>
      <c r="J836" s="4" t="s">
        <v>7</v>
      </c>
      <c r="K836" s="4" t="s">
        <v>8</v>
      </c>
      <c r="L836" s="17">
        <f t="shared" si="24"/>
        <v>0</v>
      </c>
      <c r="M836" s="5">
        <f t="shared" si="25"/>
        <v>0</v>
      </c>
    </row>
    <row r="837" spans="1:13" ht="14.5">
      <c r="A837" s="3">
        <v>33</v>
      </c>
      <c r="B837" s="15">
        <f>AVERAGE(Sheet1!G835:G2172,Sheet1!D835:D2172)</f>
        <v>4726.7518019801992</v>
      </c>
      <c r="C837" s="3"/>
      <c r="J837" s="4" t="s">
        <v>7</v>
      </c>
      <c r="K837" s="4" t="s">
        <v>8</v>
      </c>
      <c r="L837" s="17">
        <f t="shared" si="24"/>
        <v>0</v>
      </c>
      <c r="M837" s="5">
        <f t="shared" si="25"/>
        <v>0</v>
      </c>
    </row>
    <row r="838" spans="1:13" ht="14.5">
      <c r="A838" s="3">
        <v>33</v>
      </c>
      <c r="B838" s="15">
        <f>AVERAGE(Sheet1!G836:G2173,Sheet1!D836:D2173)</f>
        <v>4729.6275496031758</v>
      </c>
      <c r="C838" s="3"/>
      <c r="J838" s="4" t="s">
        <v>10</v>
      </c>
      <c r="K838" s="4" t="s">
        <v>8</v>
      </c>
      <c r="L838" s="17">
        <f t="shared" ref="L838:L901" si="26">IF(AND(J838="male", K838="yes"),1,0)</f>
        <v>0</v>
      </c>
      <c r="M838" s="5">
        <f t="shared" ref="M838:M901" si="27">IF(AND(J838="female", K838="yes"), 1, 0)</f>
        <v>0</v>
      </c>
    </row>
    <row r="839" spans="1:13" ht="14.5">
      <c r="A839" s="3">
        <v>33</v>
      </c>
      <c r="B839" s="15">
        <f>AVERAGE(Sheet1!G837:G2174,Sheet1!D837:D2174)</f>
        <v>4722.352157057654</v>
      </c>
      <c r="C839" s="3"/>
      <c r="J839" s="4" t="s">
        <v>10</v>
      </c>
      <c r="K839" s="4" t="s">
        <v>11</v>
      </c>
      <c r="L839" s="17">
        <f t="shared" si="26"/>
        <v>0</v>
      </c>
      <c r="M839" s="5">
        <f t="shared" si="27"/>
        <v>1</v>
      </c>
    </row>
    <row r="840" spans="1:13" ht="14.5">
      <c r="A840" s="3">
        <v>33</v>
      </c>
      <c r="B840" s="15">
        <f>AVERAGE(Sheet1!G838:G2175,Sheet1!D838:D2175)</f>
        <v>4693.6280079681273</v>
      </c>
      <c r="C840" s="3"/>
      <c r="J840" s="4" t="s">
        <v>7</v>
      </c>
      <c r="K840" s="4" t="s">
        <v>11</v>
      </c>
      <c r="L840" s="17">
        <f t="shared" si="26"/>
        <v>1</v>
      </c>
      <c r="M840" s="5">
        <f t="shared" si="27"/>
        <v>0</v>
      </c>
    </row>
    <row r="841" spans="1:13" ht="14.5">
      <c r="A841" s="3">
        <v>33</v>
      </c>
      <c r="B841" s="15">
        <f>AVERAGE(Sheet1!G839:G2176,Sheet1!D839:D2176)</f>
        <v>4699.299570858283</v>
      </c>
      <c r="C841" s="3"/>
      <c r="J841" s="4" t="s">
        <v>7</v>
      </c>
      <c r="K841" s="4" t="s">
        <v>8</v>
      </c>
      <c r="L841" s="17">
        <f t="shared" si="26"/>
        <v>0</v>
      </c>
      <c r="M841" s="5">
        <f t="shared" si="27"/>
        <v>0</v>
      </c>
    </row>
    <row r="842" spans="1:13" ht="14.5">
      <c r="A842" s="3">
        <v>33</v>
      </c>
      <c r="B842" s="15">
        <f>AVERAGE(Sheet1!G840:G2177,Sheet1!D840:D2177)</f>
        <v>4703.9015099999997</v>
      </c>
      <c r="C842" s="3"/>
      <c r="J842" s="4" t="s">
        <v>10</v>
      </c>
      <c r="K842" s="4" t="s">
        <v>8</v>
      </c>
      <c r="L842" s="17">
        <f t="shared" si="26"/>
        <v>0</v>
      </c>
      <c r="M842" s="5">
        <f t="shared" si="27"/>
        <v>0</v>
      </c>
    </row>
    <row r="843" spans="1:13" ht="14.5">
      <c r="A843" s="3">
        <v>33</v>
      </c>
      <c r="B843" s="15">
        <f>AVERAGE(Sheet1!G841:G2178,Sheet1!D841:D2178)</f>
        <v>4707.2528456913824</v>
      </c>
      <c r="C843" s="3"/>
      <c r="J843" s="4" t="s">
        <v>7</v>
      </c>
      <c r="K843" s="4" t="s">
        <v>8</v>
      </c>
      <c r="L843" s="17">
        <f t="shared" si="26"/>
        <v>0</v>
      </c>
      <c r="M843" s="5">
        <f t="shared" si="27"/>
        <v>0</v>
      </c>
    </row>
    <row r="844" spans="1:13" ht="14.5">
      <c r="A844" s="3">
        <v>33</v>
      </c>
      <c r="B844" s="15">
        <f>AVERAGE(Sheet1!G842:G2179,Sheet1!D842:D2179)</f>
        <v>4711.4205522088341</v>
      </c>
      <c r="C844" s="3"/>
      <c r="J844" s="4" t="s">
        <v>7</v>
      </c>
      <c r="K844" s="4" t="s">
        <v>8</v>
      </c>
      <c r="L844" s="17">
        <f t="shared" si="26"/>
        <v>0</v>
      </c>
      <c r="M844" s="5">
        <f t="shared" si="27"/>
        <v>0</v>
      </c>
    </row>
    <row r="845" spans="1:13" ht="14.5">
      <c r="A845" s="3">
        <v>32</v>
      </c>
      <c r="B845" s="15">
        <f>AVERAGE(Sheet1!G843:G2180,Sheet1!D843:D2180)</f>
        <v>4716.3012676056342</v>
      </c>
      <c r="C845" s="3"/>
      <c r="J845" s="4" t="s">
        <v>10</v>
      </c>
      <c r="K845" s="4" t="s">
        <v>8</v>
      </c>
      <c r="L845" s="17">
        <f t="shared" si="26"/>
        <v>0</v>
      </c>
      <c r="M845" s="5">
        <f t="shared" si="27"/>
        <v>0</v>
      </c>
    </row>
    <row r="846" spans="1:13" ht="14.5">
      <c r="A846" s="3">
        <v>32</v>
      </c>
      <c r="B846" s="15">
        <f>AVERAGE(Sheet1!G844:G2181,Sheet1!D844:D2181)</f>
        <v>4721.91189516129</v>
      </c>
      <c r="C846" s="3"/>
      <c r="J846" s="4" t="s">
        <v>7</v>
      </c>
      <c r="K846" s="4" t="s">
        <v>8</v>
      </c>
      <c r="L846" s="17">
        <f t="shared" si="26"/>
        <v>0</v>
      </c>
      <c r="M846" s="5">
        <f t="shared" si="27"/>
        <v>0</v>
      </c>
    </row>
    <row r="847" spans="1:13" ht="14.5">
      <c r="A847" s="3">
        <v>32</v>
      </c>
      <c r="B847" s="15">
        <f>AVERAGE(Sheet1!G845:G2182,Sheet1!D845:D2182)</f>
        <v>4698.3842525252521</v>
      </c>
      <c r="C847" s="3"/>
      <c r="J847" s="4" t="s">
        <v>10</v>
      </c>
      <c r="K847" s="4" t="s">
        <v>11</v>
      </c>
      <c r="L847" s="17">
        <f t="shared" si="26"/>
        <v>0</v>
      </c>
      <c r="M847" s="5">
        <f t="shared" si="27"/>
        <v>1</v>
      </c>
    </row>
    <row r="848" spans="1:13" ht="14.5">
      <c r="A848" s="3">
        <v>32</v>
      </c>
      <c r="B848" s="15">
        <f>AVERAGE(Sheet1!G846:G2183,Sheet1!D846:D2183)</f>
        <v>4701.4808400809707</v>
      </c>
      <c r="C848" s="3"/>
      <c r="J848" s="4" t="s">
        <v>10</v>
      </c>
      <c r="K848" s="4" t="s">
        <v>8</v>
      </c>
      <c r="L848" s="17">
        <f t="shared" si="26"/>
        <v>0</v>
      </c>
      <c r="M848" s="5">
        <f t="shared" si="27"/>
        <v>0</v>
      </c>
    </row>
    <row r="849" spans="1:13" ht="14.5">
      <c r="A849" s="3">
        <v>32</v>
      </c>
      <c r="B849" s="15">
        <f>AVERAGE(Sheet1!G847:G2184,Sheet1!D847:D2184)</f>
        <v>4705.7899999999991</v>
      </c>
      <c r="C849" s="3"/>
      <c r="J849" s="4" t="s">
        <v>10</v>
      </c>
      <c r="K849" s="4" t="s">
        <v>8</v>
      </c>
      <c r="L849" s="17">
        <f t="shared" si="26"/>
        <v>0</v>
      </c>
      <c r="M849" s="5">
        <f t="shared" si="27"/>
        <v>0</v>
      </c>
    </row>
    <row r="850" spans="1:13" ht="14.5">
      <c r="A850" s="3">
        <v>32</v>
      </c>
      <c r="B850" s="15">
        <f>AVERAGE(Sheet1!G848:G2185,Sheet1!D848:D2185)</f>
        <v>4709.1231097560976</v>
      </c>
      <c r="C850" s="3"/>
      <c r="J850" s="4" t="s">
        <v>10</v>
      </c>
      <c r="K850" s="4" t="s">
        <v>8</v>
      </c>
      <c r="L850" s="17">
        <f t="shared" si="26"/>
        <v>0</v>
      </c>
      <c r="M850" s="5">
        <f t="shared" si="27"/>
        <v>0</v>
      </c>
    </row>
    <row r="851" spans="1:13" ht="14.5">
      <c r="A851" s="3">
        <v>32</v>
      </c>
      <c r="B851" s="15">
        <f>AVERAGE(Sheet1!G849:G2186,Sheet1!D849:D2186)</f>
        <v>4713.3611201629319</v>
      </c>
      <c r="C851" s="3"/>
      <c r="J851" s="4" t="s">
        <v>7</v>
      </c>
      <c r="K851" s="4" t="s">
        <v>8</v>
      </c>
      <c r="L851" s="17">
        <f t="shared" si="26"/>
        <v>0</v>
      </c>
      <c r="M851" s="5">
        <f t="shared" si="27"/>
        <v>0</v>
      </c>
    </row>
    <row r="852" spans="1:13" ht="14.5">
      <c r="A852" s="3">
        <v>32</v>
      </c>
      <c r="B852" s="15">
        <f>AVERAGE(Sheet1!G850:G2187,Sheet1!D850:D2187)</f>
        <v>4718.2163367346939</v>
      </c>
      <c r="C852" s="3"/>
      <c r="J852" s="4" t="s">
        <v>7</v>
      </c>
      <c r="K852" s="4" t="s">
        <v>8</v>
      </c>
      <c r="L852" s="17">
        <f t="shared" si="26"/>
        <v>0</v>
      </c>
      <c r="M852" s="5">
        <f t="shared" si="27"/>
        <v>0</v>
      </c>
    </row>
    <row r="853" spans="1:13" ht="14.5">
      <c r="A853" s="3">
        <v>32</v>
      </c>
      <c r="B853" s="15">
        <f>AVERAGE(Sheet1!G851:G2188,Sheet1!D851:D2188)</f>
        <v>4723.6979141104293</v>
      </c>
      <c r="C853" s="3"/>
      <c r="J853" s="4" t="s">
        <v>7</v>
      </c>
      <c r="K853" s="4" t="s">
        <v>8</v>
      </c>
      <c r="L853" s="17">
        <f t="shared" si="26"/>
        <v>0</v>
      </c>
      <c r="M853" s="5">
        <f t="shared" si="27"/>
        <v>0</v>
      </c>
    </row>
    <row r="854" spans="1:13" ht="14.5">
      <c r="A854" s="3">
        <v>32</v>
      </c>
      <c r="B854" s="15">
        <f>AVERAGE(Sheet1!G852:G2189,Sheet1!D852:D2189)</f>
        <v>4728.5739446721309</v>
      </c>
      <c r="C854" s="3"/>
      <c r="J854" s="4" t="s">
        <v>7</v>
      </c>
      <c r="K854" s="4" t="s">
        <v>8</v>
      </c>
      <c r="L854" s="17">
        <f t="shared" si="26"/>
        <v>0</v>
      </c>
      <c r="M854" s="5">
        <f t="shared" si="27"/>
        <v>0</v>
      </c>
    </row>
    <row r="855" spans="1:13" ht="14.5">
      <c r="A855" s="3">
        <v>32</v>
      </c>
      <c r="B855" s="15">
        <f>AVERAGE(Sheet1!G853:G2190,Sheet1!D853:D2190)</f>
        <v>4734.1827412731009</v>
      </c>
      <c r="C855" s="3"/>
      <c r="J855" s="4" t="s">
        <v>10</v>
      </c>
      <c r="K855" s="4" t="s">
        <v>8</v>
      </c>
      <c r="L855" s="17">
        <f t="shared" si="26"/>
        <v>0</v>
      </c>
      <c r="M855" s="5">
        <f t="shared" si="27"/>
        <v>0</v>
      </c>
    </row>
    <row r="856" spans="1:13" ht="14.5">
      <c r="A856" s="3">
        <v>32</v>
      </c>
      <c r="B856" s="15">
        <f>AVERAGE(Sheet1!G854:G2191,Sheet1!D854:D2191)</f>
        <v>4739.836491769548</v>
      </c>
      <c r="C856" s="3"/>
      <c r="J856" s="4" t="s">
        <v>10</v>
      </c>
      <c r="K856" s="4" t="s">
        <v>8</v>
      </c>
      <c r="L856" s="17">
        <f t="shared" si="26"/>
        <v>0</v>
      </c>
      <c r="M856" s="5">
        <f t="shared" si="27"/>
        <v>0</v>
      </c>
    </row>
    <row r="857" spans="1:13" ht="14.5">
      <c r="A857" s="3">
        <v>32</v>
      </c>
      <c r="B857" s="15">
        <f>AVERAGE(Sheet1!G855:G2192,Sheet1!D855:D2192)</f>
        <v>4731.4369381443294</v>
      </c>
      <c r="C857" s="3"/>
      <c r="J857" s="4" t="s">
        <v>10</v>
      </c>
      <c r="K857" s="4" t="s">
        <v>8</v>
      </c>
      <c r="L857" s="17">
        <f t="shared" si="26"/>
        <v>0</v>
      </c>
      <c r="M857" s="5">
        <f t="shared" si="27"/>
        <v>0</v>
      </c>
    </row>
    <row r="858" spans="1:13" ht="14.5">
      <c r="A858" s="3">
        <v>32</v>
      </c>
      <c r="B858" s="15">
        <f>AVERAGE(Sheet1!G856:G2193,Sheet1!D856:D2193)</f>
        <v>4735.8928512396687</v>
      </c>
      <c r="C858" s="3"/>
      <c r="J858" s="4" t="s">
        <v>10</v>
      </c>
      <c r="K858" s="4" t="s">
        <v>8</v>
      </c>
      <c r="L858" s="17">
        <f t="shared" si="26"/>
        <v>0</v>
      </c>
      <c r="M858" s="5">
        <f t="shared" si="27"/>
        <v>0</v>
      </c>
    </row>
    <row r="859" spans="1:13" ht="14.5">
      <c r="A859" s="3">
        <v>32</v>
      </c>
      <c r="B859" s="15">
        <f>AVERAGE(Sheet1!G857:G2194,Sheet1!D857:D2194)</f>
        <v>4725.2832194616967</v>
      </c>
      <c r="C859" s="3"/>
      <c r="J859" s="4" t="s">
        <v>7</v>
      </c>
      <c r="K859" s="4" t="s">
        <v>11</v>
      </c>
      <c r="L859" s="17">
        <f t="shared" si="26"/>
        <v>1</v>
      </c>
      <c r="M859" s="5">
        <f t="shared" si="27"/>
        <v>0</v>
      </c>
    </row>
    <row r="860" spans="1:13" ht="14.5">
      <c r="A860" s="3">
        <v>32</v>
      </c>
      <c r="B860" s="15">
        <f>AVERAGE(Sheet1!G858:G2195,Sheet1!D858:D2195)</f>
        <v>4716.937012448132</v>
      </c>
      <c r="C860" s="3"/>
      <c r="J860" s="4" t="s">
        <v>10</v>
      </c>
      <c r="K860" s="4" t="s">
        <v>11</v>
      </c>
      <c r="L860" s="17">
        <f t="shared" si="26"/>
        <v>0</v>
      </c>
      <c r="M860" s="5">
        <f t="shared" si="27"/>
        <v>1</v>
      </c>
    </row>
    <row r="861" spans="1:13" ht="14.5">
      <c r="A861" s="3">
        <v>32</v>
      </c>
      <c r="B861" s="15">
        <f>AVERAGE(Sheet1!G859:G2196,Sheet1!D859:D2196)</f>
        <v>4721.8834615384603</v>
      </c>
      <c r="C861" s="3"/>
      <c r="J861" s="4" t="s">
        <v>7</v>
      </c>
      <c r="K861" s="4" t="s">
        <v>8</v>
      </c>
      <c r="L861" s="17">
        <f t="shared" si="26"/>
        <v>0</v>
      </c>
      <c r="M861" s="5">
        <f t="shared" si="27"/>
        <v>0</v>
      </c>
    </row>
    <row r="862" spans="1:13" ht="14.5">
      <c r="A862" s="3">
        <v>32</v>
      </c>
      <c r="B862" s="15">
        <f>AVERAGE(Sheet1!G860:G2197,Sheet1!D860:D2197)</f>
        <v>4727.0710104166646</v>
      </c>
      <c r="C862" s="3"/>
      <c r="J862" s="4" t="s">
        <v>7</v>
      </c>
      <c r="K862" s="4" t="s">
        <v>8</v>
      </c>
      <c r="L862" s="17">
        <f t="shared" si="26"/>
        <v>0</v>
      </c>
      <c r="M862" s="5">
        <f t="shared" si="27"/>
        <v>0</v>
      </c>
    </row>
    <row r="863" spans="1:13" ht="14.5">
      <c r="A863" s="3">
        <v>32</v>
      </c>
      <c r="B863" s="15">
        <f>AVERAGE(Sheet1!G861:G2198,Sheet1!D861:D2198)</f>
        <v>4732.175709812107</v>
      </c>
      <c r="C863" s="3"/>
      <c r="J863" s="4" t="s">
        <v>10</v>
      </c>
      <c r="K863" s="4" t="s">
        <v>8</v>
      </c>
      <c r="L863" s="17">
        <f t="shared" si="26"/>
        <v>0</v>
      </c>
      <c r="M863" s="5">
        <f t="shared" si="27"/>
        <v>0</v>
      </c>
    </row>
    <row r="864" spans="1:13" ht="14.5">
      <c r="A864" s="3">
        <v>32</v>
      </c>
      <c r="B864" s="15">
        <f>AVERAGE(Sheet1!G862:G2199,Sheet1!D862:D2199)</f>
        <v>4737.4151987447676</v>
      </c>
      <c r="C864" s="3"/>
      <c r="J864" s="4" t="s">
        <v>7</v>
      </c>
      <c r="K864" s="4" t="s">
        <v>8</v>
      </c>
      <c r="L864" s="17">
        <f t="shared" si="26"/>
        <v>0</v>
      </c>
      <c r="M864" s="5">
        <f t="shared" si="27"/>
        <v>0</v>
      </c>
    </row>
    <row r="865" spans="1:13" ht="14.5">
      <c r="A865" s="3">
        <v>32</v>
      </c>
      <c r="B865" s="15">
        <f>AVERAGE(Sheet1!G863:G2200,Sheet1!D863:D2200)</f>
        <v>4743.0727777777756</v>
      </c>
      <c r="C865" s="3"/>
      <c r="J865" s="4" t="s">
        <v>7</v>
      </c>
      <c r="K865" s="4" t="s">
        <v>8</v>
      </c>
      <c r="L865" s="17">
        <f t="shared" si="26"/>
        <v>0</v>
      </c>
      <c r="M865" s="5">
        <f t="shared" si="27"/>
        <v>0</v>
      </c>
    </row>
    <row r="866" spans="1:13" ht="14.5">
      <c r="A866" s="3">
        <v>32</v>
      </c>
      <c r="B866" s="15">
        <f>AVERAGE(Sheet1!G864:G2201,Sheet1!D864:D2201)</f>
        <v>4748.8462079831925</v>
      </c>
      <c r="C866" s="3"/>
      <c r="J866" s="4" t="s">
        <v>10</v>
      </c>
      <c r="K866" s="4" t="s">
        <v>8</v>
      </c>
      <c r="L866" s="17">
        <f t="shared" si="26"/>
        <v>0</v>
      </c>
      <c r="M866" s="5">
        <f t="shared" si="27"/>
        <v>0</v>
      </c>
    </row>
    <row r="867" spans="1:13" ht="14.5">
      <c r="A867" s="3">
        <v>32</v>
      </c>
      <c r="B867" s="15">
        <f>AVERAGE(Sheet1!G865:G2202,Sheet1!D865:D2202)</f>
        <v>4753.925210526314</v>
      </c>
      <c r="C867" s="3"/>
      <c r="J867" s="4" t="s">
        <v>7</v>
      </c>
      <c r="K867" s="4" t="s">
        <v>8</v>
      </c>
      <c r="L867" s="17">
        <f t="shared" si="26"/>
        <v>0</v>
      </c>
      <c r="M867" s="5">
        <f t="shared" si="27"/>
        <v>0</v>
      </c>
    </row>
    <row r="868" spans="1:13" ht="14.5">
      <c r="A868" s="3">
        <v>32</v>
      </c>
      <c r="B868" s="15">
        <f>AVERAGE(Sheet1!G866:G2203,Sheet1!D866:D2203)</f>
        <v>4724.2831434599157</v>
      </c>
      <c r="C868" s="3"/>
      <c r="J868" s="4" t="s">
        <v>7</v>
      </c>
      <c r="K868" s="4" t="s">
        <v>11</v>
      </c>
      <c r="L868" s="17">
        <f t="shared" si="26"/>
        <v>1</v>
      </c>
      <c r="M868" s="5">
        <f t="shared" si="27"/>
        <v>0</v>
      </c>
    </row>
    <row r="869" spans="1:13" ht="14.5">
      <c r="A869" s="3">
        <v>32</v>
      </c>
      <c r="B869" s="15">
        <f>AVERAGE(Sheet1!G867:G2204,Sheet1!D867:D2204)</f>
        <v>4729.4674312896404</v>
      </c>
      <c r="C869" s="3"/>
      <c r="J869" s="4" t="s">
        <v>10</v>
      </c>
      <c r="K869" s="4" t="s">
        <v>8</v>
      </c>
      <c r="L869" s="17">
        <f t="shared" si="26"/>
        <v>0</v>
      </c>
      <c r="M869" s="5">
        <f t="shared" si="27"/>
        <v>0</v>
      </c>
    </row>
    <row r="870" spans="1:13" ht="14.5">
      <c r="A870" s="3">
        <v>32</v>
      </c>
      <c r="B870" s="15">
        <f>AVERAGE(Sheet1!G868:G2205,Sheet1!D868:D2205)</f>
        <v>4734.8719809322029</v>
      </c>
      <c r="C870" s="3"/>
      <c r="J870" s="4" t="s">
        <v>10</v>
      </c>
      <c r="K870" s="4" t="s">
        <v>8</v>
      </c>
      <c r="L870" s="17">
        <f t="shared" si="26"/>
        <v>0</v>
      </c>
      <c r="M870" s="5">
        <f t="shared" si="27"/>
        <v>0</v>
      </c>
    </row>
    <row r="871" spans="1:13" ht="14.5">
      <c r="A871" s="3">
        <v>31</v>
      </c>
      <c r="B871" s="15">
        <f>AVERAGE(Sheet1!G869:G2206,Sheet1!D869:D2206)</f>
        <v>4722.125976645435</v>
      </c>
      <c r="C871" s="3"/>
      <c r="J871" s="4" t="s">
        <v>7</v>
      </c>
      <c r="K871" s="4" t="s">
        <v>11</v>
      </c>
      <c r="L871" s="17">
        <f t="shared" si="26"/>
        <v>1</v>
      </c>
      <c r="M871" s="5">
        <f t="shared" si="27"/>
        <v>0</v>
      </c>
    </row>
    <row r="872" spans="1:13" ht="14.5">
      <c r="A872" s="3">
        <v>31</v>
      </c>
      <c r="B872" s="15">
        <f>AVERAGE(Sheet1!G870:G2207,Sheet1!D870:D2207)</f>
        <v>4728.176648936168</v>
      </c>
      <c r="C872" s="3"/>
      <c r="J872" s="4" t="s">
        <v>10</v>
      </c>
      <c r="K872" s="4" t="s">
        <v>8</v>
      </c>
      <c r="L872" s="17">
        <f t="shared" si="26"/>
        <v>0</v>
      </c>
      <c r="M872" s="5">
        <f t="shared" si="27"/>
        <v>0</v>
      </c>
    </row>
    <row r="873" spans="1:13" ht="14.5">
      <c r="A873" s="3">
        <v>31</v>
      </c>
      <c r="B873" s="15">
        <f>AVERAGE(Sheet1!G871:G2208,Sheet1!D871:D2208)</f>
        <v>4696.9861940298497</v>
      </c>
      <c r="C873" s="3"/>
      <c r="J873" s="4" t="s">
        <v>7</v>
      </c>
      <c r="K873" s="4" t="s">
        <v>11</v>
      </c>
      <c r="L873" s="17">
        <f t="shared" si="26"/>
        <v>1</v>
      </c>
      <c r="M873" s="5">
        <f t="shared" si="27"/>
        <v>0</v>
      </c>
    </row>
    <row r="874" spans="1:13" ht="14.5">
      <c r="A874" s="3">
        <v>31</v>
      </c>
      <c r="B874" s="15">
        <f>AVERAGE(Sheet1!G872:G2209,Sheet1!D872:D2209)</f>
        <v>4701.7321474358951</v>
      </c>
      <c r="C874" s="3"/>
      <c r="J874" s="4" t="s">
        <v>10</v>
      </c>
      <c r="K874" s="4" t="s">
        <v>8</v>
      </c>
      <c r="L874" s="17">
        <f t="shared" si="26"/>
        <v>0</v>
      </c>
      <c r="M874" s="5">
        <f t="shared" si="27"/>
        <v>0</v>
      </c>
    </row>
    <row r="875" spans="1:13" ht="14.5">
      <c r="A875" s="3">
        <v>31</v>
      </c>
      <c r="B875" s="15">
        <f>AVERAGE(Sheet1!G873:G2210,Sheet1!D873:D2210)</f>
        <v>4704.5148072805123</v>
      </c>
      <c r="C875" s="3"/>
      <c r="J875" s="4" t="s">
        <v>7</v>
      </c>
      <c r="K875" s="4" t="s">
        <v>8</v>
      </c>
      <c r="L875" s="17">
        <f t="shared" si="26"/>
        <v>0</v>
      </c>
      <c r="M875" s="5">
        <f t="shared" si="27"/>
        <v>0</v>
      </c>
    </row>
    <row r="876" spans="1:13" ht="14.5">
      <c r="A876" s="3">
        <v>31</v>
      </c>
      <c r="B876" s="15">
        <f>AVERAGE(Sheet1!G874:G2211,Sheet1!D874:D2211)</f>
        <v>4709.8440128755346</v>
      </c>
      <c r="C876" s="3"/>
      <c r="J876" s="4" t="s">
        <v>7</v>
      </c>
      <c r="K876" s="4" t="s">
        <v>8</v>
      </c>
      <c r="L876" s="17">
        <f t="shared" si="26"/>
        <v>0</v>
      </c>
      <c r="M876" s="5">
        <f t="shared" si="27"/>
        <v>0</v>
      </c>
    </row>
    <row r="877" spans="1:13" ht="14.5">
      <c r="A877" s="3">
        <v>31</v>
      </c>
      <c r="B877" s="15">
        <f>AVERAGE(Sheet1!G875:G2212,Sheet1!D875:D2212)</f>
        <v>4715.1714086021484</v>
      </c>
      <c r="C877" s="3"/>
      <c r="J877" s="4" t="s">
        <v>7</v>
      </c>
      <c r="K877" s="4" t="s">
        <v>8</v>
      </c>
      <c r="L877" s="17">
        <f t="shared" si="26"/>
        <v>0</v>
      </c>
      <c r="M877" s="5">
        <f t="shared" si="27"/>
        <v>0</v>
      </c>
    </row>
    <row r="878" spans="1:13" ht="14.5">
      <c r="A878" s="3">
        <v>31</v>
      </c>
      <c r="B878" s="15">
        <f>AVERAGE(Sheet1!G876:G2213,Sheet1!D876:D2213)</f>
        <v>4683.5776400862032</v>
      </c>
      <c r="C878" s="3"/>
      <c r="J878" s="4" t="s">
        <v>7</v>
      </c>
      <c r="K878" s="4" t="s">
        <v>11</v>
      </c>
      <c r="L878" s="17">
        <f t="shared" si="26"/>
        <v>1</v>
      </c>
      <c r="M878" s="5">
        <f t="shared" si="27"/>
        <v>0</v>
      </c>
    </row>
    <row r="879" spans="1:13" ht="14.5">
      <c r="A879" s="3">
        <v>31</v>
      </c>
      <c r="B879" s="15">
        <f>AVERAGE(Sheet1!G877:G2214,Sheet1!D877:D2214)</f>
        <v>4690.1726241900615</v>
      </c>
      <c r="C879" s="3"/>
      <c r="J879" s="4" t="s">
        <v>7</v>
      </c>
      <c r="K879" s="4" t="s">
        <v>8</v>
      </c>
      <c r="L879" s="17">
        <f t="shared" si="26"/>
        <v>0</v>
      </c>
      <c r="M879" s="5">
        <f t="shared" si="27"/>
        <v>0</v>
      </c>
    </row>
    <row r="880" spans="1:13" ht="14.5">
      <c r="A880" s="3">
        <v>31</v>
      </c>
      <c r="B880" s="15">
        <f>AVERAGE(Sheet1!G878:G2215,Sheet1!D878:D2215)</f>
        <v>4695.7308008657974</v>
      </c>
      <c r="C880" s="3"/>
      <c r="J880" s="4" t="s">
        <v>7</v>
      </c>
      <c r="K880" s="4" t="s">
        <v>8</v>
      </c>
      <c r="L880" s="17">
        <f t="shared" si="26"/>
        <v>0</v>
      </c>
      <c r="M880" s="5">
        <f t="shared" si="27"/>
        <v>0</v>
      </c>
    </row>
    <row r="881" spans="1:13" ht="14.5">
      <c r="A881" s="3">
        <v>31</v>
      </c>
      <c r="B881" s="15">
        <f>AVERAGE(Sheet1!G879:G2216,Sheet1!D879:D2216)</f>
        <v>4700.7765618221219</v>
      </c>
      <c r="C881" s="3"/>
      <c r="J881" s="4" t="s">
        <v>10</v>
      </c>
      <c r="K881" s="4" t="s">
        <v>8</v>
      </c>
      <c r="L881" s="17">
        <f t="shared" si="26"/>
        <v>0</v>
      </c>
      <c r="M881" s="5">
        <f t="shared" si="27"/>
        <v>0</v>
      </c>
    </row>
    <row r="882" spans="1:13" ht="14.5">
      <c r="A882" s="3">
        <v>31</v>
      </c>
      <c r="B882" s="15">
        <f>AVERAGE(Sheet1!G880:G2217,Sheet1!D880:D2217)</f>
        <v>4706.2706195652145</v>
      </c>
      <c r="C882" s="3"/>
      <c r="J882" s="4" t="s">
        <v>10</v>
      </c>
      <c r="K882" s="4" t="s">
        <v>8</v>
      </c>
      <c r="L882" s="17">
        <f t="shared" si="26"/>
        <v>0</v>
      </c>
      <c r="M882" s="5">
        <f t="shared" si="27"/>
        <v>0</v>
      </c>
    </row>
    <row r="883" spans="1:13" ht="14.5">
      <c r="A883" s="3">
        <v>31</v>
      </c>
      <c r="B883" s="15">
        <f>AVERAGE(Sheet1!G881:G2218,Sheet1!D881:D2218)</f>
        <v>4711.1495860566411</v>
      </c>
      <c r="C883" s="3"/>
      <c r="J883" s="4" t="s">
        <v>10</v>
      </c>
      <c r="K883" s="4" t="s">
        <v>8</v>
      </c>
      <c r="L883" s="17">
        <f t="shared" si="26"/>
        <v>0</v>
      </c>
      <c r="M883" s="5">
        <f t="shared" si="27"/>
        <v>0</v>
      </c>
    </row>
    <row r="884" spans="1:13" ht="14.5">
      <c r="A884" s="3">
        <v>31</v>
      </c>
      <c r="B884" s="15">
        <f>AVERAGE(Sheet1!G882:G2219,Sheet1!D882:D2219)</f>
        <v>4717.2244104803458</v>
      </c>
      <c r="C884" s="3"/>
      <c r="J884" s="4" t="s">
        <v>7</v>
      </c>
      <c r="K884" s="4" t="s">
        <v>8</v>
      </c>
      <c r="L884" s="17">
        <f t="shared" si="26"/>
        <v>0</v>
      </c>
      <c r="M884" s="5">
        <f t="shared" si="27"/>
        <v>0</v>
      </c>
    </row>
    <row r="885" spans="1:13" ht="14.5">
      <c r="A885" s="3">
        <v>31</v>
      </c>
      <c r="B885" s="15">
        <f>AVERAGE(Sheet1!G883:G2220,Sheet1!D883:D2220)</f>
        <v>4723.4313676148759</v>
      </c>
      <c r="C885" s="3"/>
      <c r="J885" s="4" t="s">
        <v>10</v>
      </c>
      <c r="K885" s="4" t="s">
        <v>8</v>
      </c>
      <c r="L885" s="17">
        <f t="shared" si="26"/>
        <v>0</v>
      </c>
      <c r="M885" s="5">
        <f t="shared" si="27"/>
        <v>0</v>
      </c>
    </row>
    <row r="886" spans="1:13" ht="14.5">
      <c r="A886" s="3">
        <v>31</v>
      </c>
      <c r="B886" s="15">
        <f>AVERAGE(Sheet1!G884:G2221,Sheet1!D884:D2221)</f>
        <v>4669.566008771927</v>
      </c>
      <c r="C886" s="3"/>
      <c r="J886" s="4" t="s">
        <v>10</v>
      </c>
      <c r="K886" s="4" t="s">
        <v>11</v>
      </c>
      <c r="L886" s="17">
        <f t="shared" si="26"/>
        <v>0</v>
      </c>
      <c r="M886" s="5">
        <f t="shared" si="27"/>
        <v>1</v>
      </c>
    </row>
    <row r="887" spans="1:13" ht="14.5">
      <c r="A887" s="3">
        <v>31</v>
      </c>
      <c r="B887" s="15">
        <f>AVERAGE(Sheet1!G885:G2222,Sheet1!D885:D2222)</f>
        <v>4673.107659340656</v>
      </c>
      <c r="C887" s="3"/>
      <c r="J887" s="4" t="s">
        <v>10</v>
      </c>
      <c r="K887" s="4" t="s">
        <v>8</v>
      </c>
      <c r="L887" s="17">
        <f t="shared" si="26"/>
        <v>0</v>
      </c>
      <c r="M887" s="5">
        <f t="shared" si="27"/>
        <v>0</v>
      </c>
    </row>
    <row r="888" spans="1:13" ht="14.5">
      <c r="A888" s="3">
        <v>31</v>
      </c>
      <c r="B888" s="15">
        <f>AVERAGE(Sheet1!G886:G2223,Sheet1!D886:D2223)</f>
        <v>4679.2622577092479</v>
      </c>
      <c r="C888" s="3"/>
      <c r="J888" s="4" t="s">
        <v>10</v>
      </c>
      <c r="K888" s="4" t="s">
        <v>8</v>
      </c>
      <c r="L888" s="17">
        <f t="shared" si="26"/>
        <v>0</v>
      </c>
      <c r="M888" s="5">
        <f t="shared" si="27"/>
        <v>0</v>
      </c>
    </row>
    <row r="889" spans="1:13" ht="14.5">
      <c r="A889" s="3">
        <v>31</v>
      </c>
      <c r="B889" s="15">
        <f>AVERAGE(Sheet1!G887:G2224,Sheet1!D887:D2224)</f>
        <v>4684.0362693156703</v>
      </c>
      <c r="C889" s="3"/>
      <c r="J889" s="4" t="s">
        <v>7</v>
      </c>
      <c r="K889" s="4" t="s">
        <v>8</v>
      </c>
      <c r="L889" s="17">
        <f t="shared" si="26"/>
        <v>0</v>
      </c>
      <c r="M889" s="5">
        <f t="shared" si="27"/>
        <v>0</v>
      </c>
    </row>
    <row r="890" spans="1:13" ht="14.5">
      <c r="A890" s="3">
        <v>31</v>
      </c>
      <c r="B890" s="15">
        <f>AVERAGE(Sheet1!G888:G2225,Sheet1!D888:D2225)</f>
        <v>4689.5855641592898</v>
      </c>
      <c r="C890" s="3"/>
      <c r="J890" s="4" t="s">
        <v>10</v>
      </c>
      <c r="K890" s="4" t="s">
        <v>8</v>
      </c>
      <c r="L890" s="17">
        <f t="shared" si="26"/>
        <v>0</v>
      </c>
      <c r="M890" s="5">
        <f t="shared" si="27"/>
        <v>0</v>
      </c>
    </row>
    <row r="891" spans="1:13" ht="14.5">
      <c r="A891" s="3">
        <v>31</v>
      </c>
      <c r="B891" s="15">
        <f>AVERAGE(Sheet1!G889:G2226,Sheet1!D889:D2226)</f>
        <v>4695.6858314855845</v>
      </c>
      <c r="C891" s="3"/>
      <c r="J891" s="4" t="s">
        <v>7</v>
      </c>
      <c r="K891" s="4" t="s">
        <v>8</v>
      </c>
      <c r="L891" s="17">
        <f t="shared" si="26"/>
        <v>0</v>
      </c>
      <c r="M891" s="5">
        <f t="shared" si="27"/>
        <v>0</v>
      </c>
    </row>
    <row r="892" spans="1:13" ht="14.5">
      <c r="A892" s="3">
        <v>31</v>
      </c>
      <c r="B892" s="15">
        <f>AVERAGE(Sheet1!G890:G2227,Sheet1!D890:D2227)</f>
        <v>4684.7840888888868</v>
      </c>
      <c r="C892" s="3"/>
      <c r="J892" s="4" t="s">
        <v>7</v>
      </c>
      <c r="K892" s="4" t="s">
        <v>11</v>
      </c>
      <c r="L892" s="17">
        <f t="shared" si="26"/>
        <v>1</v>
      </c>
      <c r="M892" s="5">
        <f t="shared" si="27"/>
        <v>0</v>
      </c>
    </row>
    <row r="893" spans="1:13" ht="14.5">
      <c r="A893" s="3">
        <v>31</v>
      </c>
      <c r="B893" s="15">
        <f>AVERAGE(Sheet1!G891:G2228,Sheet1!D891:D2228)</f>
        <v>4673.669610244986</v>
      </c>
      <c r="C893" s="3"/>
      <c r="J893" s="4" t="s">
        <v>7</v>
      </c>
      <c r="K893" s="4" t="s">
        <v>11</v>
      </c>
      <c r="L893" s="17">
        <f t="shared" si="26"/>
        <v>1</v>
      </c>
      <c r="M893" s="5">
        <f t="shared" si="27"/>
        <v>0</v>
      </c>
    </row>
    <row r="894" spans="1:13" ht="14.5">
      <c r="A894" s="3">
        <v>31</v>
      </c>
      <c r="B894" s="15">
        <f>AVERAGE(Sheet1!G892:G2229,Sheet1!D892:D2229)</f>
        <v>4678.153917410712</v>
      </c>
      <c r="C894" s="3"/>
      <c r="J894" s="4" t="s">
        <v>10</v>
      </c>
      <c r="K894" s="4" t="s">
        <v>8</v>
      </c>
      <c r="L894" s="17">
        <f t="shared" si="26"/>
        <v>0</v>
      </c>
      <c r="M894" s="5">
        <f t="shared" si="27"/>
        <v>0</v>
      </c>
    </row>
    <row r="895" spans="1:13" ht="14.5">
      <c r="A895" s="3">
        <v>31</v>
      </c>
      <c r="B895" s="15">
        <f>AVERAGE(Sheet1!G893:G2230,Sheet1!D893:D2230)</f>
        <v>4683.9953355704674</v>
      </c>
      <c r="C895" s="3"/>
      <c r="J895" s="4" t="s">
        <v>10</v>
      </c>
      <c r="K895" s="4" t="s">
        <v>8</v>
      </c>
      <c r="L895" s="17">
        <f t="shared" si="26"/>
        <v>0</v>
      </c>
      <c r="M895" s="5">
        <f t="shared" si="27"/>
        <v>0</v>
      </c>
    </row>
    <row r="896" spans="1:13" ht="14.5">
      <c r="A896" s="3">
        <v>31</v>
      </c>
      <c r="B896" s="15">
        <f>AVERAGE(Sheet1!G894:G2231,Sheet1!D894:D2231)</f>
        <v>4688.96313901345</v>
      </c>
      <c r="C896" s="3"/>
      <c r="J896" s="4" t="s">
        <v>10</v>
      </c>
      <c r="K896" s="4" t="s">
        <v>8</v>
      </c>
      <c r="L896" s="17">
        <f t="shared" si="26"/>
        <v>0</v>
      </c>
      <c r="M896" s="5">
        <f t="shared" si="27"/>
        <v>0</v>
      </c>
    </row>
    <row r="897" spans="1:13" ht="14.5">
      <c r="A897" s="3">
        <v>31</v>
      </c>
      <c r="B897" s="15">
        <f>AVERAGE(Sheet1!G895:G2232,Sheet1!D895:D2232)</f>
        <v>4693.4012359550534</v>
      </c>
      <c r="C897" s="3"/>
      <c r="J897" s="4" t="s">
        <v>7</v>
      </c>
      <c r="K897" s="4" t="s">
        <v>8</v>
      </c>
      <c r="L897" s="17">
        <f t="shared" si="26"/>
        <v>0</v>
      </c>
      <c r="M897" s="5">
        <f t="shared" si="27"/>
        <v>0</v>
      </c>
    </row>
    <row r="898" spans="1:13" ht="14.5">
      <c r="A898" s="3">
        <v>30</v>
      </c>
      <c r="B898" s="15">
        <f>AVERAGE(Sheet1!G896:G2233,Sheet1!D896:D2233)</f>
        <v>4699.1961824324299</v>
      </c>
      <c r="C898" s="3"/>
      <c r="J898" s="4" t="s">
        <v>7</v>
      </c>
      <c r="K898" s="4" t="s">
        <v>8</v>
      </c>
      <c r="L898" s="17">
        <f t="shared" si="26"/>
        <v>0</v>
      </c>
      <c r="M898" s="5">
        <f t="shared" si="27"/>
        <v>0</v>
      </c>
    </row>
    <row r="899" spans="1:13" ht="14.5">
      <c r="A899" s="3">
        <v>30</v>
      </c>
      <c r="B899" s="15">
        <f>AVERAGE(Sheet1!G897:G2234,Sheet1!D897:D2234)</f>
        <v>4668.2265688487569</v>
      </c>
      <c r="C899" s="3"/>
      <c r="J899" s="4" t="s">
        <v>7</v>
      </c>
      <c r="K899" s="4" t="s">
        <v>11</v>
      </c>
      <c r="L899" s="17">
        <f t="shared" si="26"/>
        <v>1</v>
      </c>
      <c r="M899" s="5">
        <f t="shared" si="27"/>
        <v>0</v>
      </c>
    </row>
    <row r="900" spans="1:13" ht="14.5">
      <c r="A900" s="3">
        <v>30</v>
      </c>
      <c r="B900" s="15">
        <f>AVERAGE(Sheet1!G898:G2235,Sheet1!D898:D2235)</f>
        <v>4674.0927601809935</v>
      </c>
      <c r="C900" s="3"/>
      <c r="J900" s="4" t="s">
        <v>10</v>
      </c>
      <c r="K900" s="4" t="s">
        <v>8</v>
      </c>
      <c r="L900" s="17">
        <f t="shared" si="26"/>
        <v>0</v>
      </c>
      <c r="M900" s="5">
        <f t="shared" si="27"/>
        <v>0</v>
      </c>
    </row>
    <row r="901" spans="1:13" ht="14.5">
      <c r="A901" s="3">
        <v>30</v>
      </c>
      <c r="B901" s="15">
        <f>AVERAGE(Sheet1!G899:G2236,Sheet1!D899:D2236)</f>
        <v>4680.5588548752812</v>
      </c>
      <c r="C901" s="3"/>
      <c r="J901" s="4" t="s">
        <v>7</v>
      </c>
      <c r="K901" s="4" t="s">
        <v>8</v>
      </c>
      <c r="L901" s="17">
        <f t="shared" si="26"/>
        <v>0</v>
      </c>
      <c r="M901" s="5">
        <f t="shared" si="27"/>
        <v>0</v>
      </c>
    </row>
    <row r="902" spans="1:13" ht="14.5">
      <c r="A902" s="3">
        <v>30</v>
      </c>
      <c r="B902" s="15">
        <f>AVERAGE(Sheet1!G900:G2237,Sheet1!D900:D2237)</f>
        <v>4667.618090909089</v>
      </c>
      <c r="C902" s="3"/>
      <c r="J902" s="4" t="s">
        <v>7</v>
      </c>
      <c r="K902" s="4" t="s">
        <v>11</v>
      </c>
      <c r="L902" s="17">
        <f t="shared" ref="L902:L965" si="28">IF(AND(J902="male", K902="yes"),1,0)</f>
        <v>1</v>
      </c>
      <c r="M902" s="5">
        <f t="shared" ref="M902:M965" si="29">IF(AND(J902="female", K902="yes"), 1, 0)</f>
        <v>0</v>
      </c>
    </row>
    <row r="903" spans="1:13" ht="14.5">
      <c r="A903" s="3">
        <v>30</v>
      </c>
      <c r="B903" s="15">
        <f>AVERAGE(Sheet1!G901:G2238,Sheet1!D901:D2238)</f>
        <v>4636.1658997722079</v>
      </c>
      <c r="C903" s="3"/>
      <c r="J903" s="4" t="s">
        <v>7</v>
      </c>
      <c r="K903" s="4" t="s">
        <v>11</v>
      </c>
      <c r="L903" s="17">
        <f t="shared" si="28"/>
        <v>1</v>
      </c>
      <c r="M903" s="5">
        <f t="shared" si="29"/>
        <v>0</v>
      </c>
    </row>
    <row r="904" spans="1:13" ht="14.5">
      <c r="A904" s="3">
        <v>30</v>
      </c>
      <c r="B904" s="15">
        <f>AVERAGE(Sheet1!G902:G2239,Sheet1!D902:D2239)</f>
        <v>4640.6678196347011</v>
      </c>
      <c r="C904" s="3"/>
      <c r="J904" s="4" t="s">
        <v>10</v>
      </c>
      <c r="K904" s="4" t="s">
        <v>8</v>
      </c>
      <c r="L904" s="17">
        <f t="shared" si="28"/>
        <v>0</v>
      </c>
      <c r="M904" s="5">
        <f t="shared" si="29"/>
        <v>0</v>
      </c>
    </row>
    <row r="905" spans="1:13" ht="14.5">
      <c r="A905" s="3">
        <v>30</v>
      </c>
      <c r="B905" s="15">
        <f>AVERAGE(Sheet1!G903:G2240,Sheet1!D903:D2240)</f>
        <v>4646.4380778032018</v>
      </c>
      <c r="C905" s="3"/>
      <c r="J905" s="4" t="s">
        <v>7</v>
      </c>
      <c r="K905" s="4" t="s">
        <v>8</v>
      </c>
      <c r="L905" s="17">
        <f t="shared" si="28"/>
        <v>0</v>
      </c>
      <c r="M905" s="5">
        <f t="shared" si="29"/>
        <v>0</v>
      </c>
    </row>
    <row r="906" spans="1:13" ht="14.5">
      <c r="A906" s="3">
        <v>30</v>
      </c>
      <c r="B906" s="15">
        <f>AVERAGE(Sheet1!G904:G2241,Sheet1!D904:D2241)</f>
        <v>4652.33354357798</v>
      </c>
      <c r="C906" s="3"/>
      <c r="J906" s="4" t="s">
        <v>10</v>
      </c>
      <c r="K906" s="4" t="s">
        <v>8</v>
      </c>
      <c r="L906" s="17">
        <f t="shared" si="28"/>
        <v>0</v>
      </c>
      <c r="M906" s="5">
        <f t="shared" si="29"/>
        <v>0</v>
      </c>
    </row>
    <row r="907" spans="1:13" ht="14.5">
      <c r="A907" s="3">
        <v>30</v>
      </c>
      <c r="B907" s="15">
        <f>AVERAGE(Sheet1!G905:G2242,Sheet1!D905:D2242)</f>
        <v>4658.9432758620669</v>
      </c>
      <c r="C907" s="3"/>
      <c r="J907" s="4" t="s">
        <v>10</v>
      </c>
      <c r="K907" s="4" t="s">
        <v>8</v>
      </c>
      <c r="L907" s="17">
        <f t="shared" si="28"/>
        <v>0</v>
      </c>
      <c r="M907" s="5">
        <f t="shared" si="29"/>
        <v>0</v>
      </c>
    </row>
    <row r="908" spans="1:13" ht="14.5">
      <c r="A908" s="3">
        <v>30</v>
      </c>
      <c r="B908" s="15">
        <f>AVERAGE(Sheet1!G906:G2243,Sheet1!D906:D2243)</f>
        <v>4665.0315783410115</v>
      </c>
      <c r="C908" s="3"/>
      <c r="J908" s="4" t="s">
        <v>7</v>
      </c>
      <c r="K908" s="4" t="s">
        <v>8</v>
      </c>
      <c r="L908" s="17">
        <f t="shared" si="28"/>
        <v>0</v>
      </c>
      <c r="M908" s="5">
        <f t="shared" si="29"/>
        <v>0</v>
      </c>
    </row>
    <row r="909" spans="1:13" ht="14.5">
      <c r="A909" s="3">
        <v>30</v>
      </c>
      <c r="B909" s="15">
        <f>AVERAGE(Sheet1!G907:G2244,Sheet1!D907:D2244)</f>
        <v>4653.2614780600443</v>
      </c>
      <c r="C909" s="3"/>
      <c r="J909" s="4" t="s">
        <v>10</v>
      </c>
      <c r="K909" s="4" t="s">
        <v>11</v>
      </c>
      <c r="L909" s="17">
        <f t="shared" si="28"/>
        <v>0</v>
      </c>
      <c r="M909" s="5">
        <f t="shared" si="29"/>
        <v>1</v>
      </c>
    </row>
    <row r="910" spans="1:13" ht="14.5">
      <c r="A910" s="3">
        <v>30</v>
      </c>
      <c r="B910" s="15">
        <f>AVERAGE(Sheet1!G908:G2245,Sheet1!D908:D2245)</f>
        <v>4658.5287037037015</v>
      </c>
      <c r="C910" s="3"/>
      <c r="J910" s="4" t="s">
        <v>10</v>
      </c>
      <c r="K910" s="4" t="s">
        <v>8</v>
      </c>
      <c r="L910" s="17">
        <f t="shared" si="28"/>
        <v>0</v>
      </c>
      <c r="M910" s="5">
        <f t="shared" si="29"/>
        <v>0</v>
      </c>
    </row>
    <row r="911" spans="1:13" ht="14.5">
      <c r="A911" s="3">
        <v>30</v>
      </c>
      <c r="B911" s="15">
        <f>AVERAGE(Sheet1!G909:G2246,Sheet1!D909:D2246)</f>
        <v>4623.8113225057978</v>
      </c>
      <c r="C911" s="3"/>
      <c r="J911" s="4" t="s">
        <v>7</v>
      </c>
      <c r="K911" s="4" t="s">
        <v>11</v>
      </c>
      <c r="L911" s="17">
        <f t="shared" si="28"/>
        <v>1</v>
      </c>
      <c r="M911" s="5">
        <f t="shared" si="29"/>
        <v>0</v>
      </c>
    </row>
    <row r="912" spans="1:13" ht="14.5">
      <c r="A912" s="3">
        <v>30</v>
      </c>
      <c r="B912" s="15">
        <f>AVERAGE(Sheet1!G910:G2247,Sheet1!D910:D2247)</f>
        <v>4630.3081511627879</v>
      </c>
      <c r="C912" s="3"/>
      <c r="J912" s="4" t="s">
        <v>7</v>
      </c>
      <c r="K912" s="4" t="s">
        <v>8</v>
      </c>
      <c r="L912" s="17">
        <f t="shared" si="28"/>
        <v>0</v>
      </c>
      <c r="M912" s="5">
        <f t="shared" si="29"/>
        <v>0</v>
      </c>
    </row>
    <row r="913" spans="1:13" ht="14.5">
      <c r="A913" s="3">
        <v>30</v>
      </c>
      <c r="B913" s="15">
        <f>AVERAGE(Sheet1!G911:G2248,Sheet1!D911:D2248)</f>
        <v>4635.4597086247059</v>
      </c>
      <c r="C913" s="3"/>
      <c r="J913" s="4" t="s">
        <v>7</v>
      </c>
      <c r="K913" s="4" t="s">
        <v>8</v>
      </c>
      <c r="L913" s="17">
        <f t="shared" si="28"/>
        <v>0</v>
      </c>
      <c r="M913" s="5">
        <f t="shared" si="29"/>
        <v>0</v>
      </c>
    </row>
    <row r="914" spans="1:13" ht="14.5">
      <c r="A914" s="3">
        <v>30</v>
      </c>
      <c r="B914" s="15">
        <f>AVERAGE(Sheet1!G912:G2249,Sheet1!D912:D2249)</f>
        <v>4598.4684579439227</v>
      </c>
      <c r="C914" s="3"/>
      <c r="J914" s="4" t="s">
        <v>10</v>
      </c>
      <c r="K914" s="4" t="s">
        <v>11</v>
      </c>
      <c r="L914" s="17">
        <f t="shared" si="28"/>
        <v>0</v>
      </c>
      <c r="M914" s="5">
        <f t="shared" si="29"/>
        <v>1</v>
      </c>
    </row>
    <row r="915" spans="1:13" ht="14.5">
      <c r="A915" s="3">
        <v>30</v>
      </c>
      <c r="B915" s="15">
        <f>AVERAGE(Sheet1!G913:G2250,Sheet1!D913:D2250)</f>
        <v>4602.8773653395756</v>
      </c>
      <c r="C915" s="3"/>
      <c r="J915" s="4" t="s">
        <v>7</v>
      </c>
      <c r="K915" s="4" t="s">
        <v>8</v>
      </c>
      <c r="L915" s="17">
        <f t="shared" si="28"/>
        <v>0</v>
      </c>
      <c r="M915" s="5">
        <f t="shared" si="29"/>
        <v>0</v>
      </c>
    </row>
    <row r="916" spans="1:13" ht="14.5">
      <c r="A916" s="3">
        <v>30</v>
      </c>
      <c r="B916" s="15">
        <f>AVERAGE(Sheet1!G914:G2251,Sheet1!D914:D2251)</f>
        <v>4592.2477112676024</v>
      </c>
      <c r="C916" s="3"/>
      <c r="J916" s="4" t="s">
        <v>7</v>
      </c>
      <c r="K916" s="4" t="s">
        <v>11</v>
      </c>
      <c r="L916" s="17">
        <f t="shared" si="28"/>
        <v>1</v>
      </c>
      <c r="M916" s="5">
        <f t="shared" si="29"/>
        <v>0</v>
      </c>
    </row>
    <row r="917" spans="1:13" ht="14.5">
      <c r="A917" s="3">
        <v>30</v>
      </c>
      <c r="B917" s="15">
        <f>AVERAGE(Sheet1!G915:G2252,Sheet1!D915:D2252)</f>
        <v>4598.0316235294085</v>
      </c>
      <c r="C917" s="3"/>
      <c r="J917" s="4" t="s">
        <v>7</v>
      </c>
      <c r="K917" s="4" t="s">
        <v>8</v>
      </c>
      <c r="L917" s="17">
        <f t="shared" si="28"/>
        <v>0</v>
      </c>
      <c r="M917" s="5">
        <f t="shared" si="29"/>
        <v>0</v>
      </c>
    </row>
    <row r="918" spans="1:13" ht="14.5">
      <c r="A918" s="3">
        <v>30</v>
      </c>
      <c r="B918" s="15">
        <f>AVERAGE(Sheet1!G916:G2253,Sheet1!D916:D2253)</f>
        <v>4603.3093867924499</v>
      </c>
      <c r="C918" s="3"/>
      <c r="J918" s="4" t="s">
        <v>10</v>
      </c>
      <c r="K918" s="4" t="s">
        <v>8</v>
      </c>
      <c r="L918" s="17">
        <f t="shared" si="28"/>
        <v>0</v>
      </c>
      <c r="M918" s="5">
        <f t="shared" si="29"/>
        <v>0</v>
      </c>
    </row>
    <row r="919" spans="1:13" ht="14.5">
      <c r="A919" s="3">
        <v>30</v>
      </c>
      <c r="B919" s="15">
        <f>AVERAGE(Sheet1!G917:G2254,Sheet1!D917:D2254)</f>
        <v>4608.8394562647727</v>
      </c>
      <c r="C919" s="3"/>
      <c r="J919" s="4" t="s">
        <v>10</v>
      </c>
      <c r="K919" s="4" t="s">
        <v>8</v>
      </c>
      <c r="L919" s="17">
        <f t="shared" si="28"/>
        <v>0</v>
      </c>
      <c r="M919" s="5">
        <f t="shared" si="29"/>
        <v>0</v>
      </c>
    </row>
    <row r="920" spans="1:13" ht="14.5">
      <c r="A920" s="3">
        <v>30</v>
      </c>
      <c r="B920" s="15">
        <f>AVERAGE(Sheet1!G918:G2255,Sheet1!D918:D2255)</f>
        <v>4599.1876895734567</v>
      </c>
      <c r="C920" s="3"/>
      <c r="J920" s="4" t="s">
        <v>7</v>
      </c>
      <c r="K920" s="4" t="s">
        <v>11</v>
      </c>
      <c r="L920" s="17">
        <f t="shared" si="28"/>
        <v>1</v>
      </c>
      <c r="M920" s="5">
        <f t="shared" si="29"/>
        <v>0</v>
      </c>
    </row>
    <row r="921" spans="1:13" ht="14.5">
      <c r="A921" s="3">
        <v>30</v>
      </c>
      <c r="B921" s="15">
        <f>AVERAGE(Sheet1!G919:G2256,Sheet1!D919:D2256)</f>
        <v>4605.1982066508281</v>
      </c>
      <c r="C921" s="3"/>
      <c r="J921" s="4" t="s">
        <v>10</v>
      </c>
      <c r="K921" s="4" t="s">
        <v>8</v>
      </c>
      <c r="L921" s="17">
        <f t="shared" si="28"/>
        <v>0</v>
      </c>
      <c r="M921" s="5">
        <f t="shared" si="29"/>
        <v>0</v>
      </c>
    </row>
    <row r="922" spans="1:13" ht="14.5">
      <c r="A922" s="3">
        <v>30</v>
      </c>
      <c r="B922" s="15">
        <f>AVERAGE(Sheet1!G920:G2257,Sheet1!D920:D2257)</f>
        <v>4609.3814999999959</v>
      </c>
      <c r="C922" s="3"/>
      <c r="J922" s="4" t="s">
        <v>10</v>
      </c>
      <c r="K922" s="4" t="s">
        <v>8</v>
      </c>
      <c r="L922" s="17">
        <f t="shared" si="28"/>
        <v>0</v>
      </c>
      <c r="M922" s="5">
        <f t="shared" si="29"/>
        <v>0</v>
      </c>
    </row>
    <row r="923" spans="1:13" ht="14.5">
      <c r="A923" s="3">
        <v>30</v>
      </c>
      <c r="B923" s="15">
        <f>AVERAGE(Sheet1!G921:G2258,Sheet1!D921:D2258)</f>
        <v>4597.7521360381825</v>
      </c>
      <c r="C923" s="3"/>
      <c r="J923" s="4" t="s">
        <v>7</v>
      </c>
      <c r="K923" s="4" t="s">
        <v>8</v>
      </c>
      <c r="L923" s="17">
        <f t="shared" si="28"/>
        <v>0</v>
      </c>
      <c r="M923" s="5">
        <f t="shared" si="29"/>
        <v>0</v>
      </c>
    </row>
    <row r="924" spans="1:13" ht="14.5">
      <c r="A924" s="3">
        <v>30</v>
      </c>
      <c r="B924" s="15">
        <f>AVERAGE(Sheet1!G922:G2259,Sheet1!D922:D2259)</f>
        <v>4603.1065669856416</v>
      </c>
      <c r="C924" s="3"/>
      <c r="J924" s="4" t="s">
        <v>10</v>
      </c>
      <c r="K924" s="4" t="s">
        <v>8</v>
      </c>
      <c r="L924" s="17">
        <f t="shared" si="28"/>
        <v>0</v>
      </c>
      <c r="M924" s="5">
        <f t="shared" si="29"/>
        <v>0</v>
      </c>
    </row>
    <row r="925" spans="1:13" ht="14.5">
      <c r="A925" s="3">
        <v>29</v>
      </c>
      <c r="B925" s="15">
        <f>AVERAGE(Sheet1!G923:G2260,Sheet1!D923:D2260)</f>
        <v>4591.6405395683423</v>
      </c>
      <c r="C925" s="3"/>
      <c r="J925" s="4" t="s">
        <v>10</v>
      </c>
      <c r="K925" s="4" t="s">
        <v>11</v>
      </c>
      <c r="L925" s="17">
        <f t="shared" si="28"/>
        <v>0</v>
      </c>
      <c r="M925" s="5">
        <f t="shared" si="29"/>
        <v>1</v>
      </c>
    </row>
    <row r="926" spans="1:13" ht="14.5">
      <c r="A926" s="3">
        <v>29</v>
      </c>
      <c r="B926" s="15">
        <f>AVERAGE(Sheet1!G924:G2261,Sheet1!D924:D2261)</f>
        <v>4597.9324519230731</v>
      </c>
      <c r="C926" s="3"/>
      <c r="J926" s="4" t="s">
        <v>10</v>
      </c>
      <c r="K926" s="4" t="s">
        <v>8</v>
      </c>
      <c r="L926" s="17">
        <f t="shared" si="28"/>
        <v>0</v>
      </c>
      <c r="M926" s="5">
        <f t="shared" si="29"/>
        <v>0</v>
      </c>
    </row>
    <row r="927" spans="1:13" ht="14.5">
      <c r="A927" s="3">
        <v>29</v>
      </c>
      <c r="B927" s="15">
        <f>AVERAGE(Sheet1!G925:G2262,Sheet1!D925:D2262)</f>
        <v>4605.557445783129</v>
      </c>
      <c r="C927" s="3"/>
      <c r="J927" s="4" t="s">
        <v>7</v>
      </c>
      <c r="K927" s="4" t="s">
        <v>8</v>
      </c>
      <c r="L927" s="17">
        <f t="shared" si="28"/>
        <v>0</v>
      </c>
      <c r="M927" s="5">
        <f t="shared" si="29"/>
        <v>0</v>
      </c>
    </row>
    <row r="928" spans="1:13" ht="14.5">
      <c r="A928" s="3">
        <v>29</v>
      </c>
      <c r="B928" s="15">
        <f>AVERAGE(Sheet1!G926:G2263,Sheet1!D926:D2263)</f>
        <v>4593.6037439613501</v>
      </c>
      <c r="C928" s="3"/>
      <c r="J928" s="4" t="s">
        <v>10</v>
      </c>
      <c r="K928" s="4" t="s">
        <v>11</v>
      </c>
      <c r="L928" s="17">
        <f t="shared" si="28"/>
        <v>0</v>
      </c>
      <c r="M928" s="5">
        <f t="shared" si="29"/>
        <v>1</v>
      </c>
    </row>
    <row r="929" spans="1:13" ht="14.5">
      <c r="A929" s="3">
        <v>29</v>
      </c>
      <c r="B929" s="15">
        <f>AVERAGE(Sheet1!G927:G2264,Sheet1!D927:D2264)</f>
        <v>4582.7409443099241</v>
      </c>
      <c r="C929" s="3"/>
      <c r="J929" s="4" t="s">
        <v>7</v>
      </c>
      <c r="K929" s="4" t="s">
        <v>8</v>
      </c>
      <c r="L929" s="17">
        <f t="shared" si="28"/>
        <v>0</v>
      </c>
      <c r="M929" s="5">
        <f t="shared" si="29"/>
        <v>0</v>
      </c>
    </row>
    <row r="930" spans="1:13" ht="14.5">
      <c r="A930" s="3">
        <v>29</v>
      </c>
      <c r="B930" s="15">
        <f>AVERAGE(Sheet1!G928:G2265,Sheet1!D928:D2265)</f>
        <v>4587.6247087378606</v>
      </c>
      <c r="C930" s="3"/>
      <c r="J930" s="4" t="s">
        <v>10</v>
      </c>
      <c r="K930" s="4" t="s">
        <v>8</v>
      </c>
      <c r="L930" s="17">
        <f t="shared" si="28"/>
        <v>0</v>
      </c>
      <c r="M930" s="5">
        <f t="shared" si="29"/>
        <v>0</v>
      </c>
    </row>
    <row r="931" spans="1:13" ht="14.5">
      <c r="A931" s="3">
        <v>29</v>
      </c>
      <c r="B931" s="15">
        <f>AVERAGE(Sheet1!G929:G2266,Sheet1!D929:D2266)</f>
        <v>4592.7954257907513</v>
      </c>
      <c r="C931" s="3"/>
      <c r="J931" s="4" t="s">
        <v>10</v>
      </c>
      <c r="K931" s="4" t="s">
        <v>8</v>
      </c>
      <c r="L931" s="17">
        <f t="shared" si="28"/>
        <v>0</v>
      </c>
      <c r="M931" s="5">
        <f t="shared" si="29"/>
        <v>0</v>
      </c>
    </row>
    <row r="932" spans="1:13" ht="14.5">
      <c r="A932" s="3">
        <v>29</v>
      </c>
      <c r="B932" s="15">
        <f>AVERAGE(Sheet1!G930:G2267,Sheet1!D930:D2267)</f>
        <v>4599.0686341463388</v>
      </c>
      <c r="C932" s="3"/>
      <c r="J932" s="4" t="s">
        <v>7</v>
      </c>
      <c r="K932" s="4" t="s">
        <v>8</v>
      </c>
      <c r="L932" s="17">
        <f t="shared" si="28"/>
        <v>0</v>
      </c>
      <c r="M932" s="5">
        <f t="shared" si="29"/>
        <v>0</v>
      </c>
    </row>
    <row r="933" spans="1:13" ht="14.5">
      <c r="A933" s="3">
        <v>29</v>
      </c>
      <c r="B933" s="15">
        <f>AVERAGE(Sheet1!G931:G2268,Sheet1!D931:D2268)</f>
        <v>4585.5225794621001</v>
      </c>
      <c r="C933" s="3"/>
      <c r="J933" s="4" t="s">
        <v>7</v>
      </c>
      <c r="K933" s="4" t="s">
        <v>8</v>
      </c>
      <c r="L933" s="17">
        <f t="shared" si="28"/>
        <v>0</v>
      </c>
      <c r="M933" s="5">
        <f t="shared" si="29"/>
        <v>0</v>
      </c>
    </row>
    <row r="934" spans="1:13" ht="14.5">
      <c r="A934" s="3">
        <v>29</v>
      </c>
      <c r="B934" s="15">
        <f>AVERAGE(Sheet1!G932:G2269,Sheet1!D932:D2269)</f>
        <v>4572.9327450980363</v>
      </c>
      <c r="C934" s="3"/>
      <c r="J934" s="4" t="s">
        <v>7</v>
      </c>
      <c r="K934" s="4" t="s">
        <v>8</v>
      </c>
      <c r="L934" s="17">
        <f t="shared" si="28"/>
        <v>0</v>
      </c>
      <c r="M934" s="5">
        <f t="shared" si="29"/>
        <v>0</v>
      </c>
    </row>
    <row r="935" spans="1:13" ht="14.5">
      <c r="A935" s="3">
        <v>29</v>
      </c>
      <c r="B935" s="15">
        <f>AVERAGE(Sheet1!G933:G2270,Sheet1!D933:D2270)</f>
        <v>4580.6474570024548</v>
      </c>
      <c r="C935" s="3"/>
      <c r="J935" s="4" t="s">
        <v>7</v>
      </c>
      <c r="K935" s="4" t="s">
        <v>8</v>
      </c>
      <c r="L935" s="17">
        <f t="shared" si="28"/>
        <v>0</v>
      </c>
      <c r="M935" s="5">
        <f t="shared" si="29"/>
        <v>0</v>
      </c>
    </row>
    <row r="936" spans="1:13" ht="14.5">
      <c r="A936" s="3">
        <v>29</v>
      </c>
      <c r="B936" s="15">
        <f>AVERAGE(Sheet1!G934:G2271,Sheet1!D934:D2271)</f>
        <v>4585.8849999999975</v>
      </c>
      <c r="C936" s="3"/>
      <c r="J936" s="4" t="s">
        <v>10</v>
      </c>
      <c r="K936" s="4" t="s">
        <v>8</v>
      </c>
      <c r="L936" s="17">
        <f t="shared" si="28"/>
        <v>0</v>
      </c>
      <c r="M936" s="5">
        <f t="shared" si="29"/>
        <v>0</v>
      </c>
    </row>
    <row r="937" spans="1:13" ht="14.5">
      <c r="A937" s="3">
        <v>29</v>
      </c>
      <c r="B937" s="15">
        <f>AVERAGE(Sheet1!G935:G2272,Sheet1!D935:D2272)</f>
        <v>4552.519654320985</v>
      </c>
      <c r="C937" s="3"/>
      <c r="J937" s="4" t="s">
        <v>7</v>
      </c>
      <c r="K937" s="4" t="s">
        <v>11</v>
      </c>
      <c r="L937" s="17">
        <f t="shared" si="28"/>
        <v>1</v>
      </c>
      <c r="M937" s="5">
        <f t="shared" si="29"/>
        <v>0</v>
      </c>
    </row>
    <row r="938" spans="1:13" ht="14.5">
      <c r="A938" s="3">
        <v>29</v>
      </c>
      <c r="B938" s="15">
        <f>AVERAGE(Sheet1!G936:G2273,Sheet1!D936:D2273)</f>
        <v>4559.1639356435626</v>
      </c>
      <c r="C938" s="3"/>
      <c r="J938" s="4" t="s">
        <v>10</v>
      </c>
      <c r="K938" s="4" t="s">
        <v>8</v>
      </c>
      <c r="L938" s="17">
        <f t="shared" si="28"/>
        <v>0</v>
      </c>
      <c r="M938" s="5">
        <f t="shared" si="29"/>
        <v>0</v>
      </c>
    </row>
    <row r="939" spans="1:13" ht="14.5">
      <c r="A939" s="3">
        <v>29</v>
      </c>
      <c r="B939" s="15">
        <f>AVERAGE(Sheet1!G937:G2274,Sheet1!D937:D2274)</f>
        <v>4566.29998759305</v>
      </c>
      <c r="C939" s="3"/>
      <c r="J939" s="4" t="s">
        <v>10</v>
      </c>
      <c r="K939" s="4" t="s">
        <v>8</v>
      </c>
      <c r="L939" s="17">
        <f t="shared" si="28"/>
        <v>0</v>
      </c>
      <c r="M939" s="5">
        <f t="shared" si="29"/>
        <v>0</v>
      </c>
    </row>
    <row r="940" spans="1:13" ht="14.5">
      <c r="A940" s="3">
        <v>29</v>
      </c>
      <c r="B940" s="15">
        <f>AVERAGE(Sheet1!G938:G2275,Sheet1!D938:D2275)</f>
        <v>4572.7539676616898</v>
      </c>
      <c r="C940" s="3"/>
      <c r="J940" s="4" t="s">
        <v>10</v>
      </c>
      <c r="K940" s="4" t="s">
        <v>8</v>
      </c>
      <c r="L940" s="17">
        <f t="shared" si="28"/>
        <v>0</v>
      </c>
      <c r="M940" s="5">
        <f t="shared" si="29"/>
        <v>0</v>
      </c>
    </row>
    <row r="941" spans="1:13" ht="14.5">
      <c r="A941" s="3">
        <v>29</v>
      </c>
      <c r="B941" s="15">
        <f>AVERAGE(Sheet1!G939:G2276,Sheet1!D939:D2276)</f>
        <v>4563.3858728179539</v>
      </c>
      <c r="C941" s="3"/>
      <c r="J941" s="4" t="s">
        <v>10</v>
      </c>
      <c r="K941" s="4" t="s">
        <v>11</v>
      </c>
      <c r="L941" s="17">
        <f t="shared" si="28"/>
        <v>0</v>
      </c>
      <c r="M941" s="5">
        <f t="shared" si="29"/>
        <v>1</v>
      </c>
    </row>
    <row r="942" spans="1:13" ht="14.5">
      <c r="A942" s="3">
        <v>29</v>
      </c>
      <c r="B942" s="15">
        <f>AVERAGE(Sheet1!G940:G2277,Sheet1!D940:D2277)</f>
        <v>4519.0600124999983</v>
      </c>
      <c r="C942" s="3"/>
      <c r="J942" s="4" t="s">
        <v>7</v>
      </c>
      <c r="K942" s="4" t="s">
        <v>11</v>
      </c>
      <c r="L942" s="17">
        <f t="shared" si="28"/>
        <v>1</v>
      </c>
      <c r="M942" s="5">
        <f t="shared" si="29"/>
        <v>0</v>
      </c>
    </row>
    <row r="943" spans="1:13" ht="14.5">
      <c r="A943" s="3">
        <v>29</v>
      </c>
      <c r="B943" s="15">
        <f>AVERAGE(Sheet1!G941:G2278,Sheet1!D941:D2278)</f>
        <v>4523.8539223057633</v>
      </c>
      <c r="C943" s="3"/>
      <c r="J943" s="4" t="s">
        <v>7</v>
      </c>
      <c r="K943" s="4" t="s">
        <v>8</v>
      </c>
      <c r="L943" s="17">
        <f t="shared" si="28"/>
        <v>0</v>
      </c>
      <c r="M943" s="5">
        <f t="shared" si="29"/>
        <v>0</v>
      </c>
    </row>
    <row r="944" spans="1:13" ht="14.5">
      <c r="A944" s="3">
        <v>29</v>
      </c>
      <c r="B944" s="15">
        <f>AVERAGE(Sheet1!G942:G2279,Sheet1!D942:D2279)</f>
        <v>4531.0077261306515</v>
      </c>
      <c r="C944" s="3"/>
      <c r="J944" s="4" t="s">
        <v>10</v>
      </c>
      <c r="K944" s="4" t="s">
        <v>8</v>
      </c>
      <c r="L944" s="17">
        <f t="shared" si="28"/>
        <v>0</v>
      </c>
      <c r="M944" s="5">
        <f t="shared" si="29"/>
        <v>0</v>
      </c>
    </row>
    <row r="945" spans="1:13" ht="14.5">
      <c r="A945" s="3">
        <v>29</v>
      </c>
      <c r="B945" s="15">
        <f>AVERAGE(Sheet1!G943:G2280,Sheet1!D943:D2280)</f>
        <v>4522.0949496221656</v>
      </c>
      <c r="C945" s="3"/>
      <c r="J945" s="4" t="s">
        <v>7</v>
      </c>
      <c r="K945" s="4" t="s">
        <v>11</v>
      </c>
      <c r="L945" s="17">
        <f t="shared" si="28"/>
        <v>1</v>
      </c>
      <c r="M945" s="5">
        <f t="shared" si="29"/>
        <v>0</v>
      </c>
    </row>
    <row r="946" spans="1:13" ht="14.5">
      <c r="A946" s="3">
        <v>29</v>
      </c>
      <c r="B946" s="15">
        <f>AVERAGE(Sheet1!G944:G2281,Sheet1!D944:D2281)</f>
        <v>4527.9141414141404</v>
      </c>
      <c r="C946" s="3"/>
      <c r="J946" s="4" t="s">
        <v>7</v>
      </c>
      <c r="K946" s="4" t="s">
        <v>8</v>
      </c>
      <c r="L946" s="17">
        <f t="shared" si="28"/>
        <v>0</v>
      </c>
      <c r="M946" s="5">
        <f t="shared" si="29"/>
        <v>0</v>
      </c>
    </row>
    <row r="947" spans="1:13" ht="14.5">
      <c r="A947" s="3">
        <v>29</v>
      </c>
      <c r="B947" s="15">
        <f>AVERAGE(Sheet1!G945:G2282,Sheet1!D945:D2282)</f>
        <v>4532.1457341772148</v>
      </c>
      <c r="C947" s="3"/>
      <c r="J947" s="4" t="s">
        <v>10</v>
      </c>
      <c r="K947" s="4" t="s">
        <v>8</v>
      </c>
      <c r="L947" s="17">
        <f t="shared" si="28"/>
        <v>0</v>
      </c>
      <c r="M947" s="5">
        <f t="shared" si="29"/>
        <v>0</v>
      </c>
    </row>
    <row r="948" spans="1:13" ht="14.5">
      <c r="A948" s="3">
        <v>29</v>
      </c>
      <c r="B948" s="15">
        <f>AVERAGE(Sheet1!G946:G2283,Sheet1!D946:D2283)</f>
        <v>4539.2420304568523</v>
      </c>
      <c r="C948" s="3"/>
      <c r="J948" s="4" t="s">
        <v>7</v>
      </c>
      <c r="K948" s="4" t="s">
        <v>8</v>
      </c>
      <c r="L948" s="17">
        <f t="shared" si="28"/>
        <v>0</v>
      </c>
      <c r="M948" s="5">
        <f t="shared" si="29"/>
        <v>0</v>
      </c>
    </row>
    <row r="949" spans="1:13" ht="14.5">
      <c r="A949" s="3">
        <v>29</v>
      </c>
      <c r="B949" s="15">
        <f>AVERAGE(Sheet1!G947:G2284,Sheet1!D947:D2284)</f>
        <v>4545.0270229007629</v>
      </c>
      <c r="C949" s="3"/>
      <c r="J949" s="4" t="s">
        <v>10</v>
      </c>
      <c r="K949" s="4" t="s">
        <v>8</v>
      </c>
      <c r="L949" s="17">
        <f t="shared" si="28"/>
        <v>0</v>
      </c>
      <c r="M949" s="5">
        <f t="shared" si="29"/>
        <v>0</v>
      </c>
    </row>
    <row r="950" spans="1:13" ht="14.5">
      <c r="A950" s="3">
        <v>29</v>
      </c>
      <c r="B950" s="15">
        <f>AVERAGE(Sheet1!G948:G2285,Sheet1!D948:D2285)</f>
        <v>4550.9634183673461</v>
      </c>
      <c r="C950" s="3"/>
      <c r="J950" s="4" t="s">
        <v>7</v>
      </c>
      <c r="K950" s="4" t="s">
        <v>8</v>
      </c>
      <c r="L950" s="17">
        <f t="shared" si="28"/>
        <v>0</v>
      </c>
      <c r="M950" s="5">
        <f t="shared" si="29"/>
        <v>0</v>
      </c>
    </row>
    <row r="951" spans="1:13" ht="14.5">
      <c r="A951" s="3">
        <v>29</v>
      </c>
      <c r="B951" s="15">
        <f>AVERAGE(Sheet1!G949:G2286,Sheet1!D949:D2286)</f>
        <v>4557.4107416879788</v>
      </c>
      <c r="C951" s="3"/>
      <c r="J951" s="4" t="s">
        <v>7</v>
      </c>
      <c r="K951" s="4" t="s">
        <v>8</v>
      </c>
      <c r="L951" s="17">
        <f t="shared" si="28"/>
        <v>0</v>
      </c>
      <c r="M951" s="5">
        <f t="shared" si="29"/>
        <v>0</v>
      </c>
    </row>
    <row r="952" spans="1:13" ht="14.5">
      <c r="A952" s="3">
        <v>28</v>
      </c>
      <c r="B952" s="15">
        <f>AVERAGE(Sheet1!G950:G2287,Sheet1!D950:D2287)</f>
        <v>4548.4357692307685</v>
      </c>
      <c r="C952" s="3"/>
      <c r="J952" s="4" t="s">
        <v>10</v>
      </c>
      <c r="K952" s="4" t="s">
        <v>11</v>
      </c>
      <c r="L952" s="17">
        <f t="shared" si="28"/>
        <v>0</v>
      </c>
      <c r="M952" s="5">
        <f t="shared" si="29"/>
        <v>1</v>
      </c>
    </row>
    <row r="953" spans="1:13" ht="14.5">
      <c r="A953" s="3">
        <v>28</v>
      </c>
      <c r="B953" s="15">
        <f>AVERAGE(Sheet1!G951:G2288,Sheet1!D951:D2288)</f>
        <v>4554.405449871465</v>
      </c>
      <c r="C953" s="3"/>
      <c r="J953" s="4" t="s">
        <v>7</v>
      </c>
      <c r="K953" s="4" t="s">
        <v>8</v>
      </c>
      <c r="L953" s="17">
        <f t="shared" si="28"/>
        <v>0</v>
      </c>
      <c r="M953" s="5">
        <f t="shared" si="29"/>
        <v>0</v>
      </c>
    </row>
    <row r="954" spans="1:13" ht="14.5">
      <c r="A954" s="3">
        <v>28</v>
      </c>
      <c r="B954" s="15">
        <f>AVERAGE(Sheet1!G952:G2289,Sheet1!D952:D2289)</f>
        <v>4500.1699484536075</v>
      </c>
      <c r="C954" s="3"/>
      <c r="J954" s="4" t="s">
        <v>7</v>
      </c>
      <c r="K954" s="4" t="s">
        <v>11</v>
      </c>
      <c r="L954" s="17">
        <f t="shared" si="28"/>
        <v>1</v>
      </c>
      <c r="M954" s="5">
        <f t="shared" si="29"/>
        <v>0</v>
      </c>
    </row>
    <row r="955" spans="1:13" ht="14.5">
      <c r="A955" s="3">
        <v>28</v>
      </c>
      <c r="B955" s="15">
        <f>AVERAGE(Sheet1!G953:G2290,Sheet1!D953:D2290)</f>
        <v>4507.2027906976737</v>
      </c>
      <c r="C955" s="3"/>
      <c r="J955" s="4" t="s">
        <v>10</v>
      </c>
      <c r="K955" s="4" t="s">
        <v>8</v>
      </c>
      <c r="L955" s="17">
        <f t="shared" si="28"/>
        <v>0</v>
      </c>
      <c r="M955" s="5">
        <f t="shared" si="29"/>
        <v>0</v>
      </c>
    </row>
    <row r="956" spans="1:13" ht="14.5">
      <c r="A956" s="3">
        <v>28</v>
      </c>
      <c r="B956" s="15">
        <f>AVERAGE(Sheet1!G954:G2291,Sheet1!D954:D2291)</f>
        <v>4513.5237305699475</v>
      </c>
      <c r="C956" s="3"/>
      <c r="J956" s="4" t="s">
        <v>10</v>
      </c>
      <c r="K956" s="4" t="s">
        <v>8</v>
      </c>
      <c r="L956" s="17">
        <f t="shared" si="28"/>
        <v>0</v>
      </c>
      <c r="M956" s="5">
        <f t="shared" si="29"/>
        <v>0</v>
      </c>
    </row>
    <row r="957" spans="1:13" ht="14.5">
      <c r="A957" s="3">
        <v>28</v>
      </c>
      <c r="B957" s="15">
        <f>AVERAGE(Sheet1!G955:G2292,Sheet1!D955:D2292)</f>
        <v>4502.3041298701291</v>
      </c>
      <c r="C957" s="3"/>
      <c r="J957" s="4" t="s">
        <v>7</v>
      </c>
      <c r="K957" s="4" t="s">
        <v>11</v>
      </c>
      <c r="L957" s="17">
        <f t="shared" si="28"/>
        <v>1</v>
      </c>
      <c r="M957" s="5">
        <f t="shared" si="29"/>
        <v>0</v>
      </c>
    </row>
    <row r="958" spans="1:13" ht="14.5">
      <c r="A958" s="3">
        <v>28</v>
      </c>
      <c r="B958" s="15">
        <f>AVERAGE(Sheet1!G956:G2293,Sheet1!D956:D2293)</f>
        <v>4509.1227864583334</v>
      </c>
      <c r="C958" s="3"/>
      <c r="J958" s="4" t="s">
        <v>10</v>
      </c>
      <c r="K958" s="4" t="s">
        <v>8</v>
      </c>
      <c r="L958" s="17">
        <f t="shared" si="28"/>
        <v>0</v>
      </c>
      <c r="M958" s="5">
        <f t="shared" si="29"/>
        <v>0</v>
      </c>
    </row>
    <row r="959" spans="1:13" ht="14.5">
      <c r="A959" s="3">
        <v>28</v>
      </c>
      <c r="B959" s="15">
        <f>AVERAGE(Sheet1!G957:G2294,Sheet1!D957:D2294)</f>
        <v>4515.2318015665787</v>
      </c>
      <c r="C959" s="3"/>
      <c r="J959" s="4" t="s">
        <v>10</v>
      </c>
      <c r="K959" s="4" t="s">
        <v>8</v>
      </c>
      <c r="L959" s="17">
        <f t="shared" si="28"/>
        <v>0</v>
      </c>
      <c r="M959" s="5">
        <f t="shared" si="29"/>
        <v>0</v>
      </c>
    </row>
    <row r="960" spans="1:13" ht="14.5">
      <c r="A960" s="3">
        <v>28</v>
      </c>
      <c r="B960" s="15">
        <f>AVERAGE(Sheet1!G958:G2295,Sheet1!D958:D2295)</f>
        <v>4523.5314921465961</v>
      </c>
      <c r="C960" s="3"/>
      <c r="J960" s="4" t="s">
        <v>7</v>
      </c>
      <c r="K960" s="4" t="s">
        <v>8</v>
      </c>
      <c r="L960" s="17">
        <f t="shared" si="28"/>
        <v>0</v>
      </c>
      <c r="M960" s="5">
        <f t="shared" si="29"/>
        <v>0</v>
      </c>
    </row>
    <row r="961" spans="1:13" ht="14.5">
      <c r="A961" s="3">
        <v>28</v>
      </c>
      <c r="B961" s="15">
        <f>AVERAGE(Sheet1!G959:G2296,Sheet1!D959:D2296)</f>
        <v>4531.2415223097105</v>
      </c>
      <c r="C961" s="3"/>
      <c r="J961" s="4" t="s">
        <v>10</v>
      </c>
      <c r="K961" s="4" t="s">
        <v>8</v>
      </c>
      <c r="L961" s="17">
        <f t="shared" si="28"/>
        <v>0</v>
      </c>
      <c r="M961" s="5">
        <f t="shared" si="29"/>
        <v>0</v>
      </c>
    </row>
    <row r="962" spans="1:13" ht="14.5">
      <c r="A962" s="3">
        <v>28</v>
      </c>
      <c r="B962" s="15">
        <f>AVERAGE(Sheet1!G960:G2297,Sheet1!D960:D2297)</f>
        <v>4537.4402368421052</v>
      </c>
      <c r="C962" s="3"/>
      <c r="J962" s="4" t="s">
        <v>10</v>
      </c>
      <c r="K962" s="4" t="s">
        <v>8</v>
      </c>
      <c r="L962" s="17">
        <f t="shared" si="28"/>
        <v>0</v>
      </c>
      <c r="M962" s="5">
        <f t="shared" si="29"/>
        <v>0</v>
      </c>
    </row>
    <row r="963" spans="1:13" ht="14.5">
      <c r="A963" s="3">
        <v>28</v>
      </c>
      <c r="B963" s="15">
        <f>AVERAGE(Sheet1!G961:G2298,Sheet1!D961:D2298)</f>
        <v>4522.7901187335083</v>
      </c>
      <c r="C963" s="3"/>
      <c r="J963" s="4" t="s">
        <v>10</v>
      </c>
      <c r="K963" s="4" t="s">
        <v>8</v>
      </c>
      <c r="L963" s="17">
        <f t="shared" si="28"/>
        <v>0</v>
      </c>
      <c r="M963" s="5">
        <f t="shared" si="29"/>
        <v>0</v>
      </c>
    </row>
    <row r="964" spans="1:13" ht="14.5">
      <c r="A964" s="3">
        <v>28</v>
      </c>
      <c r="B964" s="15">
        <f>AVERAGE(Sheet1!G962:G2299,Sheet1!D962:D2299)</f>
        <v>4503.9483862433854</v>
      </c>
      <c r="C964" s="3"/>
      <c r="J964" s="4" t="s">
        <v>10</v>
      </c>
      <c r="K964" s="4" t="s">
        <v>8</v>
      </c>
      <c r="L964" s="17">
        <f t="shared" si="28"/>
        <v>0</v>
      </c>
      <c r="M964" s="5">
        <f t="shared" si="29"/>
        <v>0</v>
      </c>
    </row>
    <row r="965" spans="1:13" ht="14.5">
      <c r="A965" s="3">
        <v>28</v>
      </c>
      <c r="B965" s="15">
        <f>AVERAGE(Sheet1!G963:G2300,Sheet1!D963:D2300)</f>
        <v>4511.559854111405</v>
      </c>
      <c r="C965" s="3"/>
      <c r="J965" s="4" t="s">
        <v>7</v>
      </c>
      <c r="K965" s="4" t="s">
        <v>8</v>
      </c>
      <c r="L965" s="17">
        <f t="shared" si="28"/>
        <v>0</v>
      </c>
      <c r="M965" s="5">
        <f t="shared" si="29"/>
        <v>0</v>
      </c>
    </row>
    <row r="966" spans="1:13" ht="14.5">
      <c r="A966" s="3">
        <v>28</v>
      </c>
      <c r="B966" s="15">
        <f>AVERAGE(Sheet1!G964:G2301,Sheet1!D964:D2301)</f>
        <v>4518.4394414893613</v>
      </c>
      <c r="C966" s="3"/>
      <c r="J966" s="4" t="s">
        <v>7</v>
      </c>
      <c r="K966" s="4" t="s">
        <v>8</v>
      </c>
      <c r="L966" s="17">
        <f t="shared" ref="L966:L1029" si="30">IF(AND(J966="male", K966="yes"),1,0)</f>
        <v>0</v>
      </c>
      <c r="M966" s="5">
        <f t="shared" ref="M966:M1029" si="31">IF(AND(J966="female", K966="yes"), 1, 0)</f>
        <v>0</v>
      </c>
    </row>
    <row r="967" spans="1:13" ht="14.5">
      <c r="A967" s="3">
        <v>28</v>
      </c>
      <c r="B967" s="15">
        <f>AVERAGE(Sheet1!G965:G2302,Sheet1!D965:D2302)</f>
        <v>4524.5724933333331</v>
      </c>
      <c r="C967" s="3"/>
      <c r="J967" s="4" t="s">
        <v>7</v>
      </c>
      <c r="K967" s="4" t="s">
        <v>8</v>
      </c>
      <c r="L967" s="17">
        <f t="shared" si="30"/>
        <v>0</v>
      </c>
      <c r="M967" s="5">
        <f t="shared" si="31"/>
        <v>0</v>
      </c>
    </row>
    <row r="968" spans="1:13" ht="14.5">
      <c r="A968" s="3">
        <v>28</v>
      </c>
      <c r="B968" s="15">
        <f>AVERAGE(Sheet1!G966:G2303,Sheet1!D966:D2303)</f>
        <v>4532.5760160427799</v>
      </c>
      <c r="C968" s="3"/>
      <c r="J968" s="4" t="s">
        <v>7</v>
      </c>
      <c r="K968" s="4" t="s">
        <v>8</v>
      </c>
      <c r="L968" s="17">
        <f t="shared" si="30"/>
        <v>0</v>
      </c>
      <c r="M968" s="5">
        <f t="shared" si="31"/>
        <v>0</v>
      </c>
    </row>
    <row r="969" spans="1:13" ht="14.5">
      <c r="A969" s="3">
        <v>28</v>
      </c>
      <c r="B969" s="15">
        <f>AVERAGE(Sheet1!G967:G2304,Sheet1!D967:D2304)</f>
        <v>4538.788163538874</v>
      </c>
      <c r="C969" s="3"/>
      <c r="J969" s="4" t="s">
        <v>7</v>
      </c>
      <c r="K969" s="4" t="s">
        <v>8</v>
      </c>
      <c r="L969" s="17">
        <f t="shared" si="30"/>
        <v>0</v>
      </c>
      <c r="M969" s="5">
        <f t="shared" si="31"/>
        <v>0</v>
      </c>
    </row>
    <row r="970" spans="1:13" ht="14.5">
      <c r="A970" s="3">
        <v>28</v>
      </c>
      <c r="B970" s="15">
        <f>AVERAGE(Sheet1!G968:G2305,Sheet1!D968:D2305)</f>
        <v>4544.6427822580636</v>
      </c>
      <c r="C970" s="3"/>
      <c r="J970" s="4" t="s">
        <v>10</v>
      </c>
      <c r="K970" s="4" t="s">
        <v>8</v>
      </c>
      <c r="L970" s="17">
        <f t="shared" si="30"/>
        <v>0</v>
      </c>
      <c r="M970" s="5">
        <f t="shared" si="31"/>
        <v>0</v>
      </c>
    </row>
    <row r="971" spans="1:13" ht="14.5">
      <c r="A971" s="3">
        <v>28</v>
      </c>
      <c r="B971" s="15">
        <f>AVERAGE(Sheet1!G969:G2306,Sheet1!D969:D2306)</f>
        <v>4550.9083153638812</v>
      </c>
      <c r="C971" s="3"/>
      <c r="J971" s="4" t="s">
        <v>7</v>
      </c>
      <c r="K971" s="4" t="s">
        <v>8</v>
      </c>
      <c r="L971" s="17">
        <f t="shared" si="30"/>
        <v>0</v>
      </c>
      <c r="M971" s="5">
        <f t="shared" si="31"/>
        <v>0</v>
      </c>
    </row>
    <row r="972" spans="1:13" ht="14.5">
      <c r="A972" s="3">
        <v>28</v>
      </c>
      <c r="B972" s="15">
        <f>AVERAGE(Sheet1!G970:G2307,Sheet1!D970:D2307)</f>
        <v>4558.9358378378374</v>
      </c>
      <c r="C972" s="3"/>
      <c r="J972" s="4" t="s">
        <v>10</v>
      </c>
      <c r="K972" s="4" t="s">
        <v>8</v>
      </c>
      <c r="L972" s="17">
        <f t="shared" si="30"/>
        <v>0</v>
      </c>
      <c r="M972" s="5">
        <f t="shared" si="31"/>
        <v>0</v>
      </c>
    </row>
    <row r="973" spans="1:13" ht="14.5">
      <c r="A973" s="3">
        <v>28</v>
      </c>
      <c r="B973" s="15">
        <f>AVERAGE(Sheet1!G971:G2308,Sheet1!D971:D2308)</f>
        <v>4524.309444444445</v>
      </c>
      <c r="C973" s="3"/>
      <c r="J973" s="4" t="s">
        <v>7</v>
      </c>
      <c r="K973" s="4" t="s">
        <v>11</v>
      </c>
      <c r="L973" s="17">
        <f t="shared" si="30"/>
        <v>1</v>
      </c>
      <c r="M973" s="5">
        <f t="shared" si="31"/>
        <v>0</v>
      </c>
    </row>
    <row r="974" spans="1:13" ht="14.5">
      <c r="A974" s="3">
        <v>28</v>
      </c>
      <c r="B974" s="15">
        <f>AVERAGE(Sheet1!G972:G2309,Sheet1!D972:D2309)</f>
        <v>4529.3820652173918</v>
      </c>
      <c r="C974" s="3"/>
      <c r="J974" s="4" t="s">
        <v>10</v>
      </c>
      <c r="K974" s="4" t="s">
        <v>8</v>
      </c>
      <c r="L974" s="17">
        <f t="shared" si="30"/>
        <v>0</v>
      </c>
      <c r="M974" s="5">
        <f t="shared" si="31"/>
        <v>0</v>
      </c>
    </row>
    <row r="975" spans="1:13" ht="14.5">
      <c r="A975" s="3">
        <v>28</v>
      </c>
      <c r="B975" s="15">
        <f>AVERAGE(Sheet1!G973:G2310,Sheet1!D973:D2310)</f>
        <v>4514.9207901907357</v>
      </c>
      <c r="C975" s="3"/>
      <c r="J975" s="4" t="s">
        <v>7</v>
      </c>
      <c r="K975" s="4" t="s">
        <v>8</v>
      </c>
      <c r="L975" s="17">
        <f t="shared" si="30"/>
        <v>0</v>
      </c>
      <c r="M975" s="5">
        <f t="shared" si="31"/>
        <v>0</v>
      </c>
    </row>
    <row r="976" spans="1:13" ht="14.5">
      <c r="A976" s="3">
        <v>28</v>
      </c>
      <c r="B976" s="15">
        <f>AVERAGE(Sheet1!G974:G2311,Sheet1!D974:D2311)</f>
        <v>4522.9238387978139</v>
      </c>
      <c r="C976" s="3"/>
      <c r="J976" s="4" t="s">
        <v>10</v>
      </c>
      <c r="K976" s="4" t="s">
        <v>8</v>
      </c>
      <c r="L976" s="17">
        <f t="shared" si="30"/>
        <v>0</v>
      </c>
      <c r="M976" s="5">
        <f t="shared" si="31"/>
        <v>0</v>
      </c>
    </row>
    <row r="977" spans="1:13" ht="14.5">
      <c r="A977" s="3">
        <v>28</v>
      </c>
      <c r="B977" s="15">
        <f>AVERAGE(Sheet1!G975:G2312,Sheet1!D975:D2312)</f>
        <v>4527.6162739726033</v>
      </c>
      <c r="C977" s="3"/>
      <c r="J977" s="4" t="s">
        <v>7</v>
      </c>
      <c r="K977" s="4" t="s">
        <v>8</v>
      </c>
      <c r="L977" s="17">
        <f t="shared" si="30"/>
        <v>0</v>
      </c>
      <c r="M977" s="5">
        <f t="shared" si="31"/>
        <v>0</v>
      </c>
    </row>
    <row r="978" spans="1:13" ht="14.5">
      <c r="A978" s="3">
        <v>28</v>
      </c>
      <c r="B978" s="15">
        <f>AVERAGE(Sheet1!G976:G2313,Sheet1!D976:D2313)</f>
        <v>4535.5518131868139</v>
      </c>
      <c r="C978" s="3"/>
      <c r="J978" s="4" t="s">
        <v>7</v>
      </c>
      <c r="K978" s="4" t="s">
        <v>8</v>
      </c>
      <c r="L978" s="17">
        <f t="shared" si="30"/>
        <v>0</v>
      </c>
      <c r="M978" s="5">
        <f t="shared" si="31"/>
        <v>0</v>
      </c>
    </row>
    <row r="979" spans="1:13" ht="14.5">
      <c r="A979" s="3">
        <v>28</v>
      </c>
      <c r="B979" s="15">
        <f>AVERAGE(Sheet1!G977:G2314,Sheet1!D977:D2314)</f>
        <v>4542.9050826446282</v>
      </c>
      <c r="C979" s="3"/>
      <c r="J979" s="4" t="s">
        <v>10</v>
      </c>
      <c r="K979" s="4" t="s">
        <v>8</v>
      </c>
      <c r="L979" s="17">
        <f t="shared" si="30"/>
        <v>0</v>
      </c>
      <c r="M979" s="5">
        <f t="shared" si="31"/>
        <v>0</v>
      </c>
    </row>
    <row r="980" spans="1:13" ht="14.5">
      <c r="A980" s="3">
        <v>27</v>
      </c>
      <c r="B980" s="15">
        <f>AVERAGE(Sheet1!G978:G2315,Sheet1!D978:D2315)</f>
        <v>4549.4566988950273</v>
      </c>
      <c r="C980" s="3"/>
      <c r="J980" s="4" t="s">
        <v>10</v>
      </c>
      <c r="K980" s="4" t="s">
        <v>8</v>
      </c>
      <c r="L980" s="17">
        <f t="shared" si="30"/>
        <v>0</v>
      </c>
      <c r="M980" s="5">
        <f t="shared" si="31"/>
        <v>0</v>
      </c>
    </row>
    <row r="981" spans="1:13" ht="14.5">
      <c r="A981" s="3">
        <v>27</v>
      </c>
      <c r="B981" s="15">
        <f>AVERAGE(Sheet1!G979:G2316,Sheet1!D979:D2316)</f>
        <v>4507.1951385041557</v>
      </c>
      <c r="C981" s="3"/>
      <c r="J981" s="4" t="s">
        <v>7</v>
      </c>
      <c r="K981" s="4" t="s">
        <v>11</v>
      </c>
      <c r="L981" s="17">
        <f t="shared" si="30"/>
        <v>1</v>
      </c>
      <c r="M981" s="5">
        <f t="shared" si="31"/>
        <v>0</v>
      </c>
    </row>
    <row r="982" spans="1:13" ht="14.5">
      <c r="A982" s="3">
        <v>27</v>
      </c>
      <c r="B982" s="15">
        <f>AVERAGE(Sheet1!G980:G2317,Sheet1!D980:D2317)</f>
        <v>4496.6904305555563</v>
      </c>
      <c r="C982" s="3"/>
      <c r="J982" s="4" t="s">
        <v>10</v>
      </c>
      <c r="K982" s="4" t="s">
        <v>11</v>
      </c>
      <c r="L982" s="17">
        <f t="shared" si="30"/>
        <v>0</v>
      </c>
      <c r="M982" s="5">
        <f t="shared" si="31"/>
        <v>1</v>
      </c>
    </row>
    <row r="983" spans="1:13" ht="14.5">
      <c r="A983" s="3">
        <v>27</v>
      </c>
      <c r="B983" s="15">
        <f>AVERAGE(Sheet1!G981:G2318,Sheet1!D981:D2318)</f>
        <v>4502.4877576601675</v>
      </c>
      <c r="C983" s="3"/>
      <c r="J983" s="4" t="s">
        <v>7</v>
      </c>
      <c r="K983" s="4" t="s">
        <v>8</v>
      </c>
      <c r="L983" s="17">
        <f t="shared" si="30"/>
        <v>0</v>
      </c>
      <c r="M983" s="5">
        <f t="shared" si="31"/>
        <v>0</v>
      </c>
    </row>
    <row r="984" spans="1:13" ht="14.5">
      <c r="A984" s="3">
        <v>27</v>
      </c>
      <c r="B984" s="15">
        <f>AVERAGE(Sheet1!G982:G2319,Sheet1!D982:D2319)</f>
        <v>4463.2015502793301</v>
      </c>
      <c r="C984" s="3"/>
      <c r="J984" s="4" t="s">
        <v>10</v>
      </c>
      <c r="K984" s="4" t="s">
        <v>11</v>
      </c>
      <c r="L984" s="17">
        <f t="shared" si="30"/>
        <v>0</v>
      </c>
      <c r="M984" s="5">
        <f t="shared" si="31"/>
        <v>1</v>
      </c>
    </row>
    <row r="985" spans="1:13" ht="14.5">
      <c r="A985" s="3">
        <v>27</v>
      </c>
      <c r="B985" s="15">
        <f>AVERAGE(Sheet1!G983:G2320,Sheet1!D983:D2320)</f>
        <v>4472.2248879551826</v>
      </c>
      <c r="C985" s="3"/>
      <c r="J985" s="4" t="s">
        <v>7</v>
      </c>
      <c r="K985" s="4" t="s">
        <v>8</v>
      </c>
      <c r="L985" s="17">
        <f t="shared" si="30"/>
        <v>0</v>
      </c>
      <c r="M985" s="5">
        <f t="shared" si="31"/>
        <v>0</v>
      </c>
    </row>
    <row r="986" spans="1:13" ht="14.5">
      <c r="A986" s="3">
        <v>27</v>
      </c>
      <c r="B986" s="15">
        <f>AVERAGE(Sheet1!G984:G2321,Sheet1!D984:D2321)</f>
        <v>4478.7989185393262</v>
      </c>
      <c r="C986" s="3"/>
      <c r="J986" s="4" t="s">
        <v>7</v>
      </c>
      <c r="K986" s="4" t="s">
        <v>8</v>
      </c>
      <c r="L986" s="17">
        <f t="shared" si="30"/>
        <v>0</v>
      </c>
      <c r="M986" s="5">
        <f t="shared" si="31"/>
        <v>0</v>
      </c>
    </row>
    <row r="987" spans="1:13" ht="14.5">
      <c r="A987" s="3">
        <v>27</v>
      </c>
      <c r="B987" s="15">
        <f>AVERAGE(Sheet1!G985:G2322,Sheet1!D985:D2322)</f>
        <v>4442.3464225352109</v>
      </c>
      <c r="C987" s="3"/>
      <c r="J987" s="4" t="s">
        <v>10</v>
      </c>
      <c r="K987" s="4" t="s">
        <v>11</v>
      </c>
      <c r="L987" s="17">
        <f t="shared" si="30"/>
        <v>0</v>
      </c>
      <c r="M987" s="5">
        <f t="shared" si="31"/>
        <v>1</v>
      </c>
    </row>
    <row r="988" spans="1:13" ht="14.5">
      <c r="A988" s="3">
        <v>27</v>
      </c>
      <c r="B988" s="15">
        <f>AVERAGE(Sheet1!G986:G2323,Sheet1!D986:D2323)</f>
        <v>4449.8630932203387</v>
      </c>
      <c r="C988" s="3"/>
      <c r="J988" s="4" t="s">
        <v>10</v>
      </c>
      <c r="K988" s="4" t="s">
        <v>8</v>
      </c>
      <c r="L988" s="17">
        <f t="shared" si="30"/>
        <v>0</v>
      </c>
      <c r="M988" s="5">
        <f t="shared" si="31"/>
        <v>0</v>
      </c>
    </row>
    <row r="989" spans="1:13" ht="14.5">
      <c r="A989" s="3">
        <v>27</v>
      </c>
      <c r="B989" s="15">
        <f>AVERAGE(Sheet1!G987:G2324,Sheet1!D987:D2324)</f>
        <v>4441.2103257790368</v>
      </c>
      <c r="C989" s="3"/>
      <c r="J989" s="4" t="s">
        <v>10</v>
      </c>
      <c r="K989" s="4" t="s">
        <v>11</v>
      </c>
      <c r="L989" s="17">
        <f t="shared" si="30"/>
        <v>0</v>
      </c>
      <c r="M989" s="5">
        <f t="shared" si="31"/>
        <v>1</v>
      </c>
    </row>
    <row r="990" spans="1:13" ht="14.5">
      <c r="A990" s="3">
        <v>27</v>
      </c>
      <c r="B990" s="15">
        <f>AVERAGE(Sheet1!G988:G2325,Sheet1!D988:D2325)</f>
        <v>4427.1118465909085</v>
      </c>
      <c r="C990" s="3"/>
      <c r="J990" s="4" t="s">
        <v>10</v>
      </c>
      <c r="K990" s="4" t="s">
        <v>8</v>
      </c>
      <c r="L990" s="17">
        <f t="shared" si="30"/>
        <v>0</v>
      </c>
      <c r="M990" s="5">
        <f t="shared" si="31"/>
        <v>0</v>
      </c>
    </row>
    <row r="991" spans="1:13" ht="14.5">
      <c r="A991" s="3">
        <v>27</v>
      </c>
      <c r="B991" s="15">
        <f>AVERAGE(Sheet1!G989:G2326,Sheet1!D989:D2326)</f>
        <v>4436.1676638176632</v>
      </c>
      <c r="C991" s="3"/>
      <c r="J991" s="4" t="s">
        <v>7</v>
      </c>
      <c r="K991" s="4" t="s">
        <v>8</v>
      </c>
      <c r="L991" s="17">
        <f t="shared" si="30"/>
        <v>0</v>
      </c>
      <c r="M991" s="5">
        <f t="shared" si="31"/>
        <v>0</v>
      </c>
    </row>
    <row r="992" spans="1:13" ht="14.5">
      <c r="A992" s="3">
        <v>27</v>
      </c>
      <c r="B992" s="15">
        <f>AVERAGE(Sheet1!G990:G2327,Sheet1!D990:D2327)</f>
        <v>4445.2732714285712</v>
      </c>
      <c r="C992" s="3"/>
      <c r="J992" s="4" t="s">
        <v>7</v>
      </c>
      <c r="K992" s="4" t="s">
        <v>8</v>
      </c>
      <c r="L992" s="17">
        <f t="shared" si="30"/>
        <v>0</v>
      </c>
      <c r="M992" s="5">
        <f t="shared" si="31"/>
        <v>0</v>
      </c>
    </row>
    <row r="993" spans="1:13" ht="14.5">
      <c r="A993" s="3">
        <v>27</v>
      </c>
      <c r="B993" s="15">
        <f>AVERAGE(Sheet1!G991:G2328,Sheet1!D991:D2328)</f>
        <v>4454.4373495702002</v>
      </c>
      <c r="C993" s="3"/>
      <c r="J993" s="4" t="s">
        <v>7</v>
      </c>
      <c r="K993" s="4" t="s">
        <v>8</v>
      </c>
      <c r="L993" s="17">
        <f t="shared" si="30"/>
        <v>0</v>
      </c>
      <c r="M993" s="5">
        <f t="shared" si="31"/>
        <v>0</v>
      </c>
    </row>
    <row r="994" spans="1:13" ht="14.5">
      <c r="A994" s="3">
        <v>27</v>
      </c>
      <c r="B994" s="15">
        <f>AVERAGE(Sheet1!G992:G2329,Sheet1!D992:D2329)</f>
        <v>4462.1244971264368</v>
      </c>
      <c r="C994" s="3"/>
      <c r="J994" s="4" t="s">
        <v>10</v>
      </c>
      <c r="K994" s="4" t="s">
        <v>8</v>
      </c>
      <c r="L994" s="17">
        <f t="shared" si="30"/>
        <v>0</v>
      </c>
      <c r="M994" s="5">
        <f t="shared" si="31"/>
        <v>0</v>
      </c>
    </row>
    <row r="995" spans="1:13" ht="14.5">
      <c r="A995" s="3">
        <v>27</v>
      </c>
      <c r="B995" s="15">
        <f>AVERAGE(Sheet1!G993:G2330,Sheet1!D993:D2330)</f>
        <v>4469.1324783861673</v>
      </c>
      <c r="C995" s="3"/>
      <c r="J995" s="4" t="s">
        <v>7</v>
      </c>
      <c r="K995" s="4" t="s">
        <v>8</v>
      </c>
      <c r="L995" s="17">
        <f t="shared" si="30"/>
        <v>0</v>
      </c>
      <c r="M995" s="5">
        <f t="shared" si="31"/>
        <v>0</v>
      </c>
    </row>
    <row r="996" spans="1:13" ht="14.5">
      <c r="A996" s="3">
        <v>27</v>
      </c>
      <c r="B996" s="15">
        <f>AVERAGE(Sheet1!G994:G2331,Sheet1!D994:D2331)</f>
        <v>4431.7492341040461</v>
      </c>
      <c r="C996" s="3"/>
      <c r="J996" s="4" t="s">
        <v>7</v>
      </c>
      <c r="K996" s="4" t="s">
        <v>11</v>
      </c>
      <c r="L996" s="17">
        <f t="shared" si="30"/>
        <v>1</v>
      </c>
      <c r="M996" s="5">
        <f t="shared" si="31"/>
        <v>0</v>
      </c>
    </row>
    <row r="997" spans="1:13" ht="14.5">
      <c r="A997" s="3">
        <v>27</v>
      </c>
      <c r="B997" s="15">
        <f>AVERAGE(Sheet1!G995:G2332,Sheet1!D995:D2332)</f>
        <v>4439.407927536231</v>
      </c>
      <c r="C997" s="3"/>
      <c r="J997" s="4" t="s">
        <v>10</v>
      </c>
      <c r="K997" s="4" t="s">
        <v>8</v>
      </c>
      <c r="L997" s="17">
        <f t="shared" si="30"/>
        <v>0</v>
      </c>
      <c r="M997" s="5">
        <f t="shared" si="31"/>
        <v>0</v>
      </c>
    </row>
    <row r="998" spans="1:13" ht="14.5">
      <c r="A998" s="3">
        <v>27</v>
      </c>
      <c r="B998" s="15">
        <f>AVERAGE(Sheet1!G996:G2333,Sheet1!D996:D2333)</f>
        <v>4425.7921075581389</v>
      </c>
      <c r="C998" s="3"/>
      <c r="J998" s="4" t="s">
        <v>7</v>
      </c>
      <c r="K998" s="4" t="s">
        <v>11</v>
      </c>
      <c r="L998" s="17">
        <f t="shared" si="30"/>
        <v>1</v>
      </c>
      <c r="M998" s="5">
        <f t="shared" si="31"/>
        <v>0</v>
      </c>
    </row>
    <row r="999" spans="1:13" ht="14.5">
      <c r="A999" s="3">
        <v>27</v>
      </c>
      <c r="B999" s="15">
        <f>AVERAGE(Sheet1!G997:G2334,Sheet1!D997:D2334)</f>
        <v>4434.2188921282786</v>
      </c>
      <c r="C999" s="3"/>
      <c r="J999" s="4" t="s">
        <v>7</v>
      </c>
      <c r="K999" s="4" t="s">
        <v>8</v>
      </c>
      <c r="L999" s="17">
        <f t="shared" si="30"/>
        <v>0</v>
      </c>
      <c r="M999" s="5">
        <f t="shared" si="31"/>
        <v>0</v>
      </c>
    </row>
    <row r="1000" spans="1:13" ht="14.5">
      <c r="A1000" s="3">
        <v>27</v>
      </c>
      <c r="B1000" s="15">
        <f>AVERAGE(Sheet1!G998:G2335,Sheet1!D998:D2335)</f>
        <v>4420.4143567251467</v>
      </c>
      <c r="C1000" s="3"/>
      <c r="J1000" s="4" t="s">
        <v>7</v>
      </c>
      <c r="K1000" s="4" t="s">
        <v>11</v>
      </c>
      <c r="L1000" s="17">
        <f t="shared" si="30"/>
        <v>1</v>
      </c>
      <c r="M1000" s="5">
        <f t="shared" si="31"/>
        <v>0</v>
      </c>
    </row>
    <row r="1001" spans="1:13" ht="14.5">
      <c r="A1001" s="3">
        <v>27</v>
      </c>
      <c r="B1001" s="15">
        <f>AVERAGE(Sheet1!G999:G2336,Sheet1!D999:D2336)</f>
        <v>4429.0165542522</v>
      </c>
      <c r="C1001" s="3"/>
      <c r="J1001" s="4" t="s">
        <v>10</v>
      </c>
      <c r="K1001" s="4" t="s">
        <v>8</v>
      </c>
      <c r="L1001" s="17">
        <f t="shared" si="30"/>
        <v>0</v>
      </c>
      <c r="M1001" s="5">
        <f t="shared" si="31"/>
        <v>0</v>
      </c>
    </row>
    <row r="1002" spans="1:13" ht="14.5">
      <c r="A1002" s="3">
        <v>27</v>
      </c>
      <c r="B1002" s="15">
        <f>AVERAGE(Sheet1!G1000:G2337,Sheet1!D1000:D2337)</f>
        <v>4434.9108382352952</v>
      </c>
      <c r="C1002" s="3"/>
      <c r="J1002" s="4" t="s">
        <v>7</v>
      </c>
      <c r="K1002" s="4" t="s">
        <v>8</v>
      </c>
      <c r="L1002" s="17">
        <f t="shared" si="30"/>
        <v>0</v>
      </c>
      <c r="M1002" s="5">
        <f t="shared" si="31"/>
        <v>0</v>
      </c>
    </row>
    <row r="1003" spans="1:13" ht="14.5">
      <c r="A1003" s="3">
        <v>27</v>
      </c>
      <c r="B1003" s="15">
        <f>AVERAGE(Sheet1!G1001:G2338,Sheet1!D1001:D2338)</f>
        <v>4423.2182300884961</v>
      </c>
      <c r="C1003" s="3"/>
      <c r="J1003" s="4" t="s">
        <v>10</v>
      </c>
      <c r="K1003" s="4" t="s">
        <v>8</v>
      </c>
      <c r="L1003" s="17">
        <f t="shared" si="30"/>
        <v>0</v>
      </c>
      <c r="M1003" s="5">
        <f t="shared" si="31"/>
        <v>0</v>
      </c>
    </row>
    <row r="1004" spans="1:13" ht="14.5">
      <c r="A1004" s="3">
        <v>27</v>
      </c>
      <c r="B1004" s="15">
        <f>AVERAGE(Sheet1!G1002:G2339,Sheet1!D1002:D2339)</f>
        <v>4412.0095710059177</v>
      </c>
      <c r="C1004" s="3"/>
      <c r="J1004" s="4" t="s">
        <v>10</v>
      </c>
      <c r="K1004" s="4" t="s">
        <v>11</v>
      </c>
      <c r="L1004" s="17">
        <f t="shared" si="30"/>
        <v>0</v>
      </c>
      <c r="M1004" s="5">
        <f t="shared" si="31"/>
        <v>1</v>
      </c>
    </row>
    <row r="1005" spans="1:13" ht="14.5">
      <c r="A1005" s="3">
        <v>27</v>
      </c>
      <c r="B1005" s="15">
        <f>AVERAGE(Sheet1!G1003:G2340,Sheet1!D1003:D2340)</f>
        <v>4420.1261127596435</v>
      </c>
      <c r="C1005" s="3"/>
      <c r="J1005" s="4" t="s">
        <v>10</v>
      </c>
      <c r="K1005" s="4" t="s">
        <v>8</v>
      </c>
      <c r="L1005" s="17">
        <f t="shared" si="30"/>
        <v>0</v>
      </c>
      <c r="M1005" s="5">
        <f t="shared" si="31"/>
        <v>0</v>
      </c>
    </row>
    <row r="1006" spans="1:13" ht="14.5">
      <c r="A1006" s="3">
        <v>27</v>
      </c>
      <c r="B1006" s="15">
        <f>AVERAGE(Sheet1!G1004:G2341,Sheet1!D1004:D2341)</f>
        <v>4405.1495684523816</v>
      </c>
      <c r="C1006" s="3"/>
      <c r="J1006" s="4" t="s">
        <v>10</v>
      </c>
      <c r="K1006" s="4" t="s">
        <v>8</v>
      </c>
      <c r="L1006" s="17">
        <f t="shared" si="30"/>
        <v>0</v>
      </c>
      <c r="M1006" s="5">
        <f t="shared" si="31"/>
        <v>0</v>
      </c>
    </row>
    <row r="1007" spans="1:13" ht="14.5">
      <c r="A1007" s="3">
        <v>27</v>
      </c>
      <c r="B1007" s="15">
        <f>AVERAGE(Sheet1!G1005:G2342,Sheet1!D1005:D2342)</f>
        <v>4412.7837014925381</v>
      </c>
      <c r="C1007" s="3"/>
      <c r="J1007" s="4" t="s">
        <v>7</v>
      </c>
      <c r="K1007" s="4" t="s">
        <v>8</v>
      </c>
      <c r="L1007" s="17">
        <f t="shared" si="30"/>
        <v>0</v>
      </c>
      <c r="M1007" s="5">
        <f t="shared" si="31"/>
        <v>0</v>
      </c>
    </row>
    <row r="1008" spans="1:13" ht="14.5">
      <c r="A1008" s="3">
        <v>26</v>
      </c>
      <c r="B1008" s="15">
        <f>AVERAGE(Sheet1!G1006:G2343,Sheet1!D1006:D2343)</f>
        <v>4420.0718712574853</v>
      </c>
      <c r="C1008" s="3"/>
      <c r="J1008" s="4" t="s">
        <v>10</v>
      </c>
      <c r="K1008" s="4" t="s">
        <v>8</v>
      </c>
      <c r="L1008" s="17">
        <f t="shared" si="30"/>
        <v>0</v>
      </c>
      <c r="M1008" s="5">
        <f t="shared" si="31"/>
        <v>0</v>
      </c>
    </row>
    <row r="1009" spans="1:13" ht="14.5">
      <c r="A1009" s="3">
        <v>26</v>
      </c>
      <c r="B1009" s="15">
        <f>AVERAGE(Sheet1!G1007:G2344,Sheet1!D1007:D2344)</f>
        <v>4429.8884534534545</v>
      </c>
      <c r="C1009" s="3"/>
      <c r="J1009" s="4" t="s">
        <v>7</v>
      </c>
      <c r="K1009" s="4" t="s">
        <v>8</v>
      </c>
      <c r="L1009" s="17">
        <f t="shared" si="30"/>
        <v>0</v>
      </c>
      <c r="M1009" s="5">
        <f t="shared" si="31"/>
        <v>0</v>
      </c>
    </row>
    <row r="1010" spans="1:13" ht="14.5">
      <c r="A1010" s="3">
        <v>26</v>
      </c>
      <c r="B1010" s="15">
        <f>AVERAGE(Sheet1!G1008:G2345,Sheet1!D1008:D2345)</f>
        <v>4437.3891716867483</v>
      </c>
      <c r="C1010" s="3"/>
      <c r="J1010" s="4" t="s">
        <v>7</v>
      </c>
      <c r="K1010" s="4" t="s">
        <v>8</v>
      </c>
      <c r="L1010" s="17">
        <f t="shared" si="30"/>
        <v>0</v>
      </c>
      <c r="M1010" s="5">
        <f t="shared" si="31"/>
        <v>0</v>
      </c>
    </row>
    <row r="1011" spans="1:13" ht="14.5">
      <c r="A1011" s="3">
        <v>26</v>
      </c>
      <c r="B1011" s="15">
        <f>AVERAGE(Sheet1!G1009:G2346,Sheet1!D1009:D2346)</f>
        <v>4445.6812839879158</v>
      </c>
      <c r="C1011" s="3"/>
      <c r="J1011" s="4" t="s">
        <v>10</v>
      </c>
      <c r="K1011" s="4" t="s">
        <v>8</v>
      </c>
      <c r="L1011" s="17">
        <f t="shared" si="30"/>
        <v>0</v>
      </c>
      <c r="M1011" s="5">
        <f t="shared" si="31"/>
        <v>0</v>
      </c>
    </row>
    <row r="1012" spans="1:13" ht="14.5">
      <c r="A1012" s="3">
        <v>26</v>
      </c>
      <c r="B1012" s="15">
        <f>AVERAGE(Sheet1!G1010:G2347,Sheet1!D1010:D2347)</f>
        <v>4453.8628181818185</v>
      </c>
      <c r="C1012" s="3"/>
      <c r="J1012" s="4" t="s">
        <v>7</v>
      </c>
      <c r="K1012" s="4" t="s">
        <v>8</v>
      </c>
      <c r="L1012" s="17">
        <f t="shared" si="30"/>
        <v>0</v>
      </c>
      <c r="M1012" s="5">
        <f t="shared" si="31"/>
        <v>0</v>
      </c>
    </row>
    <row r="1013" spans="1:13" ht="14.5">
      <c r="A1013" s="3">
        <v>26</v>
      </c>
      <c r="B1013" s="15">
        <f>AVERAGE(Sheet1!G1011:G2348,Sheet1!D1011:D2348)</f>
        <v>4461.3457142857151</v>
      </c>
      <c r="C1013" s="3"/>
      <c r="J1013" s="4" t="s">
        <v>10</v>
      </c>
      <c r="K1013" s="4" t="s">
        <v>8</v>
      </c>
      <c r="L1013" s="17">
        <f t="shared" si="30"/>
        <v>0</v>
      </c>
      <c r="M1013" s="5">
        <f t="shared" si="31"/>
        <v>0</v>
      </c>
    </row>
    <row r="1014" spans="1:13" ht="14.5">
      <c r="A1014" s="3">
        <v>26</v>
      </c>
      <c r="B1014" s="15">
        <f>AVERAGE(Sheet1!G1012:G2349,Sheet1!D1012:D2349)</f>
        <v>4469.7736280487807</v>
      </c>
      <c r="C1014" s="3"/>
      <c r="J1014" s="4" t="s">
        <v>10</v>
      </c>
      <c r="K1014" s="4" t="s">
        <v>8</v>
      </c>
      <c r="L1014" s="17">
        <f t="shared" si="30"/>
        <v>0</v>
      </c>
      <c r="M1014" s="5">
        <f t="shared" si="31"/>
        <v>0</v>
      </c>
    </row>
    <row r="1015" spans="1:13" ht="14.5">
      <c r="A1015" s="3">
        <v>26</v>
      </c>
      <c r="B1015" s="15">
        <f>AVERAGE(Sheet1!G1013:G2350,Sheet1!D1013:D2350)</f>
        <v>4445.7122935779826</v>
      </c>
      <c r="C1015" s="3"/>
      <c r="J1015" s="4" t="s">
        <v>10</v>
      </c>
      <c r="K1015" s="4" t="s">
        <v>8</v>
      </c>
      <c r="L1015" s="17">
        <f t="shared" si="30"/>
        <v>0</v>
      </c>
      <c r="M1015" s="5">
        <f t="shared" si="31"/>
        <v>0</v>
      </c>
    </row>
    <row r="1016" spans="1:13" ht="14.5">
      <c r="A1016" s="3">
        <v>26</v>
      </c>
      <c r="B1016" s="15">
        <f>AVERAGE(Sheet1!G1014:G2351,Sheet1!D1014:D2351)</f>
        <v>4404.0009509202464</v>
      </c>
      <c r="C1016" s="3"/>
      <c r="J1016" s="4" t="s">
        <v>7</v>
      </c>
      <c r="K1016" s="4" t="s">
        <v>11</v>
      </c>
      <c r="L1016" s="17">
        <f t="shared" si="30"/>
        <v>1</v>
      </c>
      <c r="M1016" s="5">
        <f t="shared" si="31"/>
        <v>0</v>
      </c>
    </row>
    <row r="1017" spans="1:13" ht="14.5">
      <c r="A1017" s="3">
        <v>26</v>
      </c>
      <c r="B1017" s="15">
        <f>AVERAGE(Sheet1!G1015:G2352,Sheet1!D1015:D2352)</f>
        <v>4412.6643076923092</v>
      </c>
      <c r="C1017" s="3"/>
      <c r="J1017" s="4" t="s">
        <v>10</v>
      </c>
      <c r="K1017" s="4" t="s">
        <v>8</v>
      </c>
      <c r="L1017" s="17">
        <f t="shared" si="30"/>
        <v>0</v>
      </c>
      <c r="M1017" s="5">
        <f t="shared" si="31"/>
        <v>0</v>
      </c>
    </row>
    <row r="1018" spans="1:13" ht="14.5">
      <c r="A1018" s="3">
        <v>26</v>
      </c>
      <c r="B1018" s="15">
        <f>AVERAGE(Sheet1!G1016:G2353,Sheet1!D1016:D2353)</f>
        <v>4403.9724691358042</v>
      </c>
      <c r="C1018" s="3"/>
      <c r="J1018" s="4" t="s">
        <v>10</v>
      </c>
      <c r="K1018" s="4" t="s">
        <v>11</v>
      </c>
      <c r="L1018" s="17">
        <f t="shared" si="30"/>
        <v>0</v>
      </c>
      <c r="M1018" s="5">
        <f t="shared" si="31"/>
        <v>1</v>
      </c>
    </row>
    <row r="1019" spans="1:13" ht="14.5">
      <c r="A1019" s="3">
        <v>26</v>
      </c>
      <c r="B1019" s="15">
        <f>AVERAGE(Sheet1!G1017:G2354,Sheet1!D1017:D2354)</f>
        <v>4413.1220433436556</v>
      </c>
      <c r="C1019" s="3"/>
      <c r="J1019" s="4" t="s">
        <v>7</v>
      </c>
      <c r="K1019" s="4" t="s">
        <v>8</v>
      </c>
      <c r="L1019" s="17">
        <f t="shared" si="30"/>
        <v>0</v>
      </c>
      <c r="M1019" s="5">
        <f t="shared" si="31"/>
        <v>0</v>
      </c>
    </row>
    <row r="1020" spans="1:13" ht="14.5">
      <c r="A1020" s="3">
        <v>26</v>
      </c>
      <c r="B1020" s="15">
        <f>AVERAGE(Sheet1!G1018:G2355,Sheet1!D1018:D2355)</f>
        <v>4421.5303105590074</v>
      </c>
      <c r="C1020" s="3"/>
      <c r="J1020" s="4" t="s">
        <v>10</v>
      </c>
      <c r="K1020" s="4" t="s">
        <v>8</v>
      </c>
      <c r="L1020" s="17">
        <f t="shared" si="30"/>
        <v>0</v>
      </c>
      <c r="M1020" s="5">
        <f t="shared" si="31"/>
        <v>0</v>
      </c>
    </row>
    <row r="1021" spans="1:13" ht="14.5">
      <c r="A1021" s="3">
        <v>26</v>
      </c>
      <c r="B1021" s="15">
        <f>AVERAGE(Sheet1!G1019:G2356,Sheet1!D1019:D2356)</f>
        <v>4430.3181775700959</v>
      </c>
      <c r="C1021" s="3"/>
      <c r="J1021" s="4" t="s">
        <v>10</v>
      </c>
      <c r="K1021" s="4" t="s">
        <v>8</v>
      </c>
      <c r="L1021" s="17">
        <f t="shared" si="30"/>
        <v>0</v>
      </c>
      <c r="M1021" s="5">
        <f t="shared" si="31"/>
        <v>0</v>
      </c>
    </row>
    <row r="1022" spans="1:13" ht="14.5">
      <c r="A1022" s="3">
        <v>26</v>
      </c>
      <c r="B1022" s="15">
        <f>AVERAGE(Sheet1!G1020:G2357,Sheet1!D1020:D2357)</f>
        <v>4438.7155312500017</v>
      </c>
      <c r="C1022" s="3"/>
      <c r="J1022" s="4" t="s">
        <v>7</v>
      </c>
      <c r="K1022" s="4" t="s">
        <v>8</v>
      </c>
      <c r="L1022" s="17">
        <f t="shared" si="30"/>
        <v>0</v>
      </c>
      <c r="M1022" s="5">
        <f t="shared" si="31"/>
        <v>0</v>
      </c>
    </row>
    <row r="1023" spans="1:13" ht="14.5">
      <c r="A1023" s="3">
        <v>26</v>
      </c>
      <c r="B1023" s="15">
        <f>AVERAGE(Sheet1!G1021:G2358,Sheet1!D1021:D2358)</f>
        <v>4448.4278840125407</v>
      </c>
      <c r="C1023" s="3"/>
      <c r="J1023" s="4" t="s">
        <v>7</v>
      </c>
      <c r="K1023" s="4" t="s">
        <v>8</v>
      </c>
      <c r="L1023" s="17">
        <f t="shared" si="30"/>
        <v>0</v>
      </c>
      <c r="M1023" s="5">
        <f t="shared" si="31"/>
        <v>0</v>
      </c>
    </row>
    <row r="1024" spans="1:13" ht="14.5">
      <c r="A1024" s="3">
        <v>26</v>
      </c>
      <c r="B1024" s="15">
        <f>AVERAGE(Sheet1!G1022:G2359,Sheet1!D1022:D2359)</f>
        <v>4457.0811635220152</v>
      </c>
      <c r="C1024" s="3"/>
      <c r="J1024" s="4" t="s">
        <v>10</v>
      </c>
      <c r="K1024" s="4" t="s">
        <v>8</v>
      </c>
      <c r="L1024" s="17">
        <f t="shared" si="30"/>
        <v>0</v>
      </c>
      <c r="M1024" s="5">
        <f t="shared" si="31"/>
        <v>0</v>
      </c>
    </row>
    <row r="1025" spans="1:13" ht="14.5">
      <c r="A1025" s="3">
        <v>26</v>
      </c>
      <c r="B1025" s="15">
        <f>AVERAGE(Sheet1!G1023:G2360,Sheet1!D1023:D2360)</f>
        <v>4463.7844321766588</v>
      </c>
      <c r="C1025" s="3"/>
      <c r="J1025" s="4" t="s">
        <v>7</v>
      </c>
      <c r="K1025" s="4" t="s">
        <v>8</v>
      </c>
      <c r="L1025" s="17">
        <f t="shared" si="30"/>
        <v>0</v>
      </c>
      <c r="M1025" s="5">
        <f t="shared" si="31"/>
        <v>0</v>
      </c>
    </row>
    <row r="1026" spans="1:13" ht="14.5">
      <c r="A1026" s="3">
        <v>26</v>
      </c>
      <c r="B1026" s="15">
        <f>AVERAGE(Sheet1!G1024:G2361,Sheet1!D1024:D2361)</f>
        <v>4470.6853481012686</v>
      </c>
      <c r="C1026" s="3"/>
      <c r="J1026" s="4" t="s">
        <v>10</v>
      </c>
      <c r="K1026" s="4" t="s">
        <v>8</v>
      </c>
      <c r="L1026" s="17">
        <f t="shared" si="30"/>
        <v>0</v>
      </c>
      <c r="M1026" s="5">
        <f t="shared" si="31"/>
        <v>0</v>
      </c>
    </row>
    <row r="1027" spans="1:13" ht="14.5">
      <c r="A1027" s="3">
        <v>26</v>
      </c>
      <c r="B1027" s="15">
        <f>AVERAGE(Sheet1!G1025:G2362,Sheet1!D1025:D2362)</f>
        <v>4480.2302857142877</v>
      </c>
      <c r="C1027" s="3"/>
      <c r="J1027" s="4" t="s">
        <v>7</v>
      </c>
      <c r="K1027" s="4" t="s">
        <v>8</v>
      </c>
      <c r="L1027" s="17">
        <f t="shared" si="30"/>
        <v>0</v>
      </c>
      <c r="M1027" s="5">
        <f t="shared" si="31"/>
        <v>0</v>
      </c>
    </row>
    <row r="1028" spans="1:13" ht="14.5">
      <c r="A1028" s="3">
        <v>26</v>
      </c>
      <c r="B1028" s="15">
        <f>AVERAGE(Sheet1!G1026:G2363,Sheet1!D1026:D2363)</f>
        <v>4490.8000955414045</v>
      </c>
      <c r="C1028" s="3"/>
      <c r="J1028" s="4" t="s">
        <v>7</v>
      </c>
      <c r="K1028" s="4" t="s">
        <v>8</v>
      </c>
      <c r="L1028" s="17">
        <f t="shared" si="30"/>
        <v>0</v>
      </c>
      <c r="M1028" s="5">
        <f t="shared" si="31"/>
        <v>0</v>
      </c>
    </row>
    <row r="1029" spans="1:13" ht="14.5">
      <c r="A1029" s="3">
        <v>26</v>
      </c>
      <c r="B1029" s="15">
        <f>AVERAGE(Sheet1!G1027:G2364,Sheet1!D1027:D2364)</f>
        <v>4500.5088658146988</v>
      </c>
      <c r="C1029" s="3"/>
      <c r="J1029" s="4" t="s">
        <v>7</v>
      </c>
      <c r="K1029" s="4" t="s">
        <v>8</v>
      </c>
      <c r="L1029" s="17">
        <f t="shared" si="30"/>
        <v>0</v>
      </c>
      <c r="M1029" s="5">
        <f t="shared" si="31"/>
        <v>0</v>
      </c>
    </row>
    <row r="1030" spans="1:13" ht="14.5">
      <c r="A1030" s="3">
        <v>26</v>
      </c>
      <c r="B1030" s="15">
        <f>AVERAGE(Sheet1!G1028:G2365,Sheet1!D1028:D2365)</f>
        <v>4509.5170512820541</v>
      </c>
      <c r="C1030" s="3"/>
      <c r="J1030" s="4" t="s">
        <v>10</v>
      </c>
      <c r="K1030" s="4" t="s">
        <v>8</v>
      </c>
      <c r="L1030" s="17">
        <f t="shared" ref="L1030:L1093" si="32">IF(AND(J1030="male", K1030="yes"),1,0)</f>
        <v>0</v>
      </c>
      <c r="M1030" s="5">
        <f t="shared" ref="M1030:M1093" si="33">IF(AND(J1030="female", K1030="yes"), 1, 0)</f>
        <v>0</v>
      </c>
    </row>
    <row r="1031" spans="1:13" ht="14.5">
      <c r="A1031" s="3">
        <v>26</v>
      </c>
      <c r="B1031" s="15">
        <f>AVERAGE(Sheet1!G1029:G2366,Sheet1!D1029:D2366)</f>
        <v>4517.6024276527351</v>
      </c>
      <c r="C1031" s="3"/>
      <c r="J1031" s="4" t="s">
        <v>10</v>
      </c>
      <c r="K1031" s="4" t="s">
        <v>8</v>
      </c>
      <c r="L1031" s="17">
        <f t="shared" si="32"/>
        <v>0</v>
      </c>
      <c r="M1031" s="5">
        <f t="shared" si="33"/>
        <v>0</v>
      </c>
    </row>
    <row r="1032" spans="1:13" ht="14.5">
      <c r="A1032" s="3">
        <v>26</v>
      </c>
      <c r="B1032" s="15">
        <f>AVERAGE(Sheet1!G1030:G2367,Sheet1!D1030:D2367)</f>
        <v>4527.4897096774221</v>
      </c>
      <c r="C1032" s="3"/>
      <c r="J1032" s="4" t="s">
        <v>7</v>
      </c>
      <c r="K1032" s="4" t="s">
        <v>8</v>
      </c>
      <c r="L1032" s="17">
        <f t="shared" si="32"/>
        <v>0</v>
      </c>
      <c r="M1032" s="5">
        <f t="shared" si="33"/>
        <v>0</v>
      </c>
    </row>
    <row r="1033" spans="1:13" ht="14.5">
      <c r="A1033" s="3">
        <v>26</v>
      </c>
      <c r="B1033" s="15">
        <f>AVERAGE(Sheet1!G1031:G2368,Sheet1!D1031:D2368)</f>
        <v>4537.0021521035624</v>
      </c>
      <c r="C1033" s="3"/>
      <c r="J1033" s="4" t="s">
        <v>10</v>
      </c>
      <c r="K1033" s="4" t="s">
        <v>8</v>
      </c>
      <c r="L1033" s="17">
        <f t="shared" si="32"/>
        <v>0</v>
      </c>
      <c r="M1033" s="5">
        <f t="shared" si="33"/>
        <v>0</v>
      </c>
    </row>
    <row r="1034" spans="1:13" ht="14.5">
      <c r="A1034" s="3">
        <v>26</v>
      </c>
      <c r="B1034" s="15">
        <f>AVERAGE(Sheet1!G1032:G2369,Sheet1!D1032:D2369)</f>
        <v>4547.3502597402621</v>
      </c>
      <c r="C1034" s="3"/>
      <c r="J1034" s="4" t="s">
        <v>7</v>
      </c>
      <c r="K1034" s="4" t="s">
        <v>8</v>
      </c>
      <c r="L1034" s="17">
        <f t="shared" si="32"/>
        <v>0</v>
      </c>
      <c r="M1034" s="5">
        <f t="shared" si="33"/>
        <v>0</v>
      </c>
    </row>
    <row r="1035" spans="1:13" ht="14.5">
      <c r="A1035" s="3">
        <v>26</v>
      </c>
      <c r="B1035" s="15">
        <f>AVERAGE(Sheet1!G1033:G2370,Sheet1!D1033:D2370)</f>
        <v>4556.7984201954423</v>
      </c>
      <c r="C1035" s="3"/>
      <c r="J1035" s="4" t="s">
        <v>7</v>
      </c>
      <c r="K1035" s="4" t="s">
        <v>8</v>
      </c>
      <c r="L1035" s="17">
        <f t="shared" si="32"/>
        <v>0</v>
      </c>
      <c r="M1035" s="5">
        <f t="shared" si="33"/>
        <v>0</v>
      </c>
    </row>
    <row r="1036" spans="1:13" ht="14.5">
      <c r="A1036" s="3">
        <v>25</v>
      </c>
      <c r="B1036" s="15">
        <f>AVERAGE(Sheet1!G1034:G2371,Sheet1!D1034:D2371)</f>
        <v>4543.8413235294147</v>
      </c>
      <c r="C1036" s="3"/>
      <c r="J1036" s="4" t="s">
        <v>7</v>
      </c>
      <c r="K1036" s="4" t="s">
        <v>11</v>
      </c>
      <c r="L1036" s="17">
        <f t="shared" si="32"/>
        <v>1</v>
      </c>
      <c r="M1036" s="5">
        <f t="shared" si="33"/>
        <v>0</v>
      </c>
    </row>
    <row r="1037" spans="1:13" ht="14.5">
      <c r="A1037" s="3">
        <v>25</v>
      </c>
      <c r="B1037" s="15">
        <f>AVERAGE(Sheet1!G1035:G2372,Sheet1!D1035:D2372)</f>
        <v>4554.2779836065592</v>
      </c>
      <c r="C1037" s="3"/>
      <c r="J1037" s="4" t="s">
        <v>7</v>
      </c>
      <c r="K1037" s="4" t="s">
        <v>8</v>
      </c>
      <c r="L1037" s="17">
        <f t="shared" si="32"/>
        <v>0</v>
      </c>
      <c r="M1037" s="5">
        <f t="shared" si="33"/>
        <v>0</v>
      </c>
    </row>
    <row r="1038" spans="1:13" ht="14.5">
      <c r="A1038" s="3">
        <v>25</v>
      </c>
      <c r="B1038" s="15">
        <f>AVERAGE(Sheet1!G1036:G2373,Sheet1!D1036:D2373)</f>
        <v>4561.8436019736864</v>
      </c>
      <c r="C1038" s="3"/>
      <c r="J1038" s="4" t="s">
        <v>7</v>
      </c>
      <c r="K1038" s="4" t="s">
        <v>8</v>
      </c>
      <c r="L1038" s="17">
        <f t="shared" si="32"/>
        <v>0</v>
      </c>
      <c r="M1038" s="5">
        <f t="shared" si="33"/>
        <v>0</v>
      </c>
    </row>
    <row r="1039" spans="1:13" ht="14.5">
      <c r="A1039" s="3">
        <v>25</v>
      </c>
      <c r="B1039" s="15">
        <f>AVERAGE(Sheet1!G1037:G2374,Sheet1!D1037:D2374)</f>
        <v>4573.3717161716195</v>
      </c>
      <c r="C1039" s="3"/>
      <c r="J1039" s="4" t="s">
        <v>7</v>
      </c>
      <c r="K1039" s="4" t="s">
        <v>8</v>
      </c>
      <c r="L1039" s="17">
        <f t="shared" si="32"/>
        <v>0</v>
      </c>
      <c r="M1039" s="5">
        <f t="shared" si="33"/>
        <v>0</v>
      </c>
    </row>
    <row r="1040" spans="1:13" ht="14.5">
      <c r="A1040" s="3">
        <v>25</v>
      </c>
      <c r="B1040" s="15">
        <f>AVERAGE(Sheet1!G1038:G2375,Sheet1!D1038:D2375)</f>
        <v>4584.3378973509953</v>
      </c>
      <c r="C1040" s="3"/>
      <c r="J1040" s="4" t="s">
        <v>7</v>
      </c>
      <c r="K1040" s="4" t="s">
        <v>8</v>
      </c>
      <c r="L1040" s="17">
        <f t="shared" si="32"/>
        <v>0</v>
      </c>
      <c r="M1040" s="5">
        <f t="shared" si="33"/>
        <v>0</v>
      </c>
    </row>
    <row r="1041" spans="1:13" ht="14.5">
      <c r="A1041" s="3">
        <v>25</v>
      </c>
      <c r="B1041" s="15">
        <f>AVERAGE(Sheet1!G1039:G2376,Sheet1!D1039:D2376)</f>
        <v>4529.6110465116308</v>
      </c>
      <c r="C1041" s="3"/>
      <c r="J1041" s="4" t="s">
        <v>7</v>
      </c>
      <c r="K1041" s="4" t="s">
        <v>11</v>
      </c>
      <c r="L1041" s="17">
        <f t="shared" si="32"/>
        <v>1</v>
      </c>
      <c r="M1041" s="5">
        <f t="shared" si="33"/>
        <v>0</v>
      </c>
    </row>
    <row r="1042" spans="1:13" ht="14.5">
      <c r="A1042" s="3">
        <v>25</v>
      </c>
      <c r="B1042" s="15">
        <f>AVERAGE(Sheet1!G1040:G2377,Sheet1!D1040:D2377)</f>
        <v>4538.1945333333351</v>
      </c>
      <c r="C1042" s="3"/>
      <c r="J1042" s="4" t="s">
        <v>7</v>
      </c>
      <c r="K1042" s="4" t="s">
        <v>8</v>
      </c>
      <c r="L1042" s="17">
        <f t="shared" si="32"/>
        <v>0</v>
      </c>
      <c r="M1042" s="5">
        <f t="shared" si="33"/>
        <v>0</v>
      </c>
    </row>
    <row r="1043" spans="1:13" ht="14.5">
      <c r="A1043" s="3">
        <v>25</v>
      </c>
      <c r="B1043" s="15">
        <f>AVERAGE(Sheet1!G1041:G2378,Sheet1!D1041:D2378)</f>
        <v>4544.8689297658884</v>
      </c>
      <c r="C1043" s="3"/>
      <c r="J1043" s="4" t="s">
        <v>7</v>
      </c>
      <c r="K1043" s="4" t="s">
        <v>8</v>
      </c>
      <c r="L1043" s="17">
        <f t="shared" si="32"/>
        <v>0</v>
      </c>
      <c r="M1043" s="5">
        <f t="shared" si="33"/>
        <v>0</v>
      </c>
    </row>
    <row r="1044" spans="1:13" ht="14.5">
      <c r="A1044" s="3">
        <v>25</v>
      </c>
      <c r="B1044" s="15">
        <f>AVERAGE(Sheet1!G1042:G2379,Sheet1!D1042:D2379)</f>
        <v>4555.543993288592</v>
      </c>
      <c r="C1044" s="3"/>
      <c r="J1044" s="4" t="s">
        <v>7</v>
      </c>
      <c r="K1044" s="4" t="s">
        <v>8</v>
      </c>
      <c r="L1044" s="17">
        <f t="shared" si="32"/>
        <v>0</v>
      </c>
      <c r="M1044" s="5">
        <f t="shared" si="33"/>
        <v>0</v>
      </c>
    </row>
    <row r="1045" spans="1:13" ht="14.5">
      <c r="A1045" s="3">
        <v>25</v>
      </c>
      <c r="B1045" s="15">
        <f>AVERAGE(Sheet1!G1043:G2380,Sheet1!D1043:D2380)</f>
        <v>4566.6158754208773</v>
      </c>
      <c r="C1045" s="3"/>
      <c r="J1045" s="4" t="s">
        <v>7</v>
      </c>
      <c r="K1045" s="4" t="s">
        <v>8</v>
      </c>
      <c r="L1045" s="17">
        <f t="shared" si="32"/>
        <v>0</v>
      </c>
      <c r="M1045" s="5">
        <f t="shared" si="33"/>
        <v>0</v>
      </c>
    </row>
    <row r="1046" spans="1:13" ht="14.5">
      <c r="A1046" s="3">
        <v>25</v>
      </c>
      <c r="B1046" s="15">
        <f>AVERAGE(Sheet1!G1044:G2381,Sheet1!D1044:D2381)</f>
        <v>4576.6152195945961</v>
      </c>
      <c r="C1046" s="3"/>
      <c r="J1046" s="4" t="s">
        <v>10</v>
      </c>
      <c r="K1046" s="4" t="s">
        <v>8</v>
      </c>
      <c r="L1046" s="17">
        <f t="shared" si="32"/>
        <v>0</v>
      </c>
      <c r="M1046" s="5">
        <f t="shared" si="33"/>
        <v>0</v>
      </c>
    </row>
    <row r="1047" spans="1:13" ht="14.5">
      <c r="A1047" s="3">
        <v>25</v>
      </c>
      <c r="B1047" s="15">
        <f>AVERAGE(Sheet1!G1045:G2382,Sheet1!D1045:D2382)</f>
        <v>4561.8259491525441</v>
      </c>
      <c r="C1047" s="3"/>
      <c r="J1047" s="4" t="s">
        <v>10</v>
      </c>
      <c r="K1047" s="4" t="s">
        <v>8</v>
      </c>
      <c r="L1047" s="17">
        <f t="shared" si="32"/>
        <v>0</v>
      </c>
      <c r="M1047" s="5">
        <f t="shared" si="33"/>
        <v>0</v>
      </c>
    </row>
    <row r="1048" spans="1:13" ht="14.5">
      <c r="A1048" s="3">
        <v>25</v>
      </c>
      <c r="B1048" s="15">
        <f>AVERAGE(Sheet1!G1046:G2383,Sheet1!D1046:D2383)</f>
        <v>4571.8891496598653</v>
      </c>
      <c r="C1048" s="3"/>
      <c r="J1048" s="4" t="s">
        <v>10</v>
      </c>
      <c r="K1048" s="4" t="s">
        <v>8</v>
      </c>
      <c r="L1048" s="17">
        <f t="shared" si="32"/>
        <v>0</v>
      </c>
      <c r="M1048" s="5">
        <f t="shared" si="33"/>
        <v>0</v>
      </c>
    </row>
    <row r="1049" spans="1:13" ht="14.5">
      <c r="A1049" s="3">
        <v>25</v>
      </c>
      <c r="B1049" s="15">
        <f>AVERAGE(Sheet1!G1047:G2384,Sheet1!D1047:D2384)</f>
        <v>4581.8430546075097</v>
      </c>
      <c r="C1049" s="3"/>
      <c r="J1049" s="4" t="s">
        <v>7</v>
      </c>
      <c r="K1049" s="4" t="s">
        <v>8</v>
      </c>
      <c r="L1049" s="17">
        <f t="shared" si="32"/>
        <v>0</v>
      </c>
      <c r="M1049" s="5">
        <f t="shared" si="33"/>
        <v>0</v>
      </c>
    </row>
    <row r="1050" spans="1:13" ht="14.5">
      <c r="A1050" s="3">
        <v>25</v>
      </c>
      <c r="B1050" s="15">
        <f>AVERAGE(Sheet1!G1048:G2385,Sheet1!D1048:D2385)</f>
        <v>4570.448698630139</v>
      </c>
      <c r="C1050" s="3"/>
      <c r="J1050" s="4" t="s">
        <v>7</v>
      </c>
      <c r="K1050" s="4" t="s">
        <v>11</v>
      </c>
      <c r="L1050" s="17">
        <f t="shared" si="32"/>
        <v>1</v>
      </c>
      <c r="M1050" s="5">
        <f t="shared" si="33"/>
        <v>0</v>
      </c>
    </row>
    <row r="1051" spans="1:13" ht="14.5">
      <c r="A1051" s="3">
        <v>25</v>
      </c>
      <c r="B1051" s="15">
        <f>AVERAGE(Sheet1!G1049:G2386,Sheet1!D1049:D2386)</f>
        <v>4554.8503092783531</v>
      </c>
      <c r="C1051" s="3"/>
      <c r="J1051" s="4" t="s">
        <v>10</v>
      </c>
      <c r="K1051" s="4" t="s">
        <v>8</v>
      </c>
      <c r="L1051" s="17">
        <f t="shared" si="32"/>
        <v>0</v>
      </c>
      <c r="M1051" s="5">
        <f t="shared" si="33"/>
        <v>0</v>
      </c>
    </row>
    <row r="1052" spans="1:13" ht="14.5">
      <c r="A1052" s="3">
        <v>25</v>
      </c>
      <c r="B1052" s="15">
        <f>AVERAGE(Sheet1!G1050:G2387,Sheet1!D1050:D2387)</f>
        <v>4562.9797068965545</v>
      </c>
      <c r="C1052" s="3"/>
      <c r="J1052" s="4" t="s">
        <v>10</v>
      </c>
      <c r="K1052" s="4" t="s">
        <v>8</v>
      </c>
      <c r="L1052" s="17">
        <f t="shared" si="32"/>
        <v>0</v>
      </c>
      <c r="M1052" s="5">
        <f t="shared" si="33"/>
        <v>0</v>
      </c>
    </row>
    <row r="1053" spans="1:13" ht="14.5">
      <c r="A1053" s="3">
        <v>25</v>
      </c>
      <c r="B1053" s="15">
        <f>AVERAGE(Sheet1!G1051:G2388,Sheet1!D1051:D2388)</f>
        <v>4570.3222318339122</v>
      </c>
      <c r="C1053" s="3"/>
      <c r="J1053" s="4" t="s">
        <v>7</v>
      </c>
      <c r="K1053" s="4" t="s">
        <v>8</v>
      </c>
      <c r="L1053" s="17">
        <f t="shared" si="32"/>
        <v>0</v>
      </c>
      <c r="M1053" s="5">
        <f t="shared" si="33"/>
        <v>0</v>
      </c>
    </row>
    <row r="1054" spans="1:13" ht="14.5">
      <c r="A1054" s="3">
        <v>25</v>
      </c>
      <c r="B1054" s="15">
        <f>AVERAGE(Sheet1!G1052:G2389,Sheet1!D1052:D2389)</f>
        <v>4551.5794965277792</v>
      </c>
      <c r="C1054" s="3"/>
      <c r="J1054" s="4" t="s">
        <v>7</v>
      </c>
      <c r="K1054" s="4" t="s">
        <v>11</v>
      </c>
      <c r="L1054" s="17">
        <f t="shared" si="32"/>
        <v>1</v>
      </c>
      <c r="M1054" s="5">
        <f t="shared" si="33"/>
        <v>0</v>
      </c>
    </row>
    <row r="1055" spans="1:13" ht="14.5">
      <c r="A1055" s="3">
        <v>25</v>
      </c>
      <c r="B1055" s="15">
        <f>AVERAGE(Sheet1!G1053:G2390,Sheet1!D1053:D2390)</f>
        <v>4526.9448083623711</v>
      </c>
      <c r="C1055" s="3"/>
      <c r="J1055" s="4" t="s">
        <v>7</v>
      </c>
      <c r="K1055" s="4" t="s">
        <v>8</v>
      </c>
      <c r="L1055" s="17">
        <f t="shared" si="32"/>
        <v>0</v>
      </c>
      <c r="M1055" s="5">
        <f t="shared" si="33"/>
        <v>0</v>
      </c>
    </row>
    <row r="1056" spans="1:13" ht="14.5">
      <c r="A1056" s="3">
        <v>25</v>
      </c>
      <c r="B1056" s="15">
        <f>AVERAGE(Sheet1!G1054:G2391,Sheet1!D1054:D2391)</f>
        <v>4536.4880244755259</v>
      </c>
      <c r="C1056" s="3"/>
      <c r="J1056" s="4" t="s">
        <v>10</v>
      </c>
      <c r="K1056" s="4" t="s">
        <v>8</v>
      </c>
      <c r="L1056" s="17">
        <f t="shared" si="32"/>
        <v>0</v>
      </c>
      <c r="M1056" s="5">
        <f t="shared" si="33"/>
        <v>0</v>
      </c>
    </row>
    <row r="1057" spans="1:13" ht="14.5">
      <c r="A1057" s="3">
        <v>25</v>
      </c>
      <c r="B1057" s="15">
        <f>AVERAGE(Sheet1!G1055:G2392,Sheet1!D1055:D2392)</f>
        <v>4546.7421578947378</v>
      </c>
      <c r="C1057" s="3"/>
      <c r="J1057" s="4" t="s">
        <v>10</v>
      </c>
      <c r="K1057" s="4" t="s">
        <v>8</v>
      </c>
      <c r="L1057" s="17">
        <f t="shared" si="32"/>
        <v>0</v>
      </c>
      <c r="M1057" s="5">
        <f t="shared" si="33"/>
        <v>0</v>
      </c>
    </row>
    <row r="1058" spans="1:13" ht="14.5">
      <c r="A1058" s="3">
        <v>25</v>
      </c>
      <c r="B1058" s="15">
        <f>AVERAGE(Sheet1!G1056:G2393,Sheet1!D1056:D2393)</f>
        <v>4499.1486971831009</v>
      </c>
      <c r="C1058" s="3"/>
      <c r="J1058" s="4" t="s">
        <v>7</v>
      </c>
      <c r="K1058" s="4" t="s">
        <v>11</v>
      </c>
      <c r="L1058" s="17">
        <f t="shared" si="32"/>
        <v>1</v>
      </c>
      <c r="M1058" s="5">
        <f t="shared" si="33"/>
        <v>0</v>
      </c>
    </row>
    <row r="1059" spans="1:13" ht="14.5">
      <c r="A1059" s="3">
        <v>25</v>
      </c>
      <c r="B1059" s="15">
        <f>AVERAGE(Sheet1!G1057:G2394,Sheet1!D1057:D2394)</f>
        <v>4510.3948233215569</v>
      </c>
      <c r="C1059" s="3"/>
      <c r="J1059" s="4" t="s">
        <v>10</v>
      </c>
      <c r="K1059" s="4" t="s">
        <v>8</v>
      </c>
      <c r="L1059" s="17">
        <f t="shared" si="32"/>
        <v>0</v>
      </c>
      <c r="M1059" s="5">
        <f t="shared" si="33"/>
        <v>0</v>
      </c>
    </row>
    <row r="1060" spans="1:13" ht="14.5">
      <c r="A1060" s="3">
        <v>25</v>
      </c>
      <c r="B1060" s="15">
        <f>AVERAGE(Sheet1!G1058:G2395,Sheet1!D1058:D2395)</f>
        <v>4520.6454432624132</v>
      </c>
      <c r="C1060" s="3"/>
      <c r="J1060" s="4" t="s">
        <v>10</v>
      </c>
      <c r="K1060" s="4" t="s">
        <v>8</v>
      </c>
      <c r="L1060" s="17">
        <f t="shared" si="32"/>
        <v>0</v>
      </c>
      <c r="M1060" s="5">
        <f t="shared" si="33"/>
        <v>0</v>
      </c>
    </row>
    <row r="1061" spans="1:13" ht="14.5">
      <c r="A1061" s="3">
        <v>25</v>
      </c>
      <c r="B1061" s="15">
        <f>AVERAGE(Sheet1!G1059:G2396,Sheet1!D1059:D2396)</f>
        <v>4531.3562633451975</v>
      </c>
      <c r="C1061" s="3"/>
      <c r="J1061" s="4" t="s">
        <v>10</v>
      </c>
      <c r="K1061" s="4" t="s">
        <v>8</v>
      </c>
      <c r="L1061" s="17">
        <f t="shared" si="32"/>
        <v>0</v>
      </c>
      <c r="M1061" s="5">
        <f t="shared" si="33"/>
        <v>0</v>
      </c>
    </row>
    <row r="1062" spans="1:13" ht="14.5">
      <c r="A1062" s="3">
        <v>25</v>
      </c>
      <c r="B1062" s="15">
        <f>AVERAGE(Sheet1!G1060:G2397,Sheet1!D1060:D2397)</f>
        <v>4540.0555535714302</v>
      </c>
      <c r="C1062" s="3"/>
      <c r="J1062" s="4" t="s">
        <v>10</v>
      </c>
      <c r="K1062" s="4" t="s">
        <v>8</v>
      </c>
      <c r="L1062" s="17">
        <f t="shared" si="32"/>
        <v>0</v>
      </c>
      <c r="M1062" s="5">
        <f t="shared" si="33"/>
        <v>0</v>
      </c>
    </row>
    <row r="1063" spans="1:13" ht="14.5">
      <c r="A1063" s="3">
        <v>25</v>
      </c>
      <c r="B1063" s="15">
        <f>AVERAGE(Sheet1!G1061:G2398,Sheet1!D1061:D2398)</f>
        <v>4550.575842293907</v>
      </c>
      <c r="C1063" s="3"/>
      <c r="J1063" s="4" t="s">
        <v>10</v>
      </c>
      <c r="K1063" s="4" t="s">
        <v>8</v>
      </c>
      <c r="L1063" s="17">
        <f t="shared" si="32"/>
        <v>0</v>
      </c>
      <c r="M1063" s="5">
        <f t="shared" si="33"/>
        <v>0</v>
      </c>
    </row>
    <row r="1064" spans="1:13" ht="14.5">
      <c r="A1064" s="3">
        <v>24</v>
      </c>
      <c r="B1064" s="15">
        <f>AVERAGE(Sheet1!G1062:G2399,Sheet1!D1062:D2399)</f>
        <v>4505.9724280575547</v>
      </c>
      <c r="C1064" s="3"/>
      <c r="J1064" s="4" t="s">
        <v>10</v>
      </c>
      <c r="K1064" s="4" t="s">
        <v>11</v>
      </c>
      <c r="L1064" s="17">
        <f t="shared" si="32"/>
        <v>0</v>
      </c>
      <c r="M1064" s="5">
        <f t="shared" si="33"/>
        <v>1</v>
      </c>
    </row>
    <row r="1065" spans="1:13" ht="14.5">
      <c r="A1065" s="3">
        <v>24</v>
      </c>
      <c r="B1065" s="15">
        <f>AVERAGE(Sheet1!G1063:G2400,Sheet1!D1063:D2400)</f>
        <v>4516.7411732851988</v>
      </c>
      <c r="C1065" s="3"/>
      <c r="J1065" s="4" t="s">
        <v>10</v>
      </c>
      <c r="K1065" s="4" t="s">
        <v>8</v>
      </c>
      <c r="L1065" s="17">
        <f t="shared" si="32"/>
        <v>0</v>
      </c>
      <c r="M1065" s="5">
        <f t="shared" si="33"/>
        <v>0</v>
      </c>
    </row>
    <row r="1066" spans="1:13" ht="14.5">
      <c r="A1066" s="3">
        <v>24</v>
      </c>
      <c r="B1066" s="15">
        <f>AVERAGE(Sheet1!G1064:G2401,Sheet1!D1064:D2401)</f>
        <v>4527.933278985508</v>
      </c>
      <c r="C1066" s="3"/>
      <c r="J1066" s="4" t="s">
        <v>10</v>
      </c>
      <c r="K1066" s="4" t="s">
        <v>8</v>
      </c>
      <c r="L1066" s="17">
        <f t="shared" si="32"/>
        <v>0</v>
      </c>
      <c r="M1066" s="5">
        <f t="shared" si="33"/>
        <v>0</v>
      </c>
    </row>
    <row r="1067" spans="1:13" ht="14.5">
      <c r="A1067" s="3">
        <v>24</v>
      </c>
      <c r="B1067" s="15">
        <f>AVERAGE(Sheet1!G1065:G2402,Sheet1!D1065:D2402)</f>
        <v>4537.9626727272735</v>
      </c>
      <c r="C1067" s="3"/>
      <c r="J1067" s="4" t="s">
        <v>7</v>
      </c>
      <c r="K1067" s="4" t="s">
        <v>8</v>
      </c>
      <c r="L1067" s="17">
        <f t="shared" si="32"/>
        <v>0</v>
      </c>
      <c r="M1067" s="5">
        <f t="shared" si="33"/>
        <v>0</v>
      </c>
    </row>
    <row r="1068" spans="1:13" ht="14.5">
      <c r="A1068" s="3">
        <v>24</v>
      </c>
      <c r="B1068" s="15">
        <f>AVERAGE(Sheet1!G1066:G2403,Sheet1!D1066:D2403)</f>
        <v>4508.7549270072996</v>
      </c>
      <c r="C1068" s="3"/>
      <c r="J1068" s="4" t="s">
        <v>10</v>
      </c>
      <c r="K1068" s="4" t="s">
        <v>8</v>
      </c>
      <c r="L1068" s="17">
        <f t="shared" si="32"/>
        <v>0</v>
      </c>
      <c r="M1068" s="5">
        <f t="shared" si="33"/>
        <v>0</v>
      </c>
    </row>
    <row r="1069" spans="1:13" ht="14.5">
      <c r="A1069" s="3">
        <v>24</v>
      </c>
      <c r="B1069" s="15">
        <f>AVERAGE(Sheet1!G1067:G2404,Sheet1!D1067:D2404)</f>
        <v>4521.6314468864475</v>
      </c>
      <c r="C1069" s="3"/>
      <c r="J1069" s="4" t="s">
        <v>7</v>
      </c>
      <c r="K1069" s="4" t="s">
        <v>8</v>
      </c>
      <c r="L1069" s="17">
        <f t="shared" si="32"/>
        <v>0</v>
      </c>
      <c r="M1069" s="5">
        <f t="shared" si="33"/>
        <v>0</v>
      </c>
    </row>
    <row r="1070" spans="1:13" ht="14.5">
      <c r="A1070" s="3">
        <v>24</v>
      </c>
      <c r="B1070" s="15">
        <f>AVERAGE(Sheet1!G1068:G2405,Sheet1!D1068:D2405)</f>
        <v>4503.4109375000016</v>
      </c>
      <c r="C1070" s="3"/>
      <c r="J1070" s="4" t="s">
        <v>10</v>
      </c>
      <c r="K1070" s="4" t="s">
        <v>8</v>
      </c>
      <c r="L1070" s="17">
        <f t="shared" si="32"/>
        <v>0</v>
      </c>
      <c r="M1070" s="5">
        <f t="shared" si="33"/>
        <v>0</v>
      </c>
    </row>
    <row r="1071" spans="1:13" ht="14.5">
      <c r="A1071" s="3">
        <v>24</v>
      </c>
      <c r="B1071" s="15">
        <f>AVERAGE(Sheet1!G1069:G2406,Sheet1!D1069:D2406)</f>
        <v>4449.6850553505546</v>
      </c>
      <c r="C1071" s="3"/>
      <c r="J1071" s="4" t="s">
        <v>7</v>
      </c>
      <c r="K1071" s="4" t="s">
        <v>11</v>
      </c>
      <c r="L1071" s="17">
        <f t="shared" si="32"/>
        <v>1</v>
      </c>
      <c r="M1071" s="5">
        <f t="shared" si="33"/>
        <v>0</v>
      </c>
    </row>
    <row r="1072" spans="1:13" ht="14.5">
      <c r="A1072" s="3">
        <v>24</v>
      </c>
      <c r="B1072" s="15">
        <f>AVERAGE(Sheet1!G1070:G2407,Sheet1!D1070:D2407)</f>
        <v>4457.6078148148163</v>
      </c>
      <c r="C1072" s="3"/>
      <c r="J1072" s="4" t="s">
        <v>10</v>
      </c>
      <c r="K1072" s="4" t="s">
        <v>8</v>
      </c>
      <c r="L1072" s="17">
        <f t="shared" si="32"/>
        <v>0</v>
      </c>
      <c r="M1072" s="5">
        <f t="shared" si="33"/>
        <v>0</v>
      </c>
    </row>
    <row r="1073" spans="1:13" ht="14.5">
      <c r="A1073" s="3">
        <v>24</v>
      </c>
      <c r="B1073" s="15">
        <f>AVERAGE(Sheet1!G1071:G2408,Sheet1!D1071:D2408)</f>
        <v>4470.5178624535329</v>
      </c>
      <c r="C1073" s="3"/>
      <c r="J1073" s="4" t="s">
        <v>7</v>
      </c>
      <c r="K1073" s="4" t="s">
        <v>8</v>
      </c>
      <c r="L1073" s="17">
        <f t="shared" si="32"/>
        <v>0</v>
      </c>
      <c r="M1073" s="5">
        <f t="shared" si="33"/>
        <v>0</v>
      </c>
    </row>
    <row r="1074" spans="1:13" ht="14.5">
      <c r="A1074" s="3">
        <v>24</v>
      </c>
      <c r="B1074" s="15">
        <f>AVERAGE(Sheet1!G1072:G2409,Sheet1!D1072:D2409)</f>
        <v>4421.6251492537322</v>
      </c>
      <c r="C1074" s="3"/>
      <c r="J1074" s="4" t="s">
        <v>7</v>
      </c>
      <c r="K1074" s="4" t="s">
        <v>11</v>
      </c>
      <c r="L1074" s="17">
        <f t="shared" si="32"/>
        <v>1</v>
      </c>
      <c r="M1074" s="5">
        <f t="shared" si="33"/>
        <v>0</v>
      </c>
    </row>
    <row r="1075" spans="1:13" ht="14.5">
      <c r="A1075" s="3">
        <v>24</v>
      </c>
      <c r="B1075" s="15">
        <f>AVERAGE(Sheet1!G1073:G2410,Sheet1!D1073:D2410)</f>
        <v>4432.4847752809001</v>
      </c>
      <c r="C1075" s="3"/>
      <c r="J1075" s="4" t="s">
        <v>10</v>
      </c>
      <c r="K1075" s="4" t="s">
        <v>8</v>
      </c>
      <c r="L1075" s="17">
        <f t="shared" si="32"/>
        <v>0</v>
      </c>
      <c r="M1075" s="5">
        <f t="shared" si="33"/>
        <v>0</v>
      </c>
    </row>
    <row r="1076" spans="1:13" ht="14.5">
      <c r="A1076" s="3">
        <v>24</v>
      </c>
      <c r="B1076" s="15">
        <f>AVERAGE(Sheet1!G1074:G2411,Sheet1!D1074:D2411)</f>
        <v>4445.430545112783</v>
      </c>
      <c r="C1076" s="3"/>
      <c r="J1076" s="4" t="s">
        <v>7</v>
      </c>
      <c r="K1076" s="4" t="s">
        <v>8</v>
      </c>
      <c r="L1076" s="17">
        <f t="shared" si="32"/>
        <v>0</v>
      </c>
      <c r="M1076" s="5">
        <f t="shared" si="33"/>
        <v>0</v>
      </c>
    </row>
    <row r="1077" spans="1:13" ht="14.5">
      <c r="A1077" s="3">
        <v>24</v>
      </c>
      <c r="B1077" s="15">
        <f>AVERAGE(Sheet1!G1075:G2412,Sheet1!D1075:D2412)</f>
        <v>4457.7661886792466</v>
      </c>
      <c r="C1077" s="3"/>
      <c r="J1077" s="4" t="s">
        <v>7</v>
      </c>
      <c r="K1077" s="4" t="s">
        <v>8</v>
      </c>
      <c r="L1077" s="17">
        <f t="shared" si="32"/>
        <v>0</v>
      </c>
      <c r="M1077" s="5">
        <f t="shared" si="33"/>
        <v>0</v>
      </c>
    </row>
    <row r="1078" spans="1:13" ht="14.5">
      <c r="A1078" s="3">
        <v>24</v>
      </c>
      <c r="B1078" s="15">
        <f>AVERAGE(Sheet1!G1076:G2413,Sheet1!D1076:D2413)</f>
        <v>4469.9973106060615</v>
      </c>
      <c r="C1078" s="3"/>
      <c r="J1078" s="4" t="s">
        <v>10</v>
      </c>
      <c r="K1078" s="4" t="s">
        <v>8</v>
      </c>
      <c r="L1078" s="17">
        <f t="shared" si="32"/>
        <v>0</v>
      </c>
      <c r="M1078" s="5">
        <f t="shared" si="33"/>
        <v>0</v>
      </c>
    </row>
    <row r="1079" spans="1:13" ht="14.5">
      <c r="A1079" s="3">
        <v>24</v>
      </c>
      <c r="B1079" s="15">
        <f>AVERAGE(Sheet1!G1077:G2414,Sheet1!D1077:D2414)</f>
        <v>4478.9365969581759</v>
      </c>
      <c r="C1079" s="3"/>
      <c r="J1079" s="4" t="s">
        <v>10</v>
      </c>
      <c r="K1079" s="4" t="s">
        <v>8</v>
      </c>
      <c r="L1079" s="17">
        <f t="shared" si="32"/>
        <v>0</v>
      </c>
      <c r="M1079" s="5">
        <f t="shared" si="33"/>
        <v>0</v>
      </c>
    </row>
    <row r="1080" spans="1:13" ht="14.5">
      <c r="A1080" s="3">
        <v>24</v>
      </c>
      <c r="B1080" s="15">
        <f>AVERAGE(Sheet1!G1078:G2415,Sheet1!D1078:D2415)</f>
        <v>4463.336297709925</v>
      </c>
      <c r="C1080" s="3"/>
      <c r="J1080" s="4" t="s">
        <v>7</v>
      </c>
      <c r="K1080" s="4" t="s">
        <v>8</v>
      </c>
      <c r="L1080" s="17">
        <f t="shared" si="32"/>
        <v>0</v>
      </c>
      <c r="M1080" s="5">
        <f t="shared" si="33"/>
        <v>0</v>
      </c>
    </row>
    <row r="1081" spans="1:13" ht="14.5">
      <c r="A1081" s="3">
        <v>24</v>
      </c>
      <c r="B1081" s="15">
        <f>AVERAGE(Sheet1!G1079:G2416,Sheet1!D1079:D2416)</f>
        <v>4474.9913026819931</v>
      </c>
      <c r="C1081" s="3"/>
      <c r="J1081" s="4" t="s">
        <v>10</v>
      </c>
      <c r="K1081" s="4" t="s">
        <v>8</v>
      </c>
      <c r="L1081" s="17">
        <f t="shared" si="32"/>
        <v>0</v>
      </c>
      <c r="M1081" s="5">
        <f t="shared" si="33"/>
        <v>0</v>
      </c>
    </row>
    <row r="1082" spans="1:13" ht="14.5">
      <c r="A1082" s="3">
        <v>24</v>
      </c>
      <c r="B1082" s="15">
        <f>AVERAGE(Sheet1!G1080:G2417,Sheet1!D1080:D2417)</f>
        <v>4487.4464038461547</v>
      </c>
      <c r="C1082" s="3"/>
      <c r="J1082" s="4" t="s">
        <v>10</v>
      </c>
      <c r="K1082" s="4" t="s">
        <v>8</v>
      </c>
      <c r="L1082" s="17">
        <f t="shared" si="32"/>
        <v>0</v>
      </c>
      <c r="M1082" s="5">
        <f t="shared" si="33"/>
        <v>0</v>
      </c>
    </row>
    <row r="1083" spans="1:13" ht="14.5">
      <c r="A1083" s="3">
        <v>24</v>
      </c>
      <c r="B1083" s="15">
        <f>AVERAGE(Sheet1!G1081:G2418,Sheet1!D1081:D2418)</f>
        <v>4480.4271042471055</v>
      </c>
      <c r="C1083" s="3"/>
      <c r="J1083" s="4" t="s">
        <v>7</v>
      </c>
      <c r="K1083" s="4" t="s">
        <v>8</v>
      </c>
      <c r="L1083" s="17">
        <f t="shared" si="32"/>
        <v>0</v>
      </c>
      <c r="M1083" s="5">
        <f t="shared" si="33"/>
        <v>0</v>
      </c>
    </row>
    <row r="1084" spans="1:13" ht="14.5">
      <c r="A1084" s="3">
        <v>24</v>
      </c>
      <c r="B1084" s="15">
        <f>AVERAGE(Sheet1!G1082:G2419,Sheet1!D1082:D2419)</f>
        <v>4469.5530038759698</v>
      </c>
      <c r="C1084" s="3"/>
      <c r="J1084" s="4" t="s">
        <v>10</v>
      </c>
      <c r="K1084" s="4" t="s">
        <v>11</v>
      </c>
      <c r="L1084" s="17">
        <f t="shared" si="32"/>
        <v>0</v>
      </c>
      <c r="M1084" s="5">
        <f t="shared" si="33"/>
        <v>1</v>
      </c>
    </row>
    <row r="1085" spans="1:13" ht="14.5">
      <c r="A1085" s="3">
        <v>24</v>
      </c>
      <c r="B1085" s="15">
        <f>AVERAGE(Sheet1!G1083:G2420,Sheet1!D1083:D2420)</f>
        <v>4419.8764785992234</v>
      </c>
      <c r="C1085" s="3"/>
      <c r="J1085" s="4" t="s">
        <v>7</v>
      </c>
      <c r="K1085" s="4" t="s">
        <v>11</v>
      </c>
      <c r="L1085" s="17">
        <f t="shared" si="32"/>
        <v>1</v>
      </c>
      <c r="M1085" s="5">
        <f t="shared" si="33"/>
        <v>0</v>
      </c>
    </row>
    <row r="1086" spans="1:13" ht="14.5">
      <c r="A1086" s="3">
        <v>24</v>
      </c>
      <c r="B1086" s="15">
        <f>AVERAGE(Sheet1!G1084:G2421,Sheet1!D1084:D2421)</f>
        <v>4433.2882031250019</v>
      </c>
      <c r="C1086" s="3"/>
      <c r="J1086" s="4" t="s">
        <v>7</v>
      </c>
      <c r="K1086" s="4" t="s">
        <v>8</v>
      </c>
      <c r="L1086" s="17">
        <f t="shared" si="32"/>
        <v>0</v>
      </c>
      <c r="M1086" s="5">
        <f t="shared" si="33"/>
        <v>0</v>
      </c>
    </row>
    <row r="1087" spans="1:13" ht="14.5">
      <c r="A1087" s="3">
        <v>24</v>
      </c>
      <c r="B1087" s="15">
        <f>AVERAGE(Sheet1!G1085:G2422,Sheet1!D1085:D2422)</f>
        <v>4445.8089803921584</v>
      </c>
      <c r="C1087" s="3"/>
      <c r="J1087" s="4" t="s">
        <v>10</v>
      </c>
      <c r="K1087" s="4" t="s">
        <v>8</v>
      </c>
      <c r="L1087" s="17">
        <f t="shared" si="32"/>
        <v>0</v>
      </c>
      <c r="M1087" s="5">
        <f t="shared" si="33"/>
        <v>0</v>
      </c>
    </row>
    <row r="1088" spans="1:13" ht="14.5">
      <c r="A1088" s="3">
        <v>24</v>
      </c>
      <c r="B1088" s="15">
        <f>AVERAGE(Sheet1!G1086:G2423,Sheet1!D1086:D2423)</f>
        <v>4459.4114173228363</v>
      </c>
      <c r="C1088" s="3"/>
      <c r="J1088" s="4" t="s">
        <v>7</v>
      </c>
      <c r="K1088" s="4" t="s">
        <v>8</v>
      </c>
      <c r="L1088" s="17">
        <f t="shared" si="32"/>
        <v>0</v>
      </c>
      <c r="M1088" s="5">
        <f t="shared" si="33"/>
        <v>0</v>
      </c>
    </row>
    <row r="1089" spans="1:13" ht="14.5">
      <c r="A1089" s="3">
        <v>24</v>
      </c>
      <c r="B1089" s="15">
        <f>AVERAGE(Sheet1!G1087:G2424,Sheet1!D1087:D2424)</f>
        <v>4471.4037944664051</v>
      </c>
      <c r="C1089" s="3"/>
      <c r="J1089" s="4" t="s">
        <v>10</v>
      </c>
      <c r="K1089" s="4" t="s">
        <v>8</v>
      </c>
      <c r="L1089" s="17">
        <f t="shared" si="32"/>
        <v>0</v>
      </c>
      <c r="M1089" s="5">
        <f t="shared" si="33"/>
        <v>0</v>
      </c>
    </row>
    <row r="1090" spans="1:13" ht="14.5">
      <c r="A1090" s="3">
        <v>24</v>
      </c>
      <c r="B1090" s="15">
        <f>AVERAGE(Sheet1!G1088:G2425,Sheet1!D1088:D2425)</f>
        <v>4452.1466269841285</v>
      </c>
      <c r="C1090" s="3"/>
      <c r="J1090" s="4" t="s">
        <v>7</v>
      </c>
      <c r="K1090" s="4" t="s">
        <v>11</v>
      </c>
      <c r="L1090" s="17">
        <f t="shared" si="32"/>
        <v>1</v>
      </c>
      <c r="M1090" s="5">
        <f t="shared" si="33"/>
        <v>0</v>
      </c>
    </row>
    <row r="1091" spans="1:13" ht="14.5">
      <c r="A1091" s="3">
        <v>24</v>
      </c>
      <c r="B1091" s="15">
        <f>AVERAGE(Sheet1!G1089:G2426,Sheet1!D1089:D2426)</f>
        <v>4401.6491035856588</v>
      </c>
      <c r="C1091" s="3"/>
      <c r="J1091" s="4" t="s">
        <v>7</v>
      </c>
      <c r="K1091" s="4" t="s">
        <v>11</v>
      </c>
      <c r="L1091" s="17">
        <f t="shared" si="32"/>
        <v>1</v>
      </c>
      <c r="M1091" s="5">
        <f t="shared" si="33"/>
        <v>0</v>
      </c>
    </row>
    <row r="1092" spans="1:13" ht="14.5">
      <c r="A1092" s="3">
        <v>23</v>
      </c>
      <c r="B1092" s="15">
        <f>AVERAGE(Sheet1!G1090:G2427,Sheet1!D1090:D2427)</f>
        <v>4414.3264600000011</v>
      </c>
      <c r="C1092" s="3"/>
      <c r="J1092" s="4" t="s">
        <v>10</v>
      </c>
      <c r="K1092" s="4" t="s">
        <v>8</v>
      </c>
      <c r="L1092" s="17">
        <f t="shared" si="32"/>
        <v>0</v>
      </c>
      <c r="M1092" s="5">
        <f t="shared" si="33"/>
        <v>0</v>
      </c>
    </row>
    <row r="1093" spans="1:13" ht="14.5">
      <c r="A1093" s="3">
        <v>23</v>
      </c>
      <c r="B1093" s="15">
        <f>AVERAGE(Sheet1!G1091:G2428,Sheet1!D1091:D2428)</f>
        <v>4428.3863253012059</v>
      </c>
      <c r="C1093" s="3"/>
      <c r="J1093" s="4" t="s">
        <v>7</v>
      </c>
      <c r="K1093" s="4" t="s">
        <v>8</v>
      </c>
      <c r="L1093" s="17">
        <f t="shared" si="32"/>
        <v>0</v>
      </c>
      <c r="M1093" s="5">
        <f t="shared" si="33"/>
        <v>0</v>
      </c>
    </row>
    <row r="1094" spans="1:13" ht="14.5">
      <c r="A1094" s="3">
        <v>23</v>
      </c>
      <c r="B1094" s="15">
        <f>AVERAGE(Sheet1!G1092:G2429,Sheet1!D1092:D2429)</f>
        <v>4441.4137500000015</v>
      </c>
      <c r="C1094" s="3"/>
      <c r="J1094" s="4" t="s">
        <v>7</v>
      </c>
      <c r="K1094" s="4" t="s">
        <v>8</v>
      </c>
      <c r="L1094" s="17">
        <f t="shared" ref="L1094:L1157" si="34">IF(AND(J1094="male", K1094="yes"),1,0)</f>
        <v>0</v>
      </c>
      <c r="M1094" s="5">
        <f t="shared" ref="M1094:M1157" si="35">IF(AND(J1094="female", K1094="yes"), 1, 0)</f>
        <v>0</v>
      </c>
    </row>
    <row r="1095" spans="1:13" ht="14.5">
      <c r="A1095" s="3">
        <v>23</v>
      </c>
      <c r="B1095" s="15">
        <f>AVERAGE(Sheet1!G1093:G2430,Sheet1!D1093:D2430)</f>
        <v>4453.7753643724709</v>
      </c>
      <c r="C1095" s="3"/>
      <c r="J1095" s="4" t="s">
        <v>7</v>
      </c>
      <c r="K1095" s="4" t="s">
        <v>8</v>
      </c>
      <c r="L1095" s="17">
        <f t="shared" si="34"/>
        <v>0</v>
      </c>
      <c r="M1095" s="5">
        <f t="shared" si="35"/>
        <v>0</v>
      </c>
    </row>
    <row r="1096" spans="1:13" ht="14.5">
      <c r="A1096" s="3">
        <v>23</v>
      </c>
      <c r="B1096" s="15">
        <f>AVERAGE(Sheet1!G1094:G2431,Sheet1!D1094:D2431)</f>
        <v>4393.6004065040661</v>
      </c>
      <c r="C1096" s="3"/>
      <c r="J1096" s="4" t="s">
        <v>10</v>
      </c>
      <c r="K1096" s="4" t="s">
        <v>11</v>
      </c>
      <c r="L1096" s="17">
        <f t="shared" si="34"/>
        <v>0</v>
      </c>
      <c r="M1096" s="5">
        <f t="shared" si="35"/>
        <v>1</v>
      </c>
    </row>
    <row r="1097" spans="1:13" ht="14.5">
      <c r="A1097" s="3">
        <v>23</v>
      </c>
      <c r="B1097" s="15">
        <f>AVERAGE(Sheet1!G1095:G2432,Sheet1!D1095:D2432)</f>
        <v>4407.7839183673468</v>
      </c>
      <c r="C1097" s="3"/>
      <c r="J1097" s="4" t="s">
        <v>7</v>
      </c>
      <c r="K1097" s="4" t="s">
        <v>8</v>
      </c>
      <c r="L1097" s="17">
        <f t="shared" si="34"/>
        <v>0</v>
      </c>
      <c r="M1097" s="5">
        <f t="shared" si="35"/>
        <v>0</v>
      </c>
    </row>
    <row r="1098" spans="1:13" ht="14.5">
      <c r="A1098" s="3">
        <v>23</v>
      </c>
      <c r="B1098" s="15">
        <f>AVERAGE(Sheet1!G1096:G2433,Sheet1!D1096:D2433)</f>
        <v>4388.8937500000002</v>
      </c>
      <c r="C1098" s="3"/>
      <c r="J1098" s="4" t="s">
        <v>10</v>
      </c>
      <c r="K1098" s="4" t="s">
        <v>11</v>
      </c>
      <c r="L1098" s="17">
        <f t="shared" si="34"/>
        <v>0</v>
      </c>
      <c r="M1098" s="5">
        <f t="shared" si="35"/>
        <v>1</v>
      </c>
    </row>
    <row r="1099" spans="1:13" ht="14.5">
      <c r="A1099" s="3">
        <v>23</v>
      </c>
      <c r="B1099" s="15">
        <f>AVERAGE(Sheet1!G1097:G2434,Sheet1!D1097:D2434)</f>
        <v>4403.2013580246912</v>
      </c>
      <c r="C1099" s="3"/>
      <c r="J1099" s="4" t="s">
        <v>7</v>
      </c>
      <c r="K1099" s="4" t="s">
        <v>8</v>
      </c>
      <c r="L1099" s="17">
        <f t="shared" si="34"/>
        <v>0</v>
      </c>
      <c r="M1099" s="5">
        <f t="shared" si="35"/>
        <v>0</v>
      </c>
    </row>
    <row r="1100" spans="1:13" ht="14.5">
      <c r="A1100" s="3">
        <v>23</v>
      </c>
      <c r="B1100" s="15">
        <f>AVERAGE(Sheet1!G1098:G2435,Sheet1!D1098:D2435)</f>
        <v>4412.1616528925624</v>
      </c>
      <c r="C1100" s="3"/>
      <c r="J1100" s="4" t="s">
        <v>10</v>
      </c>
      <c r="K1100" s="4" t="s">
        <v>8</v>
      </c>
      <c r="L1100" s="17">
        <f t="shared" si="34"/>
        <v>0</v>
      </c>
      <c r="M1100" s="5">
        <f t="shared" si="35"/>
        <v>0</v>
      </c>
    </row>
    <row r="1101" spans="1:13" ht="14.5">
      <c r="A1101" s="3">
        <v>23</v>
      </c>
      <c r="B1101" s="15">
        <f>AVERAGE(Sheet1!G1099:G2436,Sheet1!D1099:D2436)</f>
        <v>4423.2025518672208</v>
      </c>
      <c r="C1101" s="3"/>
      <c r="J1101" s="4" t="s">
        <v>10</v>
      </c>
      <c r="K1101" s="4" t="s">
        <v>8</v>
      </c>
      <c r="L1101" s="17">
        <f t="shared" si="34"/>
        <v>0</v>
      </c>
      <c r="M1101" s="5">
        <f t="shared" si="35"/>
        <v>0</v>
      </c>
    </row>
    <row r="1102" spans="1:13" ht="14.5">
      <c r="A1102" s="3">
        <v>23</v>
      </c>
      <c r="B1102" s="15">
        <f>AVERAGE(Sheet1!G1100:G2437,Sheet1!D1100:D2437)</f>
        <v>4366.2323541666665</v>
      </c>
      <c r="C1102" s="3"/>
      <c r="J1102" s="4" t="s">
        <v>7</v>
      </c>
      <c r="K1102" s="4" t="s">
        <v>11</v>
      </c>
      <c r="L1102" s="17">
        <f t="shared" si="34"/>
        <v>1</v>
      </c>
      <c r="M1102" s="5">
        <f t="shared" si="35"/>
        <v>0</v>
      </c>
    </row>
    <row r="1103" spans="1:13" ht="14.5">
      <c r="A1103" s="3">
        <v>23</v>
      </c>
      <c r="B1103" s="15">
        <f>AVERAGE(Sheet1!G1101:G2438,Sheet1!D1101:D2438)</f>
        <v>4379.4426150627614</v>
      </c>
      <c r="C1103" s="3"/>
      <c r="J1103" s="4" t="s">
        <v>7</v>
      </c>
      <c r="K1103" s="4" t="s">
        <v>8</v>
      </c>
      <c r="L1103" s="17">
        <f t="shared" si="34"/>
        <v>0</v>
      </c>
      <c r="M1103" s="5">
        <f t="shared" si="35"/>
        <v>0</v>
      </c>
    </row>
    <row r="1104" spans="1:13" ht="14.5">
      <c r="A1104" s="3">
        <v>23</v>
      </c>
      <c r="B1104" s="15">
        <f>AVERAGE(Sheet1!G1102:G2439,Sheet1!D1102:D2439)</f>
        <v>4394.0287605042022</v>
      </c>
      <c r="C1104" s="3"/>
      <c r="J1104" s="4" t="s">
        <v>7</v>
      </c>
      <c r="K1104" s="4" t="s">
        <v>8</v>
      </c>
      <c r="L1104" s="17">
        <f t="shared" si="34"/>
        <v>0</v>
      </c>
      <c r="M1104" s="5">
        <f t="shared" si="35"/>
        <v>0</v>
      </c>
    </row>
    <row r="1105" spans="1:13" ht="14.5">
      <c r="A1105" s="3">
        <v>23</v>
      </c>
      <c r="B1105" s="15">
        <f>AVERAGE(Sheet1!G1103:G2440,Sheet1!D1103:D2440)</f>
        <v>4404.97276371308</v>
      </c>
      <c r="C1105" s="3"/>
      <c r="J1105" s="4" t="s">
        <v>7</v>
      </c>
      <c r="K1105" s="4" t="s">
        <v>8</v>
      </c>
      <c r="L1105" s="17">
        <f t="shared" si="34"/>
        <v>0</v>
      </c>
      <c r="M1105" s="5">
        <f t="shared" si="35"/>
        <v>0</v>
      </c>
    </row>
    <row r="1106" spans="1:13" ht="14.5">
      <c r="A1106" s="3">
        <v>23</v>
      </c>
      <c r="B1106" s="15">
        <f>AVERAGE(Sheet1!G1104:G2441,Sheet1!D1104:D2441)</f>
        <v>4347.3179661016948</v>
      </c>
      <c r="C1106" s="3"/>
      <c r="J1106" s="4" t="s">
        <v>10</v>
      </c>
      <c r="K1106" s="4" t="s">
        <v>11</v>
      </c>
      <c r="L1106" s="17">
        <f t="shared" si="34"/>
        <v>0</v>
      </c>
      <c r="M1106" s="5">
        <f t="shared" si="35"/>
        <v>1</v>
      </c>
    </row>
    <row r="1107" spans="1:13" ht="14.5">
      <c r="A1107" s="3">
        <v>23</v>
      </c>
      <c r="B1107" s="15">
        <f>AVERAGE(Sheet1!G1105:G2442,Sheet1!D1105:D2442)</f>
        <v>4360.6277021276592</v>
      </c>
      <c r="C1107" s="3"/>
      <c r="J1107" s="4" t="s">
        <v>7</v>
      </c>
      <c r="K1107" s="4" t="s">
        <v>8</v>
      </c>
      <c r="L1107" s="17">
        <f t="shared" si="34"/>
        <v>0</v>
      </c>
      <c r="M1107" s="5">
        <f t="shared" si="35"/>
        <v>0</v>
      </c>
    </row>
    <row r="1108" spans="1:13" ht="14.5">
      <c r="A1108" s="3">
        <v>23</v>
      </c>
      <c r="B1108" s="15">
        <f>AVERAGE(Sheet1!G1106:G2443,Sheet1!D1106:D2443)</f>
        <v>4373.5147649572655</v>
      </c>
      <c r="C1108" s="3"/>
      <c r="J1108" s="4" t="s">
        <v>10</v>
      </c>
      <c r="K1108" s="4" t="s">
        <v>8</v>
      </c>
      <c r="L1108" s="17">
        <f t="shared" si="34"/>
        <v>0</v>
      </c>
      <c r="M1108" s="5">
        <f t="shared" si="35"/>
        <v>0</v>
      </c>
    </row>
    <row r="1109" spans="1:13" ht="14.5">
      <c r="A1109" s="3">
        <v>23</v>
      </c>
      <c r="B1109" s="15">
        <f>AVERAGE(Sheet1!G1107:G2444,Sheet1!D1107:D2444)</f>
        <v>4386.2979613733905</v>
      </c>
      <c r="C1109" s="3"/>
      <c r="J1109" s="4" t="s">
        <v>7</v>
      </c>
      <c r="K1109" s="4" t="s">
        <v>8</v>
      </c>
      <c r="L1109" s="17">
        <f t="shared" si="34"/>
        <v>0</v>
      </c>
      <c r="M1109" s="5">
        <f t="shared" si="35"/>
        <v>0</v>
      </c>
    </row>
    <row r="1110" spans="1:13" ht="14.5">
      <c r="A1110" s="3">
        <v>23</v>
      </c>
      <c r="B1110" s="15">
        <f>AVERAGE(Sheet1!G1108:G2445,Sheet1!D1108:D2445)</f>
        <v>4358.6626508620693</v>
      </c>
      <c r="C1110" s="3"/>
      <c r="J1110" s="4" t="s">
        <v>7</v>
      </c>
      <c r="K1110" s="4" t="s">
        <v>8</v>
      </c>
      <c r="L1110" s="17">
        <f t="shared" si="34"/>
        <v>0</v>
      </c>
      <c r="M1110" s="5">
        <f t="shared" si="35"/>
        <v>0</v>
      </c>
    </row>
    <row r="1111" spans="1:13" ht="14.5">
      <c r="A1111" s="3">
        <v>23</v>
      </c>
      <c r="B1111" s="15">
        <f>AVERAGE(Sheet1!G1109:G2446,Sheet1!D1109:D2446)</f>
        <v>4369.7510606060614</v>
      </c>
      <c r="C1111" s="3"/>
      <c r="J1111" s="4" t="s">
        <v>7</v>
      </c>
      <c r="K1111" s="4" t="s">
        <v>8</v>
      </c>
      <c r="L1111" s="17">
        <f t="shared" si="34"/>
        <v>0</v>
      </c>
      <c r="M1111" s="5">
        <f t="shared" si="35"/>
        <v>0</v>
      </c>
    </row>
    <row r="1112" spans="1:13" ht="14.5">
      <c r="A1112" s="3">
        <v>23</v>
      </c>
      <c r="B1112" s="15">
        <f>AVERAGE(Sheet1!G1110:G2447,Sheet1!D1110:D2447)</f>
        <v>4383.5410652173923</v>
      </c>
      <c r="C1112" s="3"/>
      <c r="J1112" s="4" t="s">
        <v>7</v>
      </c>
      <c r="K1112" s="4" t="s">
        <v>8</v>
      </c>
      <c r="L1112" s="17">
        <f t="shared" si="34"/>
        <v>0</v>
      </c>
      <c r="M1112" s="5">
        <f t="shared" si="35"/>
        <v>0</v>
      </c>
    </row>
    <row r="1113" spans="1:13" ht="14.5">
      <c r="A1113" s="3">
        <v>23</v>
      </c>
      <c r="B1113" s="15">
        <f>AVERAGE(Sheet1!G1111:G2448,Sheet1!D1111:D2448)</f>
        <v>4328.0843231441058</v>
      </c>
      <c r="C1113" s="3"/>
      <c r="J1113" s="4" t="s">
        <v>10</v>
      </c>
      <c r="K1113" s="4" t="s">
        <v>11</v>
      </c>
      <c r="L1113" s="17">
        <f t="shared" si="34"/>
        <v>0</v>
      </c>
      <c r="M1113" s="5">
        <f t="shared" si="35"/>
        <v>1</v>
      </c>
    </row>
    <row r="1114" spans="1:13" ht="14.5">
      <c r="A1114" s="3">
        <v>23</v>
      </c>
      <c r="B1114" s="15">
        <f>AVERAGE(Sheet1!G1112:G2449,Sheet1!D1112:D2449)</f>
        <v>4257.3627631578947</v>
      </c>
      <c r="C1114" s="3"/>
      <c r="J1114" s="4" t="s">
        <v>10</v>
      </c>
      <c r="K1114" s="4" t="s">
        <v>11</v>
      </c>
      <c r="L1114" s="17">
        <f t="shared" si="34"/>
        <v>0</v>
      </c>
      <c r="M1114" s="5">
        <f t="shared" si="35"/>
        <v>1</v>
      </c>
    </row>
    <row r="1115" spans="1:13" ht="14.5">
      <c r="A1115" s="3">
        <v>23</v>
      </c>
      <c r="B1115" s="15">
        <f>AVERAGE(Sheet1!G1113:G2450,Sheet1!D1113:D2450)</f>
        <v>4244.3377753303976</v>
      </c>
      <c r="C1115" s="3"/>
      <c r="J1115" s="4" t="s">
        <v>10</v>
      </c>
      <c r="K1115" s="4" t="s">
        <v>8</v>
      </c>
      <c r="L1115" s="17">
        <f t="shared" si="34"/>
        <v>0</v>
      </c>
      <c r="M1115" s="5">
        <f t="shared" si="35"/>
        <v>0</v>
      </c>
    </row>
    <row r="1116" spans="1:13" ht="14.5">
      <c r="A1116" s="3">
        <v>23</v>
      </c>
      <c r="B1116" s="15">
        <f>AVERAGE(Sheet1!G1114:G2451,Sheet1!D1114:D2451)</f>
        <v>4256.7032300884957</v>
      </c>
      <c r="C1116" s="3"/>
      <c r="J1116" s="4" t="s">
        <v>10</v>
      </c>
      <c r="K1116" s="4" t="s">
        <v>8</v>
      </c>
      <c r="L1116" s="17">
        <f t="shared" si="34"/>
        <v>0</v>
      </c>
      <c r="M1116" s="5">
        <f t="shared" si="35"/>
        <v>0</v>
      </c>
    </row>
    <row r="1117" spans="1:13" ht="14.5">
      <c r="A1117" s="3">
        <v>23</v>
      </c>
      <c r="B1117" s="15">
        <f>AVERAGE(Sheet1!G1115:G2452,Sheet1!D1115:D2452)</f>
        <v>4234.8902666666672</v>
      </c>
      <c r="C1117" s="3"/>
      <c r="J1117" s="4" t="s">
        <v>10</v>
      </c>
      <c r="K1117" s="4" t="s">
        <v>11</v>
      </c>
      <c r="L1117" s="17">
        <f t="shared" si="34"/>
        <v>0</v>
      </c>
      <c r="M1117" s="5">
        <f t="shared" si="35"/>
        <v>1</v>
      </c>
    </row>
    <row r="1118" spans="1:13" ht="14.5">
      <c r="A1118" s="3">
        <v>23</v>
      </c>
      <c r="B1118" s="15">
        <f>AVERAGE(Sheet1!G1116:G2453,Sheet1!D1116:D2453)</f>
        <v>4224.4954017857144</v>
      </c>
      <c r="C1118" s="3"/>
      <c r="J1118" s="4" t="s">
        <v>10</v>
      </c>
      <c r="K1118" s="4" t="s">
        <v>8</v>
      </c>
      <c r="L1118" s="17">
        <f t="shared" si="34"/>
        <v>0</v>
      </c>
      <c r="M1118" s="5">
        <f t="shared" si="35"/>
        <v>0</v>
      </c>
    </row>
    <row r="1119" spans="1:13" ht="14.5">
      <c r="A1119" s="3">
        <v>23</v>
      </c>
      <c r="B1119" s="15">
        <f>AVERAGE(Sheet1!G1117:G2454,Sheet1!D1117:D2454)</f>
        <v>4193.2201793721979</v>
      </c>
      <c r="C1119" s="3"/>
      <c r="J1119" s="4" t="s">
        <v>10</v>
      </c>
      <c r="K1119" s="4" t="s">
        <v>8</v>
      </c>
      <c r="L1119" s="17">
        <f t="shared" si="34"/>
        <v>0</v>
      </c>
      <c r="M1119" s="5">
        <f t="shared" si="35"/>
        <v>0</v>
      </c>
    </row>
    <row r="1120" spans="1:13" ht="14.5">
      <c r="A1120" s="3">
        <v>22</v>
      </c>
      <c r="B1120" s="15">
        <f>AVERAGE(Sheet1!G1118:G2455,Sheet1!D1118:D2455)</f>
        <v>4187.7933783783792</v>
      </c>
      <c r="C1120" s="3"/>
      <c r="J1120" s="4" t="s">
        <v>10</v>
      </c>
      <c r="K1120" s="4" t="s">
        <v>8</v>
      </c>
      <c r="L1120" s="17">
        <f t="shared" si="34"/>
        <v>0</v>
      </c>
      <c r="M1120" s="5">
        <f t="shared" si="35"/>
        <v>0</v>
      </c>
    </row>
    <row r="1121" spans="1:13" ht="14.5">
      <c r="A1121" s="3">
        <v>22</v>
      </c>
      <c r="B1121" s="15">
        <f>AVERAGE(Sheet1!G1119:G2456,Sheet1!D1119:D2456)</f>
        <v>4126.2323076923085</v>
      </c>
      <c r="C1121" s="3"/>
      <c r="J1121" s="4" t="s">
        <v>7</v>
      </c>
      <c r="K1121" s="4" t="s">
        <v>11</v>
      </c>
      <c r="L1121" s="17">
        <f t="shared" si="34"/>
        <v>1</v>
      </c>
      <c r="M1121" s="5">
        <f t="shared" si="35"/>
        <v>0</v>
      </c>
    </row>
    <row r="1122" spans="1:13" ht="14.5">
      <c r="A1122" s="3">
        <v>22</v>
      </c>
      <c r="B1122" s="15">
        <f>AVERAGE(Sheet1!G1120:G2457,Sheet1!D1120:D2457)</f>
        <v>4138.7265000000007</v>
      </c>
      <c r="C1122" s="3"/>
      <c r="J1122" s="4" t="s">
        <v>10</v>
      </c>
      <c r="K1122" s="4" t="s">
        <v>8</v>
      </c>
      <c r="L1122" s="17">
        <f t="shared" si="34"/>
        <v>0</v>
      </c>
      <c r="M1122" s="5">
        <f t="shared" si="35"/>
        <v>0</v>
      </c>
    </row>
    <row r="1123" spans="1:13" ht="14.5">
      <c r="A1123" s="3">
        <v>22</v>
      </c>
      <c r="B1123" s="15">
        <f>AVERAGE(Sheet1!G1121:G2458,Sheet1!D1121:D2458)</f>
        <v>4072.7705479452061</v>
      </c>
      <c r="C1123" s="3"/>
      <c r="J1123" s="4" t="s">
        <v>7</v>
      </c>
      <c r="K1123" s="4" t="s">
        <v>11</v>
      </c>
      <c r="L1123" s="17">
        <f t="shared" si="34"/>
        <v>1</v>
      </c>
      <c r="M1123" s="5">
        <f t="shared" si="35"/>
        <v>0</v>
      </c>
    </row>
    <row r="1124" spans="1:13" ht="14.5">
      <c r="A1124" s="3">
        <v>22</v>
      </c>
      <c r="B1124" s="15">
        <f>AVERAGE(Sheet1!G1122:G2459,Sheet1!D1122:D2459)</f>
        <v>4086.5087614678901</v>
      </c>
      <c r="C1124" s="3"/>
      <c r="J1124" s="4" t="s">
        <v>10</v>
      </c>
      <c r="K1124" s="4" t="s">
        <v>8</v>
      </c>
      <c r="L1124" s="17">
        <f t="shared" si="34"/>
        <v>0</v>
      </c>
      <c r="M1124" s="5">
        <f t="shared" si="35"/>
        <v>0</v>
      </c>
    </row>
    <row r="1125" spans="1:13" ht="14.5">
      <c r="A1125" s="3">
        <v>22</v>
      </c>
      <c r="B1125" s="15">
        <f>AVERAGE(Sheet1!G1123:G2460,Sheet1!D1123:D2460)</f>
        <v>4100.6270276497698</v>
      </c>
      <c r="C1125" s="3"/>
      <c r="J1125" s="4" t="s">
        <v>7</v>
      </c>
      <c r="K1125" s="4" t="s">
        <v>8</v>
      </c>
      <c r="L1125" s="17">
        <f t="shared" si="34"/>
        <v>0</v>
      </c>
      <c r="M1125" s="5">
        <f t="shared" si="35"/>
        <v>0</v>
      </c>
    </row>
    <row r="1126" spans="1:13" ht="14.5">
      <c r="A1126" s="3">
        <v>22</v>
      </c>
      <c r="B1126" s="15">
        <f>AVERAGE(Sheet1!G1124:G2461,Sheet1!D1124:D2461)</f>
        <v>4114.5958333333338</v>
      </c>
      <c r="C1126" s="3"/>
      <c r="J1126" s="4" t="s">
        <v>10</v>
      </c>
      <c r="K1126" s="4" t="s">
        <v>8</v>
      </c>
      <c r="L1126" s="17">
        <f t="shared" si="34"/>
        <v>0</v>
      </c>
      <c r="M1126" s="5">
        <f t="shared" si="35"/>
        <v>0</v>
      </c>
    </row>
    <row r="1127" spans="1:13" ht="14.5">
      <c r="A1127" s="3">
        <v>22</v>
      </c>
      <c r="B1127" s="15">
        <f>AVERAGE(Sheet1!G1125:G2462,Sheet1!D1125:D2462)</f>
        <v>4124.4115813953495</v>
      </c>
      <c r="C1127" s="3"/>
      <c r="J1127" s="4" t="s">
        <v>7</v>
      </c>
      <c r="K1127" s="4" t="s">
        <v>8</v>
      </c>
      <c r="L1127" s="17">
        <f t="shared" si="34"/>
        <v>0</v>
      </c>
      <c r="M1127" s="5">
        <f t="shared" si="35"/>
        <v>0</v>
      </c>
    </row>
    <row r="1128" spans="1:13" ht="14.5">
      <c r="A1128" s="3">
        <v>22</v>
      </c>
      <c r="B1128" s="15">
        <f>AVERAGE(Sheet1!G1126:G2463,Sheet1!D1126:D2463)</f>
        <v>4138.6600700934578</v>
      </c>
      <c r="C1128" s="3"/>
      <c r="J1128" s="4" t="s">
        <v>10</v>
      </c>
      <c r="K1128" s="4" t="s">
        <v>8</v>
      </c>
      <c r="L1128" s="17">
        <f t="shared" si="34"/>
        <v>0</v>
      </c>
      <c r="M1128" s="5">
        <f t="shared" si="35"/>
        <v>0</v>
      </c>
    </row>
    <row r="1129" spans="1:13" ht="14.5">
      <c r="A1129" s="3">
        <v>22</v>
      </c>
      <c r="B1129" s="15">
        <f>AVERAGE(Sheet1!G1127:G2464,Sheet1!D1127:D2464)</f>
        <v>4153.0276056338025</v>
      </c>
      <c r="C1129" s="3"/>
      <c r="J1129" s="4" t="s">
        <v>10</v>
      </c>
      <c r="K1129" s="4" t="s">
        <v>8</v>
      </c>
      <c r="L1129" s="17">
        <f t="shared" si="34"/>
        <v>0</v>
      </c>
      <c r="M1129" s="5">
        <f t="shared" si="35"/>
        <v>0</v>
      </c>
    </row>
    <row r="1130" spans="1:13" ht="14.5">
      <c r="A1130" s="3">
        <v>22</v>
      </c>
      <c r="B1130" s="15">
        <f>AVERAGE(Sheet1!G1128:G2465,Sheet1!D1128:D2465)</f>
        <v>4167.2994339622646</v>
      </c>
      <c r="C1130" s="3"/>
      <c r="J1130" s="4" t="s">
        <v>7</v>
      </c>
      <c r="K1130" s="4" t="s">
        <v>8</v>
      </c>
      <c r="L1130" s="17">
        <f t="shared" si="34"/>
        <v>0</v>
      </c>
      <c r="M1130" s="5">
        <f t="shared" si="35"/>
        <v>0</v>
      </c>
    </row>
    <row r="1131" spans="1:13" ht="14.5">
      <c r="A1131" s="3">
        <v>22</v>
      </c>
      <c r="B1131" s="15">
        <f>AVERAGE(Sheet1!G1129:G2466,Sheet1!D1129:D2466)</f>
        <v>4180.7836255924176</v>
      </c>
      <c r="C1131" s="3"/>
      <c r="J1131" s="4" t="s">
        <v>7</v>
      </c>
      <c r="K1131" s="4" t="s">
        <v>8</v>
      </c>
      <c r="L1131" s="17">
        <f t="shared" si="34"/>
        <v>0</v>
      </c>
      <c r="M1131" s="5">
        <f t="shared" si="35"/>
        <v>0</v>
      </c>
    </row>
    <row r="1132" spans="1:13" ht="14.5">
      <c r="A1132" s="3">
        <v>22</v>
      </c>
      <c r="B1132" s="15">
        <f>AVERAGE(Sheet1!G1130:G2467,Sheet1!D1130:D2467)</f>
        <v>4196.7278333333334</v>
      </c>
      <c r="C1132" s="3"/>
      <c r="J1132" s="4" t="s">
        <v>7</v>
      </c>
      <c r="K1132" s="4" t="s">
        <v>8</v>
      </c>
      <c r="L1132" s="17">
        <f t="shared" si="34"/>
        <v>0</v>
      </c>
      <c r="M1132" s="5">
        <f t="shared" si="35"/>
        <v>0</v>
      </c>
    </row>
    <row r="1133" spans="1:13" ht="14.5">
      <c r="A1133" s="3">
        <v>22</v>
      </c>
      <c r="B1133" s="15">
        <f>AVERAGE(Sheet1!G1131:G2468,Sheet1!D1131:D2468)</f>
        <v>4207.4113157894744</v>
      </c>
      <c r="C1133" s="3"/>
      <c r="J1133" s="4" t="s">
        <v>10</v>
      </c>
      <c r="K1133" s="4" t="s">
        <v>8</v>
      </c>
      <c r="L1133" s="17">
        <f t="shared" si="34"/>
        <v>0</v>
      </c>
      <c r="M1133" s="5">
        <f t="shared" si="35"/>
        <v>0</v>
      </c>
    </row>
    <row r="1134" spans="1:13" ht="14.5">
      <c r="A1134" s="3">
        <v>22</v>
      </c>
      <c r="B1134" s="15">
        <f>AVERAGE(Sheet1!G1132:G2469,Sheet1!D1132:D2469)</f>
        <v>4221.0721634615393</v>
      </c>
      <c r="C1134" s="3"/>
      <c r="J1134" s="4" t="s">
        <v>10</v>
      </c>
      <c r="K1134" s="4" t="s">
        <v>8</v>
      </c>
      <c r="L1134" s="17">
        <f t="shared" si="34"/>
        <v>0</v>
      </c>
      <c r="M1134" s="5">
        <f t="shared" si="35"/>
        <v>0</v>
      </c>
    </row>
    <row r="1135" spans="1:13" ht="14.5">
      <c r="A1135" s="3">
        <v>22</v>
      </c>
      <c r="B1135" s="15">
        <f>AVERAGE(Sheet1!G1133:G2470,Sheet1!D1133:D2470)</f>
        <v>4233.1400000000003</v>
      </c>
      <c r="C1135" s="3"/>
      <c r="J1135" s="4" t="s">
        <v>7</v>
      </c>
      <c r="K1135" s="4" t="s">
        <v>8</v>
      </c>
      <c r="L1135" s="17">
        <f t="shared" si="34"/>
        <v>0</v>
      </c>
      <c r="M1135" s="5">
        <f t="shared" si="35"/>
        <v>0</v>
      </c>
    </row>
    <row r="1136" spans="1:13" ht="14.5">
      <c r="A1136" s="3">
        <v>22</v>
      </c>
      <c r="B1136" s="15">
        <f>AVERAGE(Sheet1!G1134:G2471,Sheet1!D1134:D2471)</f>
        <v>4249.6052427184477</v>
      </c>
      <c r="C1136" s="3"/>
      <c r="J1136" s="4" t="s">
        <v>7</v>
      </c>
      <c r="K1136" s="4" t="s">
        <v>8</v>
      </c>
      <c r="L1136" s="17">
        <f t="shared" si="34"/>
        <v>0</v>
      </c>
      <c r="M1136" s="5">
        <f t="shared" si="35"/>
        <v>0</v>
      </c>
    </row>
    <row r="1137" spans="1:13" ht="14.5">
      <c r="A1137" s="3">
        <v>22</v>
      </c>
      <c r="B1137" s="15">
        <f>AVERAGE(Sheet1!G1135:G2472,Sheet1!D1135:D2472)</f>
        <v>4263.8959024390251</v>
      </c>
      <c r="C1137" s="3"/>
      <c r="J1137" s="4" t="s">
        <v>7</v>
      </c>
      <c r="K1137" s="4" t="s">
        <v>8</v>
      </c>
      <c r="L1137" s="17">
        <f t="shared" si="34"/>
        <v>0</v>
      </c>
      <c r="M1137" s="5">
        <f t="shared" si="35"/>
        <v>0</v>
      </c>
    </row>
    <row r="1138" spans="1:13" ht="14.5">
      <c r="A1138" s="3">
        <v>22</v>
      </c>
      <c r="B1138" s="15">
        <f>AVERAGE(Sheet1!G1136:G2473,Sheet1!D1136:D2473)</f>
        <v>4278.6017156862754</v>
      </c>
      <c r="C1138" s="3"/>
      <c r="J1138" s="4" t="s">
        <v>10</v>
      </c>
      <c r="K1138" s="4" t="s">
        <v>8</v>
      </c>
      <c r="L1138" s="17">
        <f t="shared" si="34"/>
        <v>0</v>
      </c>
      <c r="M1138" s="5">
        <f t="shared" si="35"/>
        <v>0</v>
      </c>
    </row>
    <row r="1139" spans="1:13" ht="14.5">
      <c r="A1139" s="3">
        <v>22</v>
      </c>
      <c r="B1139" s="15">
        <f>AVERAGE(Sheet1!G1137:G2474,Sheet1!D1137:D2474)</f>
        <v>4211.9973152709372</v>
      </c>
      <c r="C1139" s="3"/>
      <c r="J1139" s="4" t="s">
        <v>10</v>
      </c>
      <c r="K1139" s="4" t="s">
        <v>11</v>
      </c>
      <c r="L1139" s="17">
        <f t="shared" si="34"/>
        <v>0</v>
      </c>
      <c r="M1139" s="5">
        <f t="shared" si="35"/>
        <v>1</v>
      </c>
    </row>
    <row r="1140" spans="1:13" ht="14.5">
      <c r="A1140" s="3">
        <v>22</v>
      </c>
      <c r="B1140" s="15">
        <f>AVERAGE(Sheet1!G1138:G2475,Sheet1!D1138:D2475)</f>
        <v>4140.0605445544561</v>
      </c>
      <c r="C1140" s="3"/>
      <c r="J1140" s="4" t="s">
        <v>7</v>
      </c>
      <c r="K1140" s="4" t="s">
        <v>11</v>
      </c>
      <c r="L1140" s="17">
        <f t="shared" si="34"/>
        <v>1</v>
      </c>
      <c r="M1140" s="5">
        <f t="shared" si="35"/>
        <v>0</v>
      </c>
    </row>
    <row r="1141" spans="1:13" ht="14.5">
      <c r="A1141" s="3">
        <v>22</v>
      </c>
      <c r="B1141" s="15">
        <f>AVERAGE(Sheet1!G1139:G2476,Sheet1!D1139:D2476)</f>
        <v>4155.0587562189066</v>
      </c>
      <c r="C1141" s="3"/>
      <c r="J1141" s="4" t="s">
        <v>7</v>
      </c>
      <c r="K1141" s="4" t="s">
        <v>8</v>
      </c>
      <c r="L1141" s="17">
        <f t="shared" si="34"/>
        <v>0</v>
      </c>
      <c r="M1141" s="5">
        <f t="shared" si="35"/>
        <v>0</v>
      </c>
    </row>
    <row r="1142" spans="1:13" ht="14.5">
      <c r="A1142" s="3">
        <v>22</v>
      </c>
      <c r="B1142" s="15">
        <f>AVERAGE(Sheet1!G1140:G2477,Sheet1!D1140:D2477)</f>
        <v>4064.5780500000005</v>
      </c>
      <c r="C1142" s="3"/>
      <c r="J1142" s="4" t="s">
        <v>7</v>
      </c>
      <c r="K1142" s="4" t="s">
        <v>11</v>
      </c>
      <c r="L1142" s="17">
        <f t="shared" si="34"/>
        <v>1</v>
      </c>
      <c r="M1142" s="5">
        <f t="shared" si="35"/>
        <v>0</v>
      </c>
    </row>
    <row r="1143" spans="1:13" ht="14.5">
      <c r="A1143" s="3">
        <v>22</v>
      </c>
      <c r="B1143" s="15">
        <f>AVERAGE(Sheet1!G1141:G2478,Sheet1!D1141:D2478)</f>
        <v>3999.8082160804024</v>
      </c>
      <c r="C1143" s="3"/>
      <c r="J1143" s="4" t="s">
        <v>10</v>
      </c>
      <c r="K1143" s="4" t="s">
        <v>11</v>
      </c>
      <c r="L1143" s="17">
        <f t="shared" si="34"/>
        <v>0</v>
      </c>
      <c r="M1143" s="5">
        <f t="shared" si="35"/>
        <v>1</v>
      </c>
    </row>
    <row r="1144" spans="1:13" ht="14.5">
      <c r="A1144" s="3">
        <v>22</v>
      </c>
      <c r="B1144" s="15">
        <f>AVERAGE(Sheet1!G1142:G2479,Sheet1!D1142:D2479)</f>
        <v>4015.7804040404048</v>
      </c>
      <c r="C1144" s="3"/>
      <c r="J1144" s="4" t="s">
        <v>7</v>
      </c>
      <c r="K1144" s="4" t="s">
        <v>8</v>
      </c>
      <c r="L1144" s="17">
        <f t="shared" si="34"/>
        <v>0</v>
      </c>
      <c r="M1144" s="5">
        <f t="shared" si="35"/>
        <v>0</v>
      </c>
    </row>
    <row r="1145" spans="1:13" ht="14.5">
      <c r="A1145" s="3">
        <v>22</v>
      </c>
      <c r="B1145" s="15">
        <f>AVERAGE(Sheet1!G1143:G2480,Sheet1!D1143:D2480)</f>
        <v>4030.6971573604064</v>
      </c>
      <c r="C1145" s="3"/>
      <c r="J1145" s="4" t="s">
        <v>10</v>
      </c>
      <c r="K1145" s="4" t="s">
        <v>8</v>
      </c>
      <c r="L1145" s="17">
        <f t="shared" si="34"/>
        <v>0</v>
      </c>
      <c r="M1145" s="5">
        <f t="shared" si="35"/>
        <v>0</v>
      </c>
    </row>
    <row r="1146" spans="1:13" ht="14.5">
      <c r="A1146" s="3">
        <v>22</v>
      </c>
      <c r="B1146" s="15">
        <f>AVERAGE(Sheet1!G1144:G2481,Sheet1!D1144:D2481)</f>
        <v>4046.0187755102043</v>
      </c>
      <c r="C1146" s="3"/>
      <c r="J1146" s="4" t="s">
        <v>7</v>
      </c>
      <c r="K1146" s="4" t="s">
        <v>8</v>
      </c>
      <c r="L1146" s="17">
        <f t="shared" si="34"/>
        <v>0</v>
      </c>
      <c r="M1146" s="5">
        <f t="shared" si="35"/>
        <v>0</v>
      </c>
    </row>
    <row r="1147" spans="1:13" ht="14.5">
      <c r="A1147" s="3">
        <v>22</v>
      </c>
      <c r="B1147" s="15">
        <f>AVERAGE(Sheet1!G1145:G2482,Sheet1!D1145:D2482)</f>
        <v>4055.7438205128205</v>
      </c>
      <c r="C1147" s="3"/>
      <c r="J1147" s="4" t="s">
        <v>10</v>
      </c>
      <c r="K1147" s="4" t="s">
        <v>8</v>
      </c>
      <c r="L1147" s="17">
        <f t="shared" si="34"/>
        <v>0</v>
      </c>
      <c r="M1147" s="5">
        <f t="shared" si="35"/>
        <v>0</v>
      </c>
    </row>
    <row r="1148" spans="1:13" ht="14.5">
      <c r="A1148" s="3">
        <v>21</v>
      </c>
      <c r="B1148" s="15">
        <f>AVERAGE(Sheet1!G1146:G2483,Sheet1!D1146:D2483)</f>
        <v>4069.5828350515467</v>
      </c>
      <c r="C1148" s="3"/>
      <c r="J1148" s="4" t="s">
        <v>10</v>
      </c>
      <c r="K1148" s="4" t="s">
        <v>8</v>
      </c>
      <c r="L1148" s="17">
        <f t="shared" si="34"/>
        <v>0</v>
      </c>
      <c r="M1148" s="5">
        <f t="shared" si="35"/>
        <v>0</v>
      </c>
    </row>
    <row r="1149" spans="1:13" ht="14.5">
      <c r="A1149" s="3">
        <v>21</v>
      </c>
      <c r="B1149" s="15">
        <f>AVERAGE(Sheet1!G1147:G2484,Sheet1!D1147:D2484)</f>
        <v>4081.3894041450772</v>
      </c>
      <c r="C1149" s="3"/>
      <c r="J1149" s="4" t="s">
        <v>10</v>
      </c>
      <c r="K1149" s="4" t="s">
        <v>8</v>
      </c>
      <c r="L1149" s="17">
        <f t="shared" si="34"/>
        <v>0</v>
      </c>
      <c r="M1149" s="5">
        <f t="shared" si="35"/>
        <v>0</v>
      </c>
    </row>
    <row r="1150" spans="1:13" ht="14.5">
      <c r="A1150" s="3">
        <v>21</v>
      </c>
      <c r="B1150" s="15">
        <f>AVERAGE(Sheet1!G1148:G2485,Sheet1!D1148:D2485)</f>
        <v>4098.6558333333332</v>
      </c>
      <c r="C1150" s="3"/>
      <c r="J1150" s="4" t="s">
        <v>7</v>
      </c>
      <c r="K1150" s="4" t="s">
        <v>8</v>
      </c>
      <c r="L1150" s="17">
        <f t="shared" si="34"/>
        <v>0</v>
      </c>
      <c r="M1150" s="5">
        <f t="shared" si="35"/>
        <v>0</v>
      </c>
    </row>
    <row r="1151" spans="1:13" ht="14.5">
      <c r="A1151" s="3">
        <v>21</v>
      </c>
      <c r="B1151" s="15">
        <f>AVERAGE(Sheet1!G1149:G2486,Sheet1!D1149:D2486)</f>
        <v>4114.8085602094234</v>
      </c>
      <c r="C1151" s="3"/>
      <c r="J1151" s="4" t="s">
        <v>10</v>
      </c>
      <c r="K1151" s="4" t="s">
        <v>8</v>
      </c>
      <c r="L1151" s="17">
        <f t="shared" si="34"/>
        <v>0</v>
      </c>
      <c r="M1151" s="5">
        <f t="shared" si="35"/>
        <v>0</v>
      </c>
    </row>
    <row r="1152" spans="1:13" ht="14.5">
      <c r="A1152" s="3">
        <v>21</v>
      </c>
      <c r="B1152" s="15">
        <f>AVERAGE(Sheet1!G1150:G2487,Sheet1!D1150:D2487)</f>
        <v>4130.1372105263154</v>
      </c>
      <c r="C1152" s="3"/>
      <c r="J1152" s="4" t="s">
        <v>10</v>
      </c>
      <c r="K1152" s="4" t="s">
        <v>8</v>
      </c>
      <c r="L1152" s="17">
        <f t="shared" si="34"/>
        <v>0</v>
      </c>
      <c r="M1152" s="5">
        <f t="shared" si="35"/>
        <v>0</v>
      </c>
    </row>
    <row r="1153" spans="1:13" ht="14.5">
      <c r="A1153" s="3">
        <v>21</v>
      </c>
      <c r="B1153" s="15">
        <f>AVERAGE(Sheet1!G1151:G2488,Sheet1!D1151:D2488)</f>
        <v>4145.114708994709</v>
      </c>
      <c r="C1153" s="3"/>
      <c r="J1153" s="4" t="s">
        <v>10</v>
      </c>
      <c r="K1153" s="4" t="s">
        <v>8</v>
      </c>
      <c r="L1153" s="17">
        <f t="shared" si="34"/>
        <v>0</v>
      </c>
      <c r="M1153" s="5">
        <f t="shared" si="35"/>
        <v>0</v>
      </c>
    </row>
    <row r="1154" spans="1:13" ht="14.5">
      <c r="A1154" s="3">
        <v>21</v>
      </c>
      <c r="B1154" s="15">
        <f>AVERAGE(Sheet1!G1152:G2489,Sheet1!D1152:D2489)</f>
        <v>4158.6990691489355</v>
      </c>
      <c r="C1154" s="3"/>
      <c r="J1154" s="4" t="s">
        <v>10</v>
      </c>
      <c r="K1154" s="4" t="s">
        <v>8</v>
      </c>
      <c r="L1154" s="17">
        <f t="shared" si="34"/>
        <v>0</v>
      </c>
      <c r="M1154" s="5">
        <f t="shared" si="35"/>
        <v>0</v>
      </c>
    </row>
    <row r="1155" spans="1:13" ht="14.5">
      <c r="A1155" s="3">
        <v>21</v>
      </c>
      <c r="B1155" s="15">
        <f>AVERAGE(Sheet1!G1153:G2490,Sheet1!D1153:D2490)</f>
        <v>4136.5891711229942</v>
      </c>
      <c r="C1155" s="3"/>
      <c r="J1155" s="4" t="s">
        <v>7</v>
      </c>
      <c r="K1155" s="4" t="s">
        <v>8</v>
      </c>
      <c r="L1155" s="17">
        <f t="shared" si="34"/>
        <v>0</v>
      </c>
      <c r="M1155" s="5">
        <f t="shared" si="35"/>
        <v>0</v>
      </c>
    </row>
    <row r="1156" spans="1:13" ht="14.5">
      <c r="A1156" s="3">
        <v>21</v>
      </c>
      <c r="B1156" s="15">
        <f>AVERAGE(Sheet1!G1154:G2491,Sheet1!D1154:D2491)</f>
        <v>4150.3115322580643</v>
      </c>
      <c r="C1156" s="3"/>
      <c r="J1156" s="4" t="s">
        <v>10</v>
      </c>
      <c r="K1156" s="4" t="s">
        <v>8</v>
      </c>
      <c r="L1156" s="17">
        <f t="shared" si="34"/>
        <v>0</v>
      </c>
      <c r="M1156" s="5">
        <f t="shared" si="35"/>
        <v>0</v>
      </c>
    </row>
    <row r="1157" spans="1:13" ht="14.5">
      <c r="A1157" s="3">
        <v>21</v>
      </c>
      <c r="B1157" s="15">
        <f>AVERAGE(Sheet1!G1155:G2492,Sheet1!D1155:D2492)</f>
        <v>4168.5988918918911</v>
      </c>
      <c r="C1157" s="3"/>
      <c r="J1157" s="4" t="s">
        <v>7</v>
      </c>
      <c r="K1157" s="4" t="s">
        <v>8</v>
      </c>
      <c r="L1157" s="17">
        <f t="shared" si="34"/>
        <v>0</v>
      </c>
      <c r="M1157" s="5">
        <f t="shared" si="35"/>
        <v>0</v>
      </c>
    </row>
    <row r="1158" spans="1:13" ht="14.5">
      <c r="A1158" s="3">
        <v>21</v>
      </c>
      <c r="B1158" s="15">
        <f>AVERAGE(Sheet1!G1156:G2493,Sheet1!D1156:D2493)</f>
        <v>4142.4877173913046</v>
      </c>
      <c r="C1158" s="3"/>
      <c r="J1158" s="4" t="s">
        <v>7</v>
      </c>
      <c r="K1158" s="4" t="s">
        <v>11</v>
      </c>
      <c r="L1158" s="17">
        <f t="shared" ref="L1158:L1221" si="36">IF(AND(J1158="male", K1158="yes"),1,0)</f>
        <v>1</v>
      </c>
      <c r="M1158" s="5">
        <f t="shared" ref="M1158:M1221" si="37">IF(AND(J1158="female", K1158="yes"), 1, 0)</f>
        <v>0</v>
      </c>
    </row>
    <row r="1159" spans="1:13" ht="14.5">
      <c r="A1159" s="3">
        <v>21</v>
      </c>
      <c r="B1159" s="15">
        <f>AVERAGE(Sheet1!G1157:G2494,Sheet1!D1157:D2494)</f>
        <v>4156.7114207650275</v>
      </c>
      <c r="C1159" s="3"/>
      <c r="J1159" s="4" t="s">
        <v>7</v>
      </c>
      <c r="K1159" s="4" t="s">
        <v>8</v>
      </c>
      <c r="L1159" s="17">
        <f t="shared" si="36"/>
        <v>0</v>
      </c>
      <c r="M1159" s="5">
        <f t="shared" si="37"/>
        <v>0</v>
      </c>
    </row>
    <row r="1160" spans="1:13" ht="14.5">
      <c r="A1160" s="3">
        <v>21</v>
      </c>
      <c r="B1160" s="15">
        <f>AVERAGE(Sheet1!G1158:G2495,Sheet1!D1158:D2495)</f>
        <v>4168.9345329670332</v>
      </c>
      <c r="C1160" s="3"/>
      <c r="J1160" s="4" t="s">
        <v>7</v>
      </c>
      <c r="K1160" s="4" t="s">
        <v>8</v>
      </c>
      <c r="L1160" s="17">
        <f t="shared" si="36"/>
        <v>0</v>
      </c>
      <c r="M1160" s="5">
        <f t="shared" si="37"/>
        <v>0</v>
      </c>
    </row>
    <row r="1161" spans="1:13" ht="14.5">
      <c r="A1161" s="3">
        <v>21</v>
      </c>
      <c r="B1161" s="15">
        <f>AVERAGE(Sheet1!G1159:G2496,Sheet1!D1159:D2496)</f>
        <v>4149.5361049723761</v>
      </c>
      <c r="C1161" s="3"/>
      <c r="J1161" s="4" t="s">
        <v>10</v>
      </c>
      <c r="K1161" s="4" t="s">
        <v>11</v>
      </c>
      <c r="L1161" s="17">
        <f t="shared" si="36"/>
        <v>0</v>
      </c>
      <c r="M1161" s="5">
        <f t="shared" si="37"/>
        <v>1</v>
      </c>
    </row>
    <row r="1162" spans="1:13" ht="14.5">
      <c r="A1162" s="3">
        <v>21</v>
      </c>
      <c r="B1162" s="15">
        <f>AVERAGE(Sheet1!G1160:G2497,Sheet1!D1160:D2497)</f>
        <v>4165.4049999999997</v>
      </c>
      <c r="C1162" s="3"/>
      <c r="J1162" s="4" t="s">
        <v>10</v>
      </c>
      <c r="K1162" s="4" t="s">
        <v>8</v>
      </c>
      <c r="L1162" s="17">
        <f t="shared" si="36"/>
        <v>0</v>
      </c>
      <c r="M1162" s="5">
        <f t="shared" si="37"/>
        <v>0</v>
      </c>
    </row>
    <row r="1163" spans="1:13" ht="14.5">
      <c r="A1163" s="3">
        <v>21</v>
      </c>
      <c r="B1163" s="15">
        <f>AVERAGE(Sheet1!G1161:G2498,Sheet1!D1161:D2498)</f>
        <v>4182.7980167597771</v>
      </c>
      <c r="C1163" s="3"/>
      <c r="J1163" s="4" t="s">
        <v>7</v>
      </c>
      <c r="K1163" s="4" t="s">
        <v>8</v>
      </c>
      <c r="L1163" s="17">
        <f t="shared" si="36"/>
        <v>0</v>
      </c>
      <c r="M1163" s="5">
        <f t="shared" si="37"/>
        <v>0</v>
      </c>
    </row>
    <row r="1164" spans="1:13" ht="14.5">
      <c r="A1164" s="3">
        <v>21</v>
      </c>
      <c r="B1164" s="15">
        <f>AVERAGE(Sheet1!G1162:G2499,Sheet1!D1162:D2499)</f>
        <v>4200.6211797752812</v>
      </c>
      <c r="C1164" s="3"/>
      <c r="J1164" s="4" t="s">
        <v>10</v>
      </c>
      <c r="K1164" s="4" t="s">
        <v>8</v>
      </c>
      <c r="L1164" s="17">
        <f t="shared" si="36"/>
        <v>0</v>
      </c>
      <c r="M1164" s="5">
        <f t="shared" si="37"/>
        <v>0</v>
      </c>
    </row>
    <row r="1165" spans="1:13" ht="14.5">
      <c r="A1165" s="3">
        <v>21</v>
      </c>
      <c r="B1165" s="15">
        <f>AVERAGE(Sheet1!G1163:G2500,Sheet1!D1163:D2500)</f>
        <v>4218.9683050847461</v>
      </c>
      <c r="C1165" s="3"/>
      <c r="J1165" s="4" t="s">
        <v>7</v>
      </c>
      <c r="K1165" s="4" t="s">
        <v>8</v>
      </c>
      <c r="L1165" s="17">
        <f t="shared" si="36"/>
        <v>0</v>
      </c>
      <c r="M1165" s="5">
        <f t="shared" si="37"/>
        <v>0</v>
      </c>
    </row>
    <row r="1166" spans="1:13" ht="14.5">
      <c r="A1166" s="3">
        <v>21</v>
      </c>
      <c r="B1166" s="15">
        <f>AVERAGE(Sheet1!G1164:G2501,Sheet1!D1164:D2501)</f>
        <v>4237.4927840909086</v>
      </c>
      <c r="C1166" s="3"/>
      <c r="J1166" s="4" t="s">
        <v>7</v>
      </c>
      <c r="K1166" s="4" t="s">
        <v>8</v>
      </c>
      <c r="L1166" s="17">
        <f t="shared" si="36"/>
        <v>0</v>
      </c>
      <c r="M1166" s="5">
        <f t="shared" si="37"/>
        <v>0</v>
      </c>
    </row>
    <row r="1167" spans="1:13" ht="14.5">
      <c r="A1167" s="3">
        <v>21</v>
      </c>
      <c r="B1167" s="15">
        <f>AVERAGE(Sheet1!G1165:G2502,Sheet1!D1165:D2502)</f>
        <v>4255.6953714285719</v>
      </c>
      <c r="C1167" s="3"/>
      <c r="J1167" s="4" t="s">
        <v>7</v>
      </c>
      <c r="K1167" s="4" t="s">
        <v>8</v>
      </c>
      <c r="L1167" s="17">
        <f t="shared" si="36"/>
        <v>0</v>
      </c>
      <c r="M1167" s="5">
        <f t="shared" si="37"/>
        <v>0</v>
      </c>
    </row>
    <row r="1168" spans="1:13" ht="14.5">
      <c r="A1168" s="3">
        <v>21</v>
      </c>
      <c r="B1168" s="15">
        <f>AVERAGE(Sheet1!G1166:G2503,Sheet1!D1166:D2503)</f>
        <v>4275.7674425287369</v>
      </c>
      <c r="C1168" s="3"/>
      <c r="J1168" s="4" t="s">
        <v>7</v>
      </c>
      <c r="K1168" s="4" t="s">
        <v>8</v>
      </c>
      <c r="L1168" s="17">
        <f t="shared" si="36"/>
        <v>0</v>
      </c>
      <c r="M1168" s="5">
        <f t="shared" si="37"/>
        <v>0</v>
      </c>
    </row>
    <row r="1169" spans="1:13" ht="14.5">
      <c r="A1169" s="3">
        <v>21</v>
      </c>
      <c r="B1169" s="15">
        <f>AVERAGE(Sheet1!G1167:G2504,Sheet1!D1167:D2504)</f>
        <v>4293.0093063583818</v>
      </c>
      <c r="C1169" s="3"/>
      <c r="J1169" s="4" t="s">
        <v>10</v>
      </c>
      <c r="K1169" s="4" t="s">
        <v>8</v>
      </c>
      <c r="L1169" s="17">
        <f t="shared" si="36"/>
        <v>0</v>
      </c>
      <c r="M1169" s="5">
        <f t="shared" si="37"/>
        <v>0</v>
      </c>
    </row>
    <row r="1170" spans="1:13" ht="14.5">
      <c r="A1170" s="3">
        <v>21</v>
      </c>
      <c r="B1170" s="15">
        <f>AVERAGE(Sheet1!G1168:G2505,Sheet1!D1168:D2505)</f>
        <v>4308.4283430232563</v>
      </c>
      <c r="C1170" s="3"/>
      <c r="J1170" s="4" t="s">
        <v>7</v>
      </c>
      <c r="K1170" s="4" t="s">
        <v>8</v>
      </c>
      <c r="L1170" s="17">
        <f t="shared" si="36"/>
        <v>0</v>
      </c>
      <c r="M1170" s="5">
        <f t="shared" si="37"/>
        <v>0</v>
      </c>
    </row>
    <row r="1171" spans="1:13" ht="14.5">
      <c r="A1171" s="3">
        <v>21</v>
      </c>
      <c r="B1171" s="15">
        <f>AVERAGE(Sheet1!G1169:G2506,Sheet1!D1169:D2506)</f>
        <v>4257.5391812865491</v>
      </c>
      <c r="C1171" s="3"/>
      <c r="J1171" s="4" t="s">
        <v>10</v>
      </c>
      <c r="K1171" s="4" t="s">
        <v>8</v>
      </c>
      <c r="L1171" s="17">
        <f t="shared" si="36"/>
        <v>0</v>
      </c>
      <c r="M1171" s="5">
        <f t="shared" si="37"/>
        <v>0</v>
      </c>
    </row>
    <row r="1172" spans="1:13" ht="14.5">
      <c r="A1172" s="3">
        <v>21</v>
      </c>
      <c r="B1172" s="15">
        <f>AVERAGE(Sheet1!G1170:G2507,Sheet1!D1170:D2507)</f>
        <v>4276.6418235294122</v>
      </c>
      <c r="C1172" s="3"/>
      <c r="J1172" s="4" t="s">
        <v>10</v>
      </c>
      <c r="K1172" s="4" t="s">
        <v>8</v>
      </c>
      <c r="L1172" s="17">
        <f t="shared" si="36"/>
        <v>0</v>
      </c>
      <c r="M1172" s="5">
        <f t="shared" si="37"/>
        <v>0</v>
      </c>
    </row>
    <row r="1173" spans="1:13" ht="14.5">
      <c r="A1173" s="3">
        <v>21</v>
      </c>
      <c r="B1173" s="15">
        <f>AVERAGE(Sheet1!G1171:G2508,Sheet1!D1171:D2508)</f>
        <v>4296.2978994082841</v>
      </c>
      <c r="C1173" s="3"/>
      <c r="J1173" s="4" t="s">
        <v>7</v>
      </c>
      <c r="K1173" s="4" t="s">
        <v>8</v>
      </c>
      <c r="L1173" s="17">
        <f t="shared" si="36"/>
        <v>0</v>
      </c>
      <c r="M1173" s="5">
        <f t="shared" si="37"/>
        <v>0</v>
      </c>
    </row>
    <row r="1174" spans="1:13" ht="14.5">
      <c r="A1174" s="3">
        <v>21</v>
      </c>
      <c r="B1174" s="15">
        <f>AVERAGE(Sheet1!G1172:G2509,Sheet1!D1172:D2509)</f>
        <v>4315.6143750000001</v>
      </c>
      <c r="C1174" s="3"/>
      <c r="J1174" s="4" t="s">
        <v>7</v>
      </c>
      <c r="K1174" s="4" t="s">
        <v>8</v>
      </c>
      <c r="L1174" s="17">
        <f t="shared" si="36"/>
        <v>0</v>
      </c>
      <c r="M1174" s="5">
        <f t="shared" si="37"/>
        <v>0</v>
      </c>
    </row>
    <row r="1175" spans="1:13" ht="14.5">
      <c r="A1175" s="3">
        <v>21</v>
      </c>
      <c r="B1175" s="15">
        <f>AVERAGE(Sheet1!G1173:G2510,Sheet1!D1173:D2510)</f>
        <v>4336.919431137726</v>
      </c>
      <c r="C1175" s="3"/>
      <c r="J1175" s="4" t="s">
        <v>7</v>
      </c>
      <c r="K1175" s="4" t="s">
        <v>8</v>
      </c>
      <c r="L1175" s="17">
        <f t="shared" si="36"/>
        <v>0</v>
      </c>
      <c r="M1175" s="5">
        <f t="shared" si="37"/>
        <v>0</v>
      </c>
    </row>
    <row r="1176" spans="1:13" ht="14.5">
      <c r="A1176" s="3">
        <v>20</v>
      </c>
      <c r="B1176" s="15">
        <f>AVERAGE(Sheet1!G1174:G2511,Sheet1!D1174:D2511)</f>
        <v>4356.9974096385549</v>
      </c>
      <c r="C1176" s="3"/>
      <c r="J1176" s="4" t="s">
        <v>10</v>
      </c>
      <c r="K1176" s="4" t="s">
        <v>8</v>
      </c>
      <c r="L1176" s="17">
        <f t="shared" si="36"/>
        <v>0</v>
      </c>
      <c r="M1176" s="5">
        <f t="shared" si="37"/>
        <v>0</v>
      </c>
    </row>
    <row r="1177" spans="1:13" ht="14.5">
      <c r="A1177" s="3">
        <v>20</v>
      </c>
      <c r="B1177" s="15">
        <f>AVERAGE(Sheet1!G1175:G2512,Sheet1!D1175:D2512)</f>
        <v>4338.8224242424249</v>
      </c>
      <c r="C1177" s="3"/>
      <c r="J1177" s="4" t="s">
        <v>10</v>
      </c>
      <c r="K1177" s="4" t="s">
        <v>11</v>
      </c>
      <c r="L1177" s="17">
        <f t="shared" si="36"/>
        <v>0</v>
      </c>
      <c r="M1177" s="5">
        <f t="shared" si="37"/>
        <v>1</v>
      </c>
    </row>
    <row r="1178" spans="1:13" ht="14.5">
      <c r="A1178" s="3">
        <v>20</v>
      </c>
      <c r="B1178" s="15">
        <f>AVERAGE(Sheet1!G1176:G2513,Sheet1!D1176:D2513)</f>
        <v>4311.7378658536581</v>
      </c>
      <c r="C1178" s="3"/>
      <c r="J1178" s="4" t="s">
        <v>7</v>
      </c>
      <c r="K1178" s="4" t="s">
        <v>11</v>
      </c>
      <c r="L1178" s="17">
        <f t="shared" si="36"/>
        <v>1</v>
      </c>
      <c r="M1178" s="5">
        <f t="shared" si="37"/>
        <v>0</v>
      </c>
    </row>
    <row r="1179" spans="1:13" ht="14.5">
      <c r="A1179" s="3">
        <v>20</v>
      </c>
      <c r="B1179" s="15">
        <f>AVERAGE(Sheet1!G1177:G2514,Sheet1!D1177:D2514)</f>
        <v>4331.2654601226996</v>
      </c>
      <c r="C1179" s="3"/>
      <c r="J1179" s="4" t="s">
        <v>10</v>
      </c>
      <c r="K1179" s="4" t="s">
        <v>8</v>
      </c>
      <c r="L1179" s="17">
        <f t="shared" si="36"/>
        <v>0</v>
      </c>
      <c r="M1179" s="5">
        <f t="shared" si="37"/>
        <v>0</v>
      </c>
    </row>
    <row r="1180" spans="1:13" ht="14.5">
      <c r="A1180" s="3">
        <v>20</v>
      </c>
      <c r="B1180" s="15">
        <f>AVERAGE(Sheet1!G1178:G2515,Sheet1!D1178:D2515)</f>
        <v>4350.4176851851853</v>
      </c>
      <c r="C1180" s="3"/>
      <c r="J1180" s="4" t="s">
        <v>10</v>
      </c>
      <c r="K1180" s="4" t="s">
        <v>8</v>
      </c>
      <c r="L1180" s="17">
        <f t="shared" si="36"/>
        <v>0</v>
      </c>
      <c r="M1180" s="5">
        <f t="shared" si="37"/>
        <v>0</v>
      </c>
    </row>
    <row r="1181" spans="1:13" ht="14.5">
      <c r="A1181" s="3">
        <v>20</v>
      </c>
      <c r="B1181" s="15">
        <f>AVERAGE(Sheet1!G1179:G2516,Sheet1!D1179:D2516)</f>
        <v>4362.4214285714288</v>
      </c>
      <c r="C1181" s="3"/>
      <c r="J1181" s="4" t="s">
        <v>10</v>
      </c>
      <c r="K1181" s="4" t="s">
        <v>8</v>
      </c>
      <c r="L1181" s="17">
        <f t="shared" si="36"/>
        <v>0</v>
      </c>
      <c r="M1181" s="5">
        <f t="shared" si="37"/>
        <v>0</v>
      </c>
    </row>
    <row r="1182" spans="1:13" ht="14.5">
      <c r="A1182" s="3">
        <v>20</v>
      </c>
      <c r="B1182" s="15">
        <f>AVERAGE(Sheet1!G1180:G2517,Sheet1!D1180:D2517)</f>
        <v>4383.4957187500004</v>
      </c>
      <c r="C1182" s="3"/>
      <c r="J1182" s="4" t="s">
        <v>7</v>
      </c>
      <c r="K1182" s="4" t="s">
        <v>8</v>
      </c>
      <c r="L1182" s="17">
        <f t="shared" si="36"/>
        <v>0</v>
      </c>
      <c r="M1182" s="5">
        <f t="shared" si="37"/>
        <v>0</v>
      </c>
    </row>
    <row r="1183" spans="1:13" ht="14.5">
      <c r="A1183" s="3">
        <v>20</v>
      </c>
      <c r="B1183" s="15">
        <f>AVERAGE(Sheet1!G1181:G2518,Sheet1!D1181:D2518)</f>
        <v>4357.334465408805</v>
      </c>
      <c r="C1183" s="3"/>
      <c r="J1183" s="4" t="s">
        <v>10</v>
      </c>
      <c r="K1183" s="4" t="s">
        <v>11</v>
      </c>
      <c r="L1183" s="17">
        <f t="shared" si="36"/>
        <v>0</v>
      </c>
      <c r="M1183" s="5">
        <f t="shared" si="37"/>
        <v>1</v>
      </c>
    </row>
    <row r="1184" spans="1:13" ht="14.5">
      <c r="A1184" s="3">
        <v>20</v>
      </c>
      <c r="B1184" s="15">
        <f>AVERAGE(Sheet1!G1182:G2519,Sheet1!D1182:D2519)</f>
        <v>4380.5089556962021</v>
      </c>
      <c r="C1184" s="3"/>
      <c r="J1184" s="4" t="s">
        <v>7</v>
      </c>
      <c r="K1184" s="4" t="s">
        <v>8</v>
      </c>
      <c r="L1184" s="17">
        <f t="shared" si="36"/>
        <v>0</v>
      </c>
      <c r="M1184" s="5">
        <f t="shared" si="37"/>
        <v>0</v>
      </c>
    </row>
    <row r="1185" spans="1:13" ht="14.5">
      <c r="A1185" s="3">
        <v>20</v>
      </c>
      <c r="B1185" s="15">
        <f>AVERAGE(Sheet1!G1183:G2520,Sheet1!D1183:D2520)</f>
        <v>4402.7748407643303</v>
      </c>
      <c r="C1185" s="3"/>
      <c r="J1185" s="4" t="s">
        <v>7</v>
      </c>
      <c r="K1185" s="4" t="s">
        <v>8</v>
      </c>
      <c r="L1185" s="17">
        <f t="shared" si="36"/>
        <v>0</v>
      </c>
      <c r="M1185" s="5">
        <f t="shared" si="37"/>
        <v>0</v>
      </c>
    </row>
    <row r="1186" spans="1:13" ht="14.5">
      <c r="A1186" s="3">
        <v>20</v>
      </c>
      <c r="B1186" s="15">
        <f>AVERAGE(Sheet1!G1184:G2521,Sheet1!D1184:D2521)</f>
        <v>4424.6932051282047</v>
      </c>
      <c r="C1186" s="3"/>
      <c r="J1186" s="4" t="s">
        <v>7</v>
      </c>
      <c r="K1186" s="4" t="s">
        <v>8</v>
      </c>
      <c r="L1186" s="17">
        <f t="shared" si="36"/>
        <v>0</v>
      </c>
      <c r="M1186" s="5">
        <f t="shared" si="37"/>
        <v>0</v>
      </c>
    </row>
    <row r="1187" spans="1:13" ht="14.5">
      <c r="A1187" s="3">
        <v>20</v>
      </c>
      <c r="B1187" s="15">
        <f>AVERAGE(Sheet1!G1185:G2522,Sheet1!D1185:D2522)</f>
        <v>4363.8031935483859</v>
      </c>
      <c r="C1187" s="3"/>
      <c r="J1187" s="4" t="s">
        <v>7</v>
      </c>
      <c r="K1187" s="4" t="s">
        <v>8</v>
      </c>
      <c r="L1187" s="17">
        <f t="shared" si="36"/>
        <v>0</v>
      </c>
      <c r="M1187" s="5">
        <f t="shared" si="37"/>
        <v>0</v>
      </c>
    </row>
    <row r="1188" spans="1:13" ht="14.5">
      <c r="A1188" s="3">
        <v>20</v>
      </c>
      <c r="B1188" s="15">
        <f>AVERAGE(Sheet1!G1186:G2523,Sheet1!D1186:D2523)</f>
        <v>4382.2097402597401</v>
      </c>
      <c r="C1188" s="3"/>
      <c r="J1188" s="4" t="s">
        <v>10</v>
      </c>
      <c r="K1188" s="4" t="s">
        <v>8</v>
      </c>
      <c r="L1188" s="17">
        <f t="shared" si="36"/>
        <v>0</v>
      </c>
      <c r="M1188" s="5">
        <f t="shared" si="37"/>
        <v>0</v>
      </c>
    </row>
    <row r="1189" spans="1:13" ht="14.5">
      <c r="A1189" s="3">
        <v>20</v>
      </c>
      <c r="B1189" s="15">
        <f>AVERAGE(Sheet1!G1187:G2524,Sheet1!D1187:D2524)</f>
        <v>4402.4579411764698</v>
      </c>
      <c r="C1189" s="3"/>
      <c r="J1189" s="4" t="s">
        <v>7</v>
      </c>
      <c r="K1189" s="4" t="s">
        <v>8</v>
      </c>
      <c r="L1189" s="17">
        <f t="shared" si="36"/>
        <v>0</v>
      </c>
      <c r="M1189" s="5">
        <f t="shared" si="37"/>
        <v>0</v>
      </c>
    </row>
    <row r="1190" spans="1:13" ht="14.5">
      <c r="A1190" s="3">
        <v>20</v>
      </c>
      <c r="B1190" s="15">
        <f>AVERAGE(Sheet1!G1188:G2525,Sheet1!D1188:D2525)</f>
        <v>4425.2370394736836</v>
      </c>
      <c r="C1190" s="3"/>
      <c r="J1190" s="4" t="s">
        <v>10</v>
      </c>
      <c r="K1190" s="4" t="s">
        <v>8</v>
      </c>
      <c r="L1190" s="17">
        <f t="shared" si="36"/>
        <v>0</v>
      </c>
      <c r="M1190" s="5">
        <f t="shared" si="37"/>
        <v>0</v>
      </c>
    </row>
    <row r="1191" spans="1:13" ht="14.5">
      <c r="A1191" s="3">
        <v>20</v>
      </c>
      <c r="B1191" s="15">
        <f>AVERAGE(Sheet1!G1189:G2526,Sheet1!D1189:D2526)</f>
        <v>4446.7179801324501</v>
      </c>
      <c r="C1191" s="3"/>
      <c r="J1191" s="4" t="s">
        <v>7</v>
      </c>
      <c r="K1191" s="4" t="s">
        <v>8</v>
      </c>
      <c r="L1191" s="17">
        <f t="shared" si="36"/>
        <v>0</v>
      </c>
      <c r="M1191" s="5">
        <f t="shared" si="37"/>
        <v>0</v>
      </c>
    </row>
    <row r="1192" spans="1:13" ht="14.5">
      <c r="A1192" s="3">
        <v>20</v>
      </c>
      <c r="B1192" s="15">
        <f>AVERAGE(Sheet1!G1190:G2527,Sheet1!D1190:D2527)</f>
        <v>4469.7479333333331</v>
      </c>
      <c r="C1192" s="3"/>
      <c r="J1192" s="4" t="s">
        <v>7</v>
      </c>
      <c r="K1192" s="4" t="s">
        <v>8</v>
      </c>
      <c r="L1192" s="17">
        <f t="shared" si="36"/>
        <v>0</v>
      </c>
      <c r="M1192" s="5">
        <f t="shared" si="37"/>
        <v>0</v>
      </c>
    </row>
    <row r="1193" spans="1:13" ht="14.5">
      <c r="A1193" s="3">
        <v>20</v>
      </c>
      <c r="B1193" s="15">
        <f>AVERAGE(Sheet1!G1191:G2528,Sheet1!D1191:D2528)</f>
        <v>4493.4444630872476</v>
      </c>
      <c r="C1193" s="3"/>
      <c r="J1193" s="4" t="s">
        <v>10</v>
      </c>
      <c r="K1193" s="4" t="s">
        <v>8</v>
      </c>
      <c r="L1193" s="17">
        <f t="shared" si="36"/>
        <v>0</v>
      </c>
      <c r="M1193" s="5">
        <f t="shared" si="37"/>
        <v>0</v>
      </c>
    </row>
    <row r="1194" spans="1:13" ht="14.5">
      <c r="A1194" s="3">
        <v>20</v>
      </c>
      <c r="B1194" s="15">
        <f>AVERAGE(Sheet1!G1192:G2529,Sheet1!D1192:D2529)</f>
        <v>4517.4699662162157</v>
      </c>
      <c r="C1194" s="3"/>
      <c r="J1194" s="4" t="s">
        <v>10</v>
      </c>
      <c r="K1194" s="4" t="s">
        <v>8</v>
      </c>
      <c r="L1194" s="17">
        <f t="shared" si="36"/>
        <v>0</v>
      </c>
      <c r="M1194" s="5">
        <f t="shared" si="37"/>
        <v>0</v>
      </c>
    </row>
    <row r="1195" spans="1:13" ht="14.5">
      <c r="A1195" s="3">
        <v>20</v>
      </c>
      <c r="B1195" s="15">
        <f>AVERAGE(Sheet1!G1193:G2530,Sheet1!D1193:D2530)</f>
        <v>4531.466156462584</v>
      </c>
      <c r="C1195" s="3"/>
      <c r="J1195" s="4" t="s">
        <v>7</v>
      </c>
      <c r="K1195" s="4" t="s">
        <v>8</v>
      </c>
      <c r="L1195" s="17">
        <f t="shared" si="36"/>
        <v>0</v>
      </c>
      <c r="M1195" s="5">
        <f t="shared" si="37"/>
        <v>0</v>
      </c>
    </row>
    <row r="1196" spans="1:13" ht="14.5">
      <c r="A1196" s="3">
        <v>20</v>
      </c>
      <c r="B1196" s="15">
        <f>AVERAGE(Sheet1!G1194:G2531,Sheet1!D1194:D2531)</f>
        <v>4447.8603767123277</v>
      </c>
      <c r="C1196" s="3"/>
      <c r="J1196" s="4" t="s">
        <v>7</v>
      </c>
      <c r="K1196" s="4" t="s">
        <v>11</v>
      </c>
      <c r="L1196" s="17">
        <f t="shared" si="36"/>
        <v>1</v>
      </c>
      <c r="M1196" s="5">
        <f t="shared" si="37"/>
        <v>0</v>
      </c>
    </row>
    <row r="1197" spans="1:13" ht="14.5">
      <c r="A1197" s="3">
        <v>20</v>
      </c>
      <c r="B1197" s="15">
        <f>AVERAGE(Sheet1!G1195:G2532,Sheet1!D1195:D2532)</f>
        <v>4470.7367586206883</v>
      </c>
      <c r="C1197" s="3"/>
      <c r="J1197" s="4" t="s">
        <v>10</v>
      </c>
      <c r="K1197" s="4" t="s">
        <v>8</v>
      </c>
      <c r="L1197" s="17">
        <f t="shared" si="36"/>
        <v>0</v>
      </c>
      <c r="M1197" s="5">
        <f t="shared" si="37"/>
        <v>0</v>
      </c>
    </row>
    <row r="1198" spans="1:13" ht="14.5">
      <c r="A1198" s="3">
        <v>20</v>
      </c>
      <c r="B1198" s="15">
        <f>AVERAGE(Sheet1!G1196:G2533,Sheet1!D1196:D2533)</f>
        <v>4493.24284722222</v>
      </c>
      <c r="C1198" s="3"/>
      <c r="J1198" s="4" t="s">
        <v>10</v>
      </c>
      <c r="K1198" s="4" t="s">
        <v>8</v>
      </c>
      <c r="L1198" s="17">
        <f t="shared" si="36"/>
        <v>0</v>
      </c>
      <c r="M1198" s="5">
        <f t="shared" si="37"/>
        <v>0</v>
      </c>
    </row>
    <row r="1199" spans="1:13" ht="14.5">
      <c r="A1199" s="3">
        <v>20</v>
      </c>
      <c r="B1199" s="15">
        <f>AVERAGE(Sheet1!G1197:G2534,Sheet1!D1197:D2534)</f>
        <v>4393.655944055944</v>
      </c>
      <c r="C1199" s="3"/>
      <c r="J1199" s="4" t="s">
        <v>7</v>
      </c>
      <c r="K1199" s="4" t="s">
        <v>11</v>
      </c>
      <c r="L1199" s="17">
        <f t="shared" si="36"/>
        <v>1</v>
      </c>
      <c r="M1199" s="5">
        <f t="shared" si="37"/>
        <v>0</v>
      </c>
    </row>
    <row r="1200" spans="1:13" ht="14.5">
      <c r="A1200" s="3">
        <v>20</v>
      </c>
      <c r="B1200" s="15">
        <f>AVERAGE(Sheet1!G1198:G2535,Sheet1!D1198:D2535)</f>
        <v>4332.6053873239434</v>
      </c>
      <c r="C1200" s="3"/>
      <c r="J1200" s="4" t="s">
        <v>10</v>
      </c>
      <c r="K1200" s="4" t="s">
        <v>11</v>
      </c>
      <c r="L1200" s="17">
        <f t="shared" si="36"/>
        <v>0</v>
      </c>
      <c r="M1200" s="5">
        <f t="shared" si="37"/>
        <v>1</v>
      </c>
    </row>
    <row r="1201" spans="1:13" ht="14.5">
      <c r="A1201" s="3">
        <v>20</v>
      </c>
      <c r="B1201" s="15">
        <f>AVERAGE(Sheet1!G1199:G2536,Sheet1!D1199:D2536)</f>
        <v>4291.81769503546</v>
      </c>
      <c r="C1201" s="3"/>
      <c r="J1201" s="4" t="s">
        <v>10</v>
      </c>
      <c r="K1201" s="4" t="s">
        <v>11</v>
      </c>
      <c r="L1201" s="17">
        <f t="shared" si="36"/>
        <v>0</v>
      </c>
      <c r="M1201" s="5">
        <f t="shared" si="37"/>
        <v>1</v>
      </c>
    </row>
    <row r="1202" spans="1:13" ht="14.5">
      <c r="A1202" s="3">
        <v>20</v>
      </c>
      <c r="B1202" s="15">
        <f>AVERAGE(Sheet1!G1200:G2537,Sheet1!D1200:D2537)</f>
        <v>4264.4990714285714</v>
      </c>
      <c r="C1202" s="3"/>
      <c r="J1202" s="4" t="s">
        <v>7</v>
      </c>
      <c r="K1202" s="4" t="s">
        <v>11</v>
      </c>
      <c r="L1202" s="17">
        <f t="shared" si="36"/>
        <v>1</v>
      </c>
      <c r="M1202" s="5">
        <f t="shared" si="37"/>
        <v>0</v>
      </c>
    </row>
    <row r="1203" spans="1:13" ht="14.5">
      <c r="A1203" s="3">
        <v>20</v>
      </c>
      <c r="B1203" s="15">
        <f>AVERAGE(Sheet1!G1201:G2538,Sheet1!D1201:D2538)</f>
        <v>4288.4145683453226</v>
      </c>
      <c r="C1203" s="3"/>
      <c r="J1203" s="4" t="s">
        <v>10</v>
      </c>
      <c r="K1203" s="4" t="s">
        <v>8</v>
      </c>
      <c r="L1203" s="17">
        <f t="shared" si="36"/>
        <v>0</v>
      </c>
      <c r="M1203" s="5">
        <f t="shared" si="37"/>
        <v>0</v>
      </c>
    </row>
    <row r="1204" spans="1:13" ht="14.5">
      <c r="A1204" s="3">
        <v>20</v>
      </c>
      <c r="B1204" s="15">
        <f>AVERAGE(Sheet1!G1202:G2539,Sheet1!D1202:D2539)</f>
        <v>4180.5531884057955</v>
      </c>
      <c r="C1204" s="3"/>
      <c r="J1204" s="4" t="s">
        <v>7</v>
      </c>
      <c r="K1204" s="4" t="s">
        <v>11</v>
      </c>
      <c r="L1204" s="17">
        <f t="shared" si="36"/>
        <v>1</v>
      </c>
      <c r="M1204" s="5">
        <f t="shared" si="37"/>
        <v>0</v>
      </c>
    </row>
    <row r="1205" spans="1:13" ht="14.5">
      <c r="A1205" s="3">
        <v>19</v>
      </c>
      <c r="B1205" s="15">
        <f>AVERAGE(Sheet1!G1203:G2540,Sheet1!D1203:D2540)</f>
        <v>4203.8937956204363</v>
      </c>
      <c r="C1205" s="3"/>
      <c r="J1205" s="4" t="s">
        <v>7</v>
      </c>
      <c r="K1205" s="4" t="s">
        <v>8</v>
      </c>
      <c r="L1205" s="17">
        <f t="shared" si="36"/>
        <v>0</v>
      </c>
      <c r="M1205" s="5">
        <f t="shared" si="37"/>
        <v>0</v>
      </c>
    </row>
    <row r="1206" spans="1:13" ht="14.5">
      <c r="A1206" s="3">
        <v>19</v>
      </c>
      <c r="B1206" s="15">
        <f>AVERAGE(Sheet1!G1204:G2541,Sheet1!D1204:D2541)</f>
        <v>4172.7278676470569</v>
      </c>
      <c r="C1206" s="3"/>
      <c r="J1206" s="4" t="s">
        <v>10</v>
      </c>
      <c r="K1206" s="4" t="s">
        <v>11</v>
      </c>
      <c r="L1206" s="17">
        <f t="shared" si="36"/>
        <v>0</v>
      </c>
      <c r="M1206" s="5">
        <f t="shared" si="37"/>
        <v>1</v>
      </c>
    </row>
    <row r="1207" spans="1:13" ht="14.5">
      <c r="A1207" s="3">
        <v>19</v>
      </c>
      <c r="B1207" s="15">
        <f>AVERAGE(Sheet1!G1205:G2542,Sheet1!D1205:D2542)</f>
        <v>4196.8286666666645</v>
      </c>
      <c r="C1207" s="3"/>
      <c r="J1207" s="4" t="s">
        <v>7</v>
      </c>
      <c r="K1207" s="4" t="s">
        <v>8</v>
      </c>
      <c r="L1207" s="17">
        <f t="shared" si="36"/>
        <v>0</v>
      </c>
      <c r="M1207" s="5">
        <f t="shared" si="37"/>
        <v>0</v>
      </c>
    </row>
    <row r="1208" spans="1:13" ht="14.5">
      <c r="A1208" s="3">
        <v>19</v>
      </c>
      <c r="B1208" s="15">
        <f>AVERAGE(Sheet1!G1206:G2543,Sheet1!D1206:D2543)</f>
        <v>4210.637835820894</v>
      </c>
      <c r="C1208" s="3"/>
      <c r="J1208" s="4" t="s">
        <v>10</v>
      </c>
      <c r="K1208" s="4" t="s">
        <v>8</v>
      </c>
      <c r="L1208" s="17">
        <f t="shared" si="36"/>
        <v>0</v>
      </c>
      <c r="M1208" s="5">
        <f t="shared" si="37"/>
        <v>0</v>
      </c>
    </row>
    <row r="1209" spans="1:13" ht="14.5">
      <c r="A1209" s="3">
        <v>19</v>
      </c>
      <c r="B1209" s="15">
        <f>AVERAGE(Sheet1!G1207:G2544,Sheet1!D1207:D2544)</f>
        <v>4236.1861278195474</v>
      </c>
      <c r="C1209" s="3"/>
      <c r="J1209" s="4" t="s">
        <v>7</v>
      </c>
      <c r="K1209" s="4" t="s">
        <v>8</v>
      </c>
      <c r="L1209" s="17">
        <f t="shared" si="36"/>
        <v>0</v>
      </c>
      <c r="M1209" s="5">
        <f t="shared" si="37"/>
        <v>0</v>
      </c>
    </row>
    <row r="1210" spans="1:13" ht="14.5">
      <c r="A1210" s="3">
        <v>19</v>
      </c>
      <c r="B1210" s="15">
        <f>AVERAGE(Sheet1!G1208:G2545,Sheet1!D1208:D2545)</f>
        <v>4261.675378787877</v>
      </c>
      <c r="C1210" s="3"/>
      <c r="J1210" s="4" t="s">
        <v>10</v>
      </c>
      <c r="K1210" s="4" t="s">
        <v>8</v>
      </c>
      <c r="L1210" s="17">
        <f t="shared" si="36"/>
        <v>0</v>
      </c>
      <c r="M1210" s="5">
        <f t="shared" si="37"/>
        <v>0</v>
      </c>
    </row>
    <row r="1211" spans="1:13" ht="14.5">
      <c r="A1211" s="3">
        <v>19</v>
      </c>
      <c r="B1211" s="15">
        <f>AVERAGE(Sheet1!G1209:G2546,Sheet1!D1209:D2546)</f>
        <v>4285.304503816792</v>
      </c>
      <c r="C1211" s="3"/>
      <c r="J1211" s="4" t="s">
        <v>10</v>
      </c>
      <c r="K1211" s="4" t="s">
        <v>8</v>
      </c>
      <c r="L1211" s="17">
        <f t="shared" si="36"/>
        <v>0</v>
      </c>
      <c r="M1211" s="5">
        <f t="shared" si="37"/>
        <v>0</v>
      </c>
    </row>
    <row r="1212" spans="1:13" ht="14.5">
      <c r="A1212" s="3">
        <v>19</v>
      </c>
      <c r="B1212" s="15">
        <f>AVERAGE(Sheet1!G1210:G2547,Sheet1!D1210:D2547)</f>
        <v>4252.5719230769209</v>
      </c>
      <c r="C1212" s="3"/>
      <c r="J1212" s="4" t="s">
        <v>10</v>
      </c>
      <c r="K1212" s="4" t="s">
        <v>11</v>
      </c>
      <c r="L1212" s="17">
        <f t="shared" si="36"/>
        <v>0</v>
      </c>
      <c r="M1212" s="5">
        <f t="shared" si="37"/>
        <v>1</v>
      </c>
    </row>
    <row r="1213" spans="1:13" ht="14.5">
      <c r="A1213" s="3">
        <v>19</v>
      </c>
      <c r="B1213" s="15">
        <f>AVERAGE(Sheet1!G1211:G2548,Sheet1!D1211:D2548)</f>
        <v>4279.2098449612386</v>
      </c>
      <c r="C1213" s="3"/>
      <c r="J1213" s="4" t="s">
        <v>7</v>
      </c>
      <c r="K1213" s="4" t="s">
        <v>8</v>
      </c>
      <c r="L1213" s="17">
        <f t="shared" si="36"/>
        <v>0</v>
      </c>
      <c r="M1213" s="5">
        <f t="shared" si="37"/>
        <v>0</v>
      </c>
    </row>
    <row r="1214" spans="1:13" ht="14.5">
      <c r="A1214" s="3">
        <v>19</v>
      </c>
      <c r="B1214" s="15">
        <f>AVERAGE(Sheet1!G1212:G2549,Sheet1!D1212:D2549)</f>
        <v>4307.713671874998</v>
      </c>
      <c r="C1214" s="3"/>
      <c r="J1214" s="4" t="s">
        <v>7</v>
      </c>
      <c r="K1214" s="4" t="s">
        <v>8</v>
      </c>
      <c r="L1214" s="17">
        <f t="shared" si="36"/>
        <v>0</v>
      </c>
      <c r="M1214" s="5">
        <f t="shared" si="37"/>
        <v>0</v>
      </c>
    </row>
    <row r="1215" spans="1:13" ht="14.5">
      <c r="A1215" s="3">
        <v>19</v>
      </c>
      <c r="B1215" s="15">
        <f>AVERAGE(Sheet1!G1213:G2550,Sheet1!D1213:D2550)</f>
        <v>4334.3747244094466</v>
      </c>
      <c r="C1215" s="3"/>
      <c r="J1215" s="4" t="s">
        <v>7</v>
      </c>
      <c r="K1215" s="4" t="s">
        <v>8</v>
      </c>
      <c r="L1215" s="17">
        <f t="shared" si="36"/>
        <v>0</v>
      </c>
      <c r="M1215" s="5">
        <f t="shared" si="37"/>
        <v>0</v>
      </c>
    </row>
    <row r="1216" spans="1:13" ht="14.5">
      <c r="A1216" s="3">
        <v>19</v>
      </c>
      <c r="B1216" s="15">
        <f>AVERAGE(Sheet1!G1214:G2551,Sheet1!D1214:D2551)</f>
        <v>4357.9797619047604</v>
      </c>
      <c r="C1216" s="3"/>
      <c r="J1216" s="4" t="s">
        <v>10</v>
      </c>
      <c r="K1216" s="4" t="s">
        <v>8</v>
      </c>
      <c r="L1216" s="17">
        <f t="shared" si="36"/>
        <v>0</v>
      </c>
      <c r="M1216" s="5">
        <f t="shared" si="37"/>
        <v>0</v>
      </c>
    </row>
    <row r="1217" spans="1:13" ht="14.5">
      <c r="A1217" s="3">
        <v>19</v>
      </c>
      <c r="B1217" s="15">
        <f>AVERAGE(Sheet1!G1215:G2552,Sheet1!D1215:D2552)</f>
        <v>4386.285359999998</v>
      </c>
      <c r="C1217" s="3"/>
      <c r="J1217" s="4" t="s">
        <v>7</v>
      </c>
      <c r="K1217" s="4" t="s">
        <v>8</v>
      </c>
      <c r="L1217" s="17">
        <f t="shared" si="36"/>
        <v>0</v>
      </c>
      <c r="M1217" s="5">
        <f t="shared" si="37"/>
        <v>0</v>
      </c>
    </row>
    <row r="1218" spans="1:13" ht="14.5">
      <c r="A1218" s="3">
        <v>19</v>
      </c>
      <c r="B1218" s="15">
        <f>AVERAGE(Sheet1!G1216:G2553,Sheet1!D1216:D2553)</f>
        <v>4413.0671774193524</v>
      </c>
      <c r="C1218" s="3"/>
      <c r="J1218" s="4" t="s">
        <v>10</v>
      </c>
      <c r="K1218" s="4" t="s">
        <v>8</v>
      </c>
      <c r="L1218" s="17">
        <f t="shared" si="36"/>
        <v>0</v>
      </c>
      <c r="M1218" s="5">
        <f t="shared" si="37"/>
        <v>0</v>
      </c>
    </row>
    <row r="1219" spans="1:13" ht="14.5">
      <c r="A1219" s="3">
        <v>19</v>
      </c>
      <c r="B1219" s="15">
        <f>AVERAGE(Sheet1!G1217:G2554,Sheet1!D1217:D2554)</f>
        <v>4307.5652032520311</v>
      </c>
      <c r="C1219" s="3"/>
      <c r="J1219" s="4" t="s">
        <v>7</v>
      </c>
      <c r="K1219" s="4" t="s">
        <v>11</v>
      </c>
      <c r="L1219" s="17">
        <f t="shared" si="36"/>
        <v>1</v>
      </c>
      <c r="M1219" s="5">
        <f t="shared" si="37"/>
        <v>0</v>
      </c>
    </row>
    <row r="1220" spans="1:13" ht="14.5">
      <c r="A1220" s="3">
        <v>19</v>
      </c>
      <c r="B1220" s="15">
        <f>AVERAGE(Sheet1!G1218:G2555,Sheet1!D1218:D2555)</f>
        <v>4335.7920081967195</v>
      </c>
      <c r="C1220" s="3"/>
      <c r="J1220" s="4" t="s">
        <v>10</v>
      </c>
      <c r="K1220" s="4" t="s">
        <v>8</v>
      </c>
      <c r="L1220" s="17">
        <f t="shared" si="36"/>
        <v>0</v>
      </c>
      <c r="M1220" s="5">
        <f t="shared" si="37"/>
        <v>0</v>
      </c>
    </row>
    <row r="1221" spans="1:13" ht="14.5">
      <c r="A1221" s="3">
        <v>19</v>
      </c>
      <c r="B1221" s="15">
        <f>AVERAGE(Sheet1!G1219:G2556,Sheet1!D1219:D2556)</f>
        <v>4299.9197107437994</v>
      </c>
      <c r="C1221" s="3"/>
      <c r="J1221" s="4" t="s">
        <v>7</v>
      </c>
      <c r="K1221" s="4" t="s">
        <v>11</v>
      </c>
      <c r="L1221" s="17">
        <f t="shared" si="36"/>
        <v>1</v>
      </c>
      <c r="M1221" s="5">
        <f t="shared" si="37"/>
        <v>0</v>
      </c>
    </row>
    <row r="1222" spans="1:13" ht="14.5">
      <c r="A1222" s="3">
        <v>19</v>
      </c>
      <c r="B1222" s="15">
        <f>AVERAGE(Sheet1!G1220:G2557,Sheet1!D1220:D2557)</f>
        <v>4328.1144999999979</v>
      </c>
      <c r="C1222" s="3"/>
      <c r="J1222" s="4" t="s">
        <v>7</v>
      </c>
      <c r="K1222" s="4" t="s">
        <v>8</v>
      </c>
      <c r="L1222" s="17">
        <f t="shared" ref="L1222:L1285" si="38">IF(AND(J1222="male", K1222="yes"),1,0)</f>
        <v>0</v>
      </c>
      <c r="M1222" s="5">
        <f t="shared" ref="M1222:M1285" si="39">IF(AND(J1222="female", K1222="yes"), 1, 0)</f>
        <v>0</v>
      </c>
    </row>
    <row r="1223" spans="1:13" ht="14.5">
      <c r="A1223" s="3">
        <v>19</v>
      </c>
      <c r="B1223" s="15">
        <f>AVERAGE(Sheet1!G1221:G2558,Sheet1!D1221:D2558)</f>
        <v>4222.6772689075606</v>
      </c>
      <c r="C1223" s="3"/>
      <c r="J1223" s="4" t="s">
        <v>7</v>
      </c>
      <c r="K1223" s="4" t="s">
        <v>11</v>
      </c>
      <c r="L1223" s="17">
        <f t="shared" si="38"/>
        <v>1</v>
      </c>
      <c r="M1223" s="5">
        <f t="shared" si="39"/>
        <v>0</v>
      </c>
    </row>
    <row r="1224" spans="1:13" ht="14.5">
      <c r="A1224" s="3">
        <v>19</v>
      </c>
      <c r="B1224" s="15">
        <f>AVERAGE(Sheet1!G1222:G2559,Sheet1!D1222:D2559)</f>
        <v>4104.9905932203365</v>
      </c>
      <c r="C1224" s="3"/>
      <c r="J1224" s="4" t="s">
        <v>7</v>
      </c>
      <c r="K1224" s="4" t="s">
        <v>11</v>
      </c>
      <c r="L1224" s="17">
        <f t="shared" si="38"/>
        <v>1</v>
      </c>
      <c r="M1224" s="5">
        <f t="shared" si="39"/>
        <v>0</v>
      </c>
    </row>
    <row r="1225" spans="1:13" ht="14.5">
      <c r="A1225" s="3">
        <v>19</v>
      </c>
      <c r="B1225" s="15">
        <f>AVERAGE(Sheet1!G1223:G2560,Sheet1!D1223:D2560)</f>
        <v>4128.0858119658096</v>
      </c>
      <c r="C1225" s="3"/>
      <c r="J1225" s="4" t="s">
        <v>7</v>
      </c>
      <c r="K1225" s="4" t="s">
        <v>8</v>
      </c>
      <c r="L1225" s="17">
        <f t="shared" si="38"/>
        <v>0</v>
      </c>
      <c r="M1225" s="5">
        <f t="shared" si="39"/>
        <v>0</v>
      </c>
    </row>
    <row r="1226" spans="1:13" ht="14.5">
      <c r="A1226" s="3">
        <v>19</v>
      </c>
      <c r="B1226" s="15">
        <f>AVERAGE(Sheet1!G1224:G2561,Sheet1!D1224:D2561)</f>
        <v>4093.4234051724106</v>
      </c>
      <c r="C1226" s="3"/>
      <c r="J1226" s="4" t="s">
        <v>7</v>
      </c>
      <c r="K1226" s="4" t="s">
        <v>11</v>
      </c>
      <c r="L1226" s="17">
        <f t="shared" si="38"/>
        <v>1</v>
      </c>
      <c r="M1226" s="5">
        <f t="shared" si="39"/>
        <v>0</v>
      </c>
    </row>
    <row r="1227" spans="1:13" ht="14.5">
      <c r="A1227" s="3">
        <v>19</v>
      </c>
      <c r="B1227" s="15">
        <f>AVERAGE(Sheet1!G1225:G2562,Sheet1!D1225:D2562)</f>
        <v>4121.4645652173886</v>
      </c>
      <c r="C1227" s="3"/>
      <c r="J1227" s="4" t="s">
        <v>10</v>
      </c>
      <c r="K1227" s="4" t="s">
        <v>8</v>
      </c>
      <c r="L1227" s="17">
        <f t="shared" si="38"/>
        <v>0</v>
      </c>
      <c r="M1227" s="5">
        <f t="shared" si="39"/>
        <v>0</v>
      </c>
    </row>
    <row r="1228" spans="1:13" ht="14.5">
      <c r="A1228" s="3">
        <v>19</v>
      </c>
      <c r="B1228" s="15">
        <f>AVERAGE(Sheet1!G1226:G2563,Sheet1!D1226:D2563)</f>
        <v>4150.4435087719276</v>
      </c>
      <c r="C1228" s="3"/>
      <c r="J1228" s="4" t="s">
        <v>7</v>
      </c>
      <c r="K1228" s="4" t="s">
        <v>8</v>
      </c>
      <c r="L1228" s="17">
        <f t="shared" si="38"/>
        <v>0</v>
      </c>
      <c r="M1228" s="5">
        <f t="shared" si="39"/>
        <v>0</v>
      </c>
    </row>
    <row r="1229" spans="1:13" ht="14.5">
      <c r="A1229" s="3">
        <v>19</v>
      </c>
      <c r="B1229" s="15">
        <f>AVERAGE(Sheet1!G1227:G2564,Sheet1!D1227:D2564)</f>
        <v>4125.9142035398199</v>
      </c>
      <c r="C1229" s="3"/>
      <c r="J1229" s="4" t="s">
        <v>10</v>
      </c>
      <c r="K1229" s="4" t="s">
        <v>11</v>
      </c>
      <c r="L1229" s="17">
        <f t="shared" si="38"/>
        <v>0</v>
      </c>
      <c r="M1229" s="5">
        <f t="shared" si="39"/>
        <v>1</v>
      </c>
    </row>
    <row r="1230" spans="1:13" ht="14.5">
      <c r="A1230" s="3">
        <v>19</v>
      </c>
      <c r="B1230" s="15">
        <f>AVERAGE(Sheet1!G1228:G2565,Sheet1!D1228:D2565)</f>
        <v>4157.1194196428542</v>
      </c>
      <c r="C1230" s="3"/>
      <c r="J1230" s="4" t="s">
        <v>7</v>
      </c>
      <c r="K1230" s="4" t="s">
        <v>8</v>
      </c>
      <c r="L1230" s="17">
        <f t="shared" si="38"/>
        <v>0</v>
      </c>
      <c r="M1230" s="5">
        <f t="shared" si="39"/>
        <v>0</v>
      </c>
    </row>
    <row r="1231" spans="1:13" ht="14.5">
      <c r="A1231" s="3">
        <v>19</v>
      </c>
      <c r="B1231" s="15">
        <f>AVERAGE(Sheet1!G1229:G2566,Sheet1!D1229:D2566)</f>
        <v>4184.9399999999969</v>
      </c>
      <c r="C1231" s="3"/>
      <c r="J1231" s="4" t="s">
        <v>10</v>
      </c>
      <c r="K1231" s="4" t="s">
        <v>8</v>
      </c>
      <c r="L1231" s="17">
        <f t="shared" si="38"/>
        <v>0</v>
      </c>
      <c r="M1231" s="5">
        <f t="shared" si="39"/>
        <v>0</v>
      </c>
    </row>
    <row r="1232" spans="1:13" ht="14.5">
      <c r="A1232" s="3">
        <v>19</v>
      </c>
      <c r="B1232" s="15">
        <f>AVERAGE(Sheet1!G1230:G2567,Sheet1!D1230:D2567)</f>
        <v>4215.6151818181788</v>
      </c>
      <c r="C1232" s="3"/>
      <c r="J1232" s="4" t="s">
        <v>7</v>
      </c>
      <c r="K1232" s="4" t="s">
        <v>8</v>
      </c>
      <c r="L1232" s="17">
        <f t="shared" si="38"/>
        <v>0</v>
      </c>
      <c r="M1232" s="5">
        <f t="shared" si="39"/>
        <v>0</v>
      </c>
    </row>
    <row r="1233" spans="1:13" ht="14.5">
      <c r="A1233" s="3">
        <v>19</v>
      </c>
      <c r="B1233" s="15">
        <f>AVERAGE(Sheet1!G1231:G2568,Sheet1!D1231:D2568)</f>
        <v>4244.4974311926571</v>
      </c>
      <c r="C1233" s="3"/>
      <c r="J1233" s="4" t="s">
        <v>10</v>
      </c>
      <c r="K1233" s="4" t="s">
        <v>8</v>
      </c>
      <c r="L1233" s="17">
        <f t="shared" si="38"/>
        <v>0</v>
      </c>
      <c r="M1233" s="5">
        <f t="shared" si="39"/>
        <v>0</v>
      </c>
    </row>
    <row r="1234" spans="1:13" ht="14.5">
      <c r="A1234" s="3">
        <v>19</v>
      </c>
      <c r="B1234" s="15">
        <f>AVERAGE(Sheet1!G1232:G2569,Sheet1!D1232:D2569)</f>
        <v>4176.9327777777744</v>
      </c>
      <c r="C1234" s="3"/>
      <c r="J1234" s="4" t="s">
        <v>7</v>
      </c>
      <c r="K1234" s="4" t="s">
        <v>8</v>
      </c>
      <c r="L1234" s="17">
        <f t="shared" si="38"/>
        <v>0</v>
      </c>
      <c r="M1234" s="5">
        <f t="shared" si="39"/>
        <v>0</v>
      </c>
    </row>
    <row r="1235" spans="1:13" ht="14.5">
      <c r="A1235" s="3">
        <v>19</v>
      </c>
      <c r="B1235" s="15">
        <f>AVERAGE(Sheet1!G1233:G2570,Sheet1!D1233:D2570)</f>
        <v>4208.3431775700901</v>
      </c>
      <c r="C1235" s="3"/>
      <c r="J1235" s="4" t="s">
        <v>7</v>
      </c>
      <c r="K1235" s="4" t="s">
        <v>8</v>
      </c>
      <c r="L1235" s="17">
        <f t="shared" si="38"/>
        <v>0</v>
      </c>
      <c r="M1235" s="5">
        <f t="shared" si="39"/>
        <v>0</v>
      </c>
    </row>
    <row r="1236" spans="1:13" ht="14.5">
      <c r="A1236" s="3">
        <v>19</v>
      </c>
      <c r="B1236" s="15">
        <f>AVERAGE(Sheet1!G1234:G2571,Sheet1!D1234:D2571)</f>
        <v>4239.8158962264115</v>
      </c>
      <c r="C1236" s="3"/>
      <c r="J1236" s="4" t="s">
        <v>10</v>
      </c>
      <c r="K1236" s="4" t="s">
        <v>8</v>
      </c>
      <c r="L1236" s="17">
        <f t="shared" si="38"/>
        <v>0</v>
      </c>
      <c r="M1236" s="5">
        <f t="shared" si="39"/>
        <v>0</v>
      </c>
    </row>
    <row r="1237" spans="1:13" ht="14.5">
      <c r="A1237" s="3">
        <v>19</v>
      </c>
      <c r="B1237" s="15">
        <f>AVERAGE(Sheet1!G1235:G2572,Sheet1!D1235:D2572)</f>
        <v>4274.2239523809494</v>
      </c>
      <c r="C1237" s="3"/>
      <c r="J1237" s="4" t="s">
        <v>7</v>
      </c>
      <c r="K1237" s="4" t="s">
        <v>8</v>
      </c>
      <c r="L1237" s="17">
        <f t="shared" si="38"/>
        <v>0</v>
      </c>
      <c r="M1237" s="5">
        <f t="shared" si="39"/>
        <v>0</v>
      </c>
    </row>
    <row r="1238" spans="1:13" ht="14.5">
      <c r="A1238" s="3">
        <v>19</v>
      </c>
      <c r="B1238" s="15">
        <f>AVERAGE(Sheet1!G1236:G2573,Sheet1!D1236:D2573)</f>
        <v>4306.9147115384585</v>
      </c>
      <c r="C1238" s="3"/>
      <c r="J1238" s="4" t="s">
        <v>10</v>
      </c>
      <c r="K1238" s="4" t="s">
        <v>8</v>
      </c>
      <c r="L1238" s="17">
        <f t="shared" si="38"/>
        <v>0</v>
      </c>
      <c r="M1238" s="5">
        <f t="shared" si="39"/>
        <v>0</v>
      </c>
    </row>
    <row r="1239" spans="1:13" ht="14.5">
      <c r="A1239" s="3">
        <v>19</v>
      </c>
      <c r="B1239" s="15">
        <f>AVERAGE(Sheet1!G1237:G2574,Sheet1!D1237:D2574)</f>
        <v>4190.7277669902887</v>
      </c>
      <c r="C1239" s="3"/>
      <c r="J1239" s="4" t="s">
        <v>7</v>
      </c>
      <c r="K1239" s="4" t="s">
        <v>11</v>
      </c>
      <c r="L1239" s="17">
        <f t="shared" si="38"/>
        <v>1</v>
      </c>
      <c r="M1239" s="5">
        <f t="shared" si="39"/>
        <v>0</v>
      </c>
    </row>
    <row r="1240" spans="1:13" ht="14.5">
      <c r="A1240" s="3">
        <v>19</v>
      </c>
      <c r="B1240" s="15">
        <f>AVERAGE(Sheet1!G1238:G2575,Sheet1!D1238:D2575)</f>
        <v>4225.654999999997</v>
      </c>
      <c r="C1240" s="3"/>
      <c r="J1240" s="4" t="s">
        <v>7</v>
      </c>
      <c r="K1240" s="4" t="s">
        <v>8</v>
      </c>
      <c r="L1240" s="17">
        <f t="shared" si="38"/>
        <v>0</v>
      </c>
      <c r="M1240" s="5">
        <f t="shared" si="39"/>
        <v>0</v>
      </c>
    </row>
    <row r="1241" spans="1:13" ht="14.5">
      <c r="A1241" s="3">
        <v>19</v>
      </c>
      <c r="B1241" s="15">
        <f>AVERAGE(Sheet1!G1239:G2576,Sheet1!D1239:D2576)</f>
        <v>4148.3759405940564</v>
      </c>
      <c r="C1241" s="3"/>
      <c r="J1241" s="4" t="s">
        <v>10</v>
      </c>
      <c r="K1241" s="4" t="s">
        <v>8</v>
      </c>
      <c r="L1241" s="17">
        <f t="shared" si="38"/>
        <v>0</v>
      </c>
      <c r="M1241" s="5">
        <f t="shared" si="39"/>
        <v>0</v>
      </c>
    </row>
    <row r="1242" spans="1:13" ht="14.5">
      <c r="A1242" s="3">
        <v>19</v>
      </c>
      <c r="B1242" s="15">
        <f>AVERAGE(Sheet1!G1240:G2577,Sheet1!D1240:D2577)</f>
        <v>4181.6275499999974</v>
      </c>
      <c r="C1242" s="3"/>
      <c r="J1242" s="4" t="s">
        <v>7</v>
      </c>
      <c r="K1242" s="4" t="s">
        <v>8</v>
      </c>
      <c r="L1242" s="17">
        <f t="shared" si="38"/>
        <v>0</v>
      </c>
      <c r="M1242" s="5">
        <f t="shared" si="39"/>
        <v>0</v>
      </c>
    </row>
    <row r="1243" spans="1:13" ht="14.5">
      <c r="A1243" s="3">
        <v>19</v>
      </c>
      <c r="B1243" s="15">
        <f>AVERAGE(Sheet1!G1241:G2578,Sheet1!D1241:D2578)</f>
        <v>4213.1165656565636</v>
      </c>
      <c r="C1243" s="3"/>
      <c r="J1243" s="4" t="s">
        <v>10</v>
      </c>
      <c r="K1243" s="4" t="s">
        <v>8</v>
      </c>
      <c r="L1243" s="17">
        <f t="shared" si="38"/>
        <v>0</v>
      </c>
      <c r="M1243" s="5">
        <f t="shared" si="39"/>
        <v>0</v>
      </c>
    </row>
    <row r="1244" spans="1:13" ht="14.5">
      <c r="A1244" s="3">
        <v>19</v>
      </c>
      <c r="B1244" s="15">
        <f>AVERAGE(Sheet1!G1242:G2579,Sheet1!D1242:D2579)</f>
        <v>4247.7424489795894</v>
      </c>
      <c r="C1244" s="3"/>
      <c r="J1244" s="4" t="s">
        <v>7</v>
      </c>
      <c r="K1244" s="4" t="s">
        <v>8</v>
      </c>
      <c r="L1244" s="17">
        <f t="shared" si="38"/>
        <v>0</v>
      </c>
      <c r="M1244" s="5">
        <f t="shared" si="39"/>
        <v>0</v>
      </c>
    </row>
    <row r="1245" spans="1:13" ht="14.5">
      <c r="A1245" s="3">
        <v>19</v>
      </c>
      <c r="B1245" s="15">
        <f>AVERAGE(Sheet1!G1243:G2580,Sheet1!D1243:D2580)</f>
        <v>4285.1273195876265</v>
      </c>
      <c r="C1245" s="3"/>
      <c r="J1245" s="4" t="s">
        <v>7</v>
      </c>
      <c r="K1245" s="4" t="s">
        <v>8</v>
      </c>
      <c r="L1245" s="17">
        <f t="shared" si="38"/>
        <v>0</v>
      </c>
      <c r="M1245" s="5">
        <f t="shared" si="39"/>
        <v>0</v>
      </c>
    </row>
    <row r="1246" spans="1:13" ht="14.5">
      <c r="A1246" s="3">
        <v>19</v>
      </c>
      <c r="B1246" s="15">
        <f>AVERAGE(Sheet1!G1244:G2581,Sheet1!D1244:D2581)</f>
        <v>4238.7797916666641</v>
      </c>
      <c r="C1246" s="3"/>
      <c r="J1246" s="4" t="s">
        <v>10</v>
      </c>
      <c r="K1246" s="4" t="s">
        <v>11</v>
      </c>
      <c r="L1246" s="17">
        <f t="shared" si="38"/>
        <v>0</v>
      </c>
      <c r="M1246" s="5">
        <f t="shared" si="39"/>
        <v>1</v>
      </c>
    </row>
    <row r="1247" spans="1:13" ht="14.5">
      <c r="A1247" s="3">
        <v>19</v>
      </c>
      <c r="B1247" s="15">
        <f>AVERAGE(Sheet1!G1245:G2582,Sheet1!D1245:D2582)</f>
        <v>4102.1361052631546</v>
      </c>
      <c r="C1247" s="3"/>
      <c r="J1247" s="4" t="s">
        <v>10</v>
      </c>
      <c r="K1247" s="4" t="s">
        <v>11</v>
      </c>
      <c r="L1247" s="17">
        <f t="shared" si="38"/>
        <v>0</v>
      </c>
      <c r="M1247" s="5">
        <f t="shared" si="39"/>
        <v>1</v>
      </c>
    </row>
    <row r="1248" spans="1:13" ht="14.5">
      <c r="A1248" s="3">
        <v>19</v>
      </c>
      <c r="B1248" s="15">
        <f>AVERAGE(Sheet1!G1246:G2583,Sheet1!D1246:D2583)</f>
        <v>4131.3603723404231</v>
      </c>
      <c r="C1248" s="3"/>
      <c r="J1248" s="4" t="s">
        <v>10</v>
      </c>
      <c r="K1248" s="4" t="s">
        <v>8</v>
      </c>
      <c r="L1248" s="17">
        <f t="shared" si="38"/>
        <v>0</v>
      </c>
      <c r="M1248" s="5">
        <f t="shared" si="39"/>
        <v>0</v>
      </c>
    </row>
    <row r="1249" spans="1:13" ht="14.5">
      <c r="A1249" s="3">
        <v>19</v>
      </c>
      <c r="B1249" s="15">
        <f>AVERAGE(Sheet1!G1247:G2584,Sheet1!D1247:D2584)</f>
        <v>4169.1047849462338</v>
      </c>
      <c r="C1249" s="3"/>
      <c r="J1249" s="4" t="s">
        <v>7</v>
      </c>
      <c r="K1249" s="4" t="s">
        <v>8</v>
      </c>
      <c r="L1249" s="17">
        <f t="shared" si="38"/>
        <v>0</v>
      </c>
      <c r="M1249" s="5">
        <f t="shared" si="39"/>
        <v>0</v>
      </c>
    </row>
    <row r="1250" spans="1:13" ht="14.5">
      <c r="A1250" s="3">
        <v>19</v>
      </c>
      <c r="B1250" s="15">
        <f>AVERAGE(Sheet1!G1248:G2585,Sheet1!D1248:D2585)</f>
        <v>4207.5556521739109</v>
      </c>
      <c r="C1250" s="3"/>
      <c r="J1250" s="4" t="s">
        <v>7</v>
      </c>
      <c r="K1250" s="4" t="s">
        <v>8</v>
      </c>
      <c r="L1250" s="17">
        <f t="shared" si="38"/>
        <v>0</v>
      </c>
      <c r="M1250" s="5">
        <f t="shared" si="39"/>
        <v>0</v>
      </c>
    </row>
    <row r="1251" spans="1:13" ht="14.5">
      <c r="A1251" s="3">
        <v>19</v>
      </c>
      <c r="B1251" s="15">
        <f>AVERAGE(Sheet1!G1249:G2586,Sheet1!D1249:D2586)</f>
        <v>4244.8514285714255</v>
      </c>
      <c r="C1251" s="3"/>
      <c r="J1251" s="4" t="s">
        <v>7</v>
      </c>
      <c r="K1251" s="4" t="s">
        <v>8</v>
      </c>
      <c r="L1251" s="17">
        <f t="shared" si="38"/>
        <v>0</v>
      </c>
      <c r="M1251" s="5">
        <f t="shared" si="39"/>
        <v>0</v>
      </c>
    </row>
    <row r="1252" spans="1:13" ht="14.5">
      <c r="A1252" s="3">
        <v>19</v>
      </c>
      <c r="B1252" s="15">
        <f>AVERAGE(Sheet1!G1250:G2587,Sheet1!D1250:D2587)</f>
        <v>4193.4136111111084</v>
      </c>
      <c r="C1252" s="3"/>
      <c r="J1252" s="4" t="s">
        <v>10</v>
      </c>
      <c r="K1252" s="4" t="s">
        <v>11</v>
      </c>
      <c r="L1252" s="17">
        <f t="shared" si="38"/>
        <v>0</v>
      </c>
      <c r="M1252" s="5">
        <f t="shared" si="39"/>
        <v>1</v>
      </c>
    </row>
    <row r="1253" spans="1:13" ht="14.5">
      <c r="A1253" s="3">
        <v>19</v>
      </c>
      <c r="B1253" s="15">
        <f>AVERAGE(Sheet1!G1251:G2588,Sheet1!D1251:D2588)</f>
        <v>4233.4946067415694</v>
      </c>
      <c r="C1253" s="3"/>
      <c r="J1253" s="4" t="s">
        <v>7</v>
      </c>
      <c r="K1253" s="4" t="s">
        <v>8</v>
      </c>
      <c r="L1253" s="17">
        <f t="shared" si="38"/>
        <v>0</v>
      </c>
      <c r="M1253" s="5">
        <f t="shared" si="39"/>
        <v>0</v>
      </c>
    </row>
    <row r="1254" spans="1:13" ht="14.5">
      <c r="A1254" s="3">
        <v>19</v>
      </c>
      <c r="B1254" s="15">
        <f>AVERAGE(Sheet1!G1252:G2589,Sheet1!D1252:D2589)</f>
        <v>4269.4611363636332</v>
      </c>
      <c r="C1254" s="3"/>
      <c r="J1254" s="4" t="s">
        <v>10</v>
      </c>
      <c r="K1254" s="4" t="s">
        <v>8</v>
      </c>
      <c r="L1254" s="17">
        <f t="shared" si="38"/>
        <v>0</v>
      </c>
      <c r="M1254" s="5">
        <f t="shared" si="39"/>
        <v>0</v>
      </c>
    </row>
    <row r="1255" spans="1:13" ht="14.5">
      <c r="A1255" s="3">
        <v>19</v>
      </c>
      <c r="B1255" s="15">
        <f>AVERAGE(Sheet1!G1253:G2590,Sheet1!D1253:D2590)</f>
        <v>4305.7620689655141</v>
      </c>
      <c r="C1255" s="3"/>
      <c r="J1255" s="4" t="s">
        <v>7</v>
      </c>
      <c r="K1255" s="4" t="s">
        <v>8</v>
      </c>
      <c r="L1255" s="17">
        <f t="shared" si="38"/>
        <v>0</v>
      </c>
      <c r="M1255" s="5">
        <f t="shared" si="39"/>
        <v>0</v>
      </c>
    </row>
    <row r="1256" spans="1:13" ht="14.5">
      <c r="A1256" s="3">
        <v>19</v>
      </c>
      <c r="B1256" s="15">
        <f>AVERAGE(Sheet1!G1254:G2591,Sheet1!D1254:D2591)</f>
        <v>4343.5189534883684</v>
      </c>
      <c r="C1256" s="3"/>
      <c r="J1256" s="4" t="s">
        <v>10</v>
      </c>
      <c r="K1256" s="4" t="s">
        <v>8</v>
      </c>
      <c r="L1256" s="17">
        <f t="shared" si="38"/>
        <v>0</v>
      </c>
      <c r="M1256" s="5">
        <f t="shared" si="39"/>
        <v>0</v>
      </c>
    </row>
    <row r="1257" spans="1:13" ht="14.5">
      <c r="A1257" s="3">
        <v>19</v>
      </c>
      <c r="B1257" s="15">
        <f>AVERAGE(Sheet1!G1255:G2592,Sheet1!D1255:D2592)</f>
        <v>4377.468764705879</v>
      </c>
      <c r="C1257" s="3"/>
      <c r="J1257" s="4" t="s">
        <v>10</v>
      </c>
      <c r="K1257" s="4" t="s">
        <v>8</v>
      </c>
      <c r="L1257" s="17">
        <f t="shared" si="38"/>
        <v>0</v>
      </c>
      <c r="M1257" s="5">
        <f t="shared" si="39"/>
        <v>0</v>
      </c>
    </row>
    <row r="1258" spans="1:13" ht="14.5">
      <c r="A1258" s="3">
        <v>19</v>
      </c>
      <c r="B1258" s="15">
        <f>AVERAGE(Sheet1!G1256:G2593,Sheet1!D1256:D2593)</f>
        <v>4419.8882142857101</v>
      </c>
      <c r="C1258" s="3"/>
      <c r="J1258" s="4" t="s">
        <v>7</v>
      </c>
      <c r="K1258" s="4" t="s">
        <v>8</v>
      </c>
      <c r="L1258" s="17">
        <f t="shared" si="38"/>
        <v>0</v>
      </c>
      <c r="M1258" s="5">
        <f t="shared" si="39"/>
        <v>0</v>
      </c>
    </row>
    <row r="1259" spans="1:13" ht="14.5">
      <c r="A1259" s="3">
        <v>19</v>
      </c>
      <c r="B1259" s="15">
        <f>AVERAGE(Sheet1!G1257:G2594,Sheet1!D1257:D2594)</f>
        <v>4456.6874096385509</v>
      </c>
      <c r="C1259" s="3"/>
      <c r="J1259" s="4" t="s">
        <v>10</v>
      </c>
      <c r="K1259" s="4" t="s">
        <v>8</v>
      </c>
      <c r="L1259" s="17">
        <f t="shared" si="38"/>
        <v>0</v>
      </c>
      <c r="M1259" s="5">
        <f t="shared" si="39"/>
        <v>0</v>
      </c>
    </row>
    <row r="1260" spans="1:13" ht="14.5">
      <c r="A1260" s="3">
        <v>19</v>
      </c>
      <c r="B1260" s="15">
        <f>AVERAGE(Sheet1!G1258:G2595,Sheet1!D1258:D2595)</f>
        <v>4500.3095731707272</v>
      </c>
      <c r="C1260" s="3"/>
      <c r="J1260" s="4" t="s">
        <v>10</v>
      </c>
      <c r="K1260" s="4" t="s">
        <v>8</v>
      </c>
      <c r="L1260" s="17">
        <f t="shared" si="38"/>
        <v>0</v>
      </c>
      <c r="M1260" s="5">
        <f t="shared" si="39"/>
        <v>0</v>
      </c>
    </row>
    <row r="1261" spans="1:13" ht="14.5">
      <c r="A1261" s="3">
        <v>19</v>
      </c>
      <c r="B1261" s="15">
        <f>AVERAGE(Sheet1!G1259:G2596,Sheet1!D1259:D2596)</f>
        <v>4539.1390740740699</v>
      </c>
      <c r="C1261" s="3"/>
      <c r="J1261" s="4" t="s">
        <v>10</v>
      </c>
      <c r="K1261" s="4" t="s">
        <v>8</v>
      </c>
      <c r="L1261" s="17">
        <f t="shared" si="38"/>
        <v>0</v>
      </c>
      <c r="M1261" s="5">
        <f t="shared" si="39"/>
        <v>0</v>
      </c>
    </row>
    <row r="1262" spans="1:13" ht="14.5">
      <c r="A1262" s="3">
        <v>19</v>
      </c>
      <c r="B1262" s="15">
        <f>AVERAGE(Sheet1!G1260:G2597,Sheet1!D1260:D2597)</f>
        <v>4493.0539999999964</v>
      </c>
      <c r="C1262" s="3"/>
      <c r="J1262" s="4" t="s">
        <v>7</v>
      </c>
      <c r="K1262" s="4" t="s">
        <v>11</v>
      </c>
      <c r="L1262" s="17">
        <f t="shared" si="38"/>
        <v>1</v>
      </c>
      <c r="M1262" s="5">
        <f t="shared" si="39"/>
        <v>0</v>
      </c>
    </row>
    <row r="1263" spans="1:13" ht="14.5">
      <c r="A1263" s="3">
        <v>19</v>
      </c>
      <c r="B1263" s="15">
        <f>AVERAGE(Sheet1!G1261:G2598,Sheet1!D1261:D2598)</f>
        <v>4407.5505063291093</v>
      </c>
      <c r="C1263" s="3"/>
      <c r="J1263" s="4" t="s">
        <v>7</v>
      </c>
      <c r="K1263" s="4" t="s">
        <v>8</v>
      </c>
      <c r="L1263" s="17">
        <f t="shared" si="38"/>
        <v>0</v>
      </c>
      <c r="M1263" s="5">
        <f t="shared" si="39"/>
        <v>0</v>
      </c>
    </row>
    <row r="1264" spans="1:13" ht="14.5">
      <c r="A1264" s="3">
        <v>19</v>
      </c>
      <c r="B1264" s="15">
        <f>AVERAGE(Sheet1!G1262:G2599,Sheet1!D1262:D2599)</f>
        <v>4452.9748717948678</v>
      </c>
      <c r="C1264" s="3"/>
      <c r="J1264" s="4" t="s">
        <v>10</v>
      </c>
      <c r="K1264" s="4" t="s">
        <v>8</v>
      </c>
      <c r="L1264" s="17">
        <f t="shared" si="38"/>
        <v>0</v>
      </c>
      <c r="M1264" s="5">
        <f t="shared" si="39"/>
        <v>0</v>
      </c>
    </row>
    <row r="1265" spans="1:13" ht="14.5">
      <c r="A1265" s="3">
        <v>19</v>
      </c>
      <c r="B1265" s="15">
        <f>AVERAGE(Sheet1!G1263:G2600,Sheet1!D1263:D2600)</f>
        <v>4271.2035714285694</v>
      </c>
      <c r="C1265" s="3"/>
      <c r="J1265" s="4" t="s">
        <v>10</v>
      </c>
      <c r="K1265" s="4" t="s">
        <v>11</v>
      </c>
      <c r="L1265" s="17">
        <f t="shared" si="38"/>
        <v>0</v>
      </c>
      <c r="M1265" s="5">
        <f t="shared" si="39"/>
        <v>1</v>
      </c>
    </row>
    <row r="1266" spans="1:13" ht="14.5">
      <c r="A1266" s="3">
        <v>19</v>
      </c>
      <c r="B1266" s="15">
        <f>AVERAGE(Sheet1!G1264:G2601,Sheet1!D1264:D2601)</f>
        <v>4066.0697368421029</v>
      </c>
      <c r="C1266" s="3"/>
      <c r="J1266" s="4" t="s">
        <v>7</v>
      </c>
      <c r="K1266" s="4" t="s">
        <v>11</v>
      </c>
      <c r="L1266" s="17">
        <f t="shared" si="38"/>
        <v>1</v>
      </c>
      <c r="M1266" s="5">
        <f t="shared" si="39"/>
        <v>0</v>
      </c>
    </row>
    <row r="1267" spans="1:13" ht="14.5">
      <c r="A1267" s="3">
        <v>19</v>
      </c>
      <c r="B1267" s="15">
        <f>AVERAGE(Sheet1!G1265:G2602,Sheet1!D1265:D2602)</f>
        <v>3994.6726666666646</v>
      </c>
      <c r="C1267" s="3"/>
      <c r="J1267" s="4" t="s">
        <v>10</v>
      </c>
      <c r="K1267" s="4" t="s">
        <v>8</v>
      </c>
      <c r="L1267" s="17">
        <f t="shared" si="38"/>
        <v>0</v>
      </c>
      <c r="M1267" s="5">
        <f t="shared" si="39"/>
        <v>0</v>
      </c>
    </row>
    <row r="1268" spans="1:13" ht="14.5">
      <c r="A1268" s="3">
        <v>19</v>
      </c>
      <c r="B1268" s="15">
        <f>AVERAGE(Sheet1!G1266:G2603,Sheet1!D1266:D2603)</f>
        <v>3823.6037162162152</v>
      </c>
      <c r="C1268" s="3"/>
      <c r="J1268" s="4" t="s">
        <v>10</v>
      </c>
      <c r="K1268" s="4" t="s">
        <v>11</v>
      </c>
      <c r="L1268" s="17">
        <f t="shared" si="38"/>
        <v>0</v>
      </c>
      <c r="M1268" s="5">
        <f t="shared" si="39"/>
        <v>1</v>
      </c>
    </row>
    <row r="1269" spans="1:13" ht="14.5">
      <c r="A1269" s="3">
        <v>19</v>
      </c>
      <c r="B1269" s="15">
        <f>AVERAGE(Sheet1!G1267:G2604,Sheet1!D1267:D2604)</f>
        <v>3867.4779452054781</v>
      </c>
      <c r="C1269" s="3"/>
      <c r="J1269" s="4" t="s">
        <v>7</v>
      </c>
      <c r="K1269" s="4" t="s">
        <v>8</v>
      </c>
      <c r="L1269" s="17">
        <f t="shared" si="38"/>
        <v>0</v>
      </c>
      <c r="M1269" s="5">
        <f t="shared" si="39"/>
        <v>0</v>
      </c>
    </row>
    <row r="1270" spans="1:13" ht="14.5">
      <c r="A1270" s="3">
        <v>19</v>
      </c>
      <c r="B1270" s="15">
        <f>AVERAGE(Sheet1!G1268:G2605,Sheet1!D1268:D2605)</f>
        <v>3679.3272916666665</v>
      </c>
      <c r="C1270" s="3"/>
      <c r="J1270" s="4" t="s">
        <v>7</v>
      </c>
      <c r="K1270" s="4" t="s">
        <v>11</v>
      </c>
      <c r="L1270" s="17">
        <f t="shared" si="38"/>
        <v>1</v>
      </c>
      <c r="M1270" s="5">
        <f t="shared" si="39"/>
        <v>0</v>
      </c>
    </row>
    <row r="1271" spans="1:13" ht="14.5">
      <c r="A1271" s="3">
        <v>19</v>
      </c>
      <c r="B1271" s="15">
        <f>AVERAGE(Sheet1!G1269:G2606,Sheet1!D1269:D2606)</f>
        <v>3712.0514084507054</v>
      </c>
      <c r="C1271" s="3"/>
      <c r="J1271" s="4" t="s">
        <v>10</v>
      </c>
      <c r="K1271" s="4" t="s">
        <v>8</v>
      </c>
      <c r="L1271" s="17">
        <f t="shared" si="38"/>
        <v>0</v>
      </c>
      <c r="M1271" s="5">
        <f t="shared" si="39"/>
        <v>0</v>
      </c>
    </row>
    <row r="1272" spans="1:13" ht="14.5">
      <c r="A1272" s="3">
        <v>19</v>
      </c>
      <c r="B1272" s="15">
        <f>AVERAGE(Sheet1!G1270:G2607,Sheet1!D1270:D2607)</f>
        <v>3505.0837142857158</v>
      </c>
      <c r="C1272" s="3"/>
      <c r="J1272" s="4" t="s">
        <v>10</v>
      </c>
      <c r="K1272" s="4" t="s">
        <v>11</v>
      </c>
      <c r="L1272" s="17">
        <f t="shared" si="38"/>
        <v>0</v>
      </c>
      <c r="M1272" s="5">
        <f t="shared" si="39"/>
        <v>1</v>
      </c>
    </row>
    <row r="1273" spans="1:13" ht="14.5">
      <c r="A1273" s="3">
        <v>18</v>
      </c>
      <c r="B1273" s="15">
        <f>AVERAGE(Sheet1!G1271:G2608,Sheet1!D1271:D2608)</f>
        <v>3543.3336231884073</v>
      </c>
      <c r="C1273" s="3"/>
      <c r="J1273" s="4" t="s">
        <v>10</v>
      </c>
      <c r="K1273" s="4" t="s">
        <v>8</v>
      </c>
      <c r="L1273" s="17">
        <f t="shared" si="38"/>
        <v>0</v>
      </c>
      <c r="M1273" s="5">
        <f t="shared" si="39"/>
        <v>0</v>
      </c>
    </row>
    <row r="1274" spans="1:13" ht="14.5">
      <c r="A1274" s="3">
        <v>18</v>
      </c>
      <c r="B1274" s="15">
        <f>AVERAGE(Sheet1!G1272:G2609,Sheet1!D1272:D2609)</f>
        <v>3582.7462500000015</v>
      </c>
      <c r="C1274" s="3"/>
      <c r="J1274" s="4" t="s">
        <v>7</v>
      </c>
      <c r="K1274" s="4" t="s">
        <v>8</v>
      </c>
      <c r="L1274" s="17">
        <f t="shared" si="38"/>
        <v>0</v>
      </c>
      <c r="M1274" s="5">
        <f t="shared" si="39"/>
        <v>0</v>
      </c>
    </row>
    <row r="1275" spans="1:13" ht="14.5">
      <c r="A1275" s="3">
        <v>18</v>
      </c>
      <c r="B1275" s="15">
        <f>AVERAGE(Sheet1!G1273:G2610,Sheet1!D1273:D2610)</f>
        <v>3627.7349253731359</v>
      </c>
      <c r="C1275" s="3"/>
      <c r="J1275" s="4" t="s">
        <v>7</v>
      </c>
      <c r="K1275" s="4" t="s">
        <v>8</v>
      </c>
      <c r="L1275" s="17">
        <f t="shared" si="38"/>
        <v>0</v>
      </c>
      <c r="M1275" s="5">
        <f t="shared" si="39"/>
        <v>0</v>
      </c>
    </row>
    <row r="1276" spans="1:13" ht="14.5">
      <c r="A1276" s="3">
        <v>18</v>
      </c>
      <c r="B1276" s="15">
        <f>AVERAGE(Sheet1!G1274:G2611,Sheet1!D1274:D2611)</f>
        <v>3666.0476515151531</v>
      </c>
      <c r="C1276" s="3"/>
      <c r="J1276" s="4" t="s">
        <v>10</v>
      </c>
      <c r="K1276" s="4" t="s">
        <v>8</v>
      </c>
      <c r="L1276" s="17">
        <f t="shared" si="38"/>
        <v>0</v>
      </c>
      <c r="M1276" s="5">
        <f t="shared" si="39"/>
        <v>0</v>
      </c>
    </row>
    <row r="1277" spans="1:13" ht="14.5">
      <c r="A1277" s="3">
        <v>18</v>
      </c>
      <c r="B1277" s="15">
        <f>AVERAGE(Sheet1!G1275:G2612,Sheet1!D1275:D2612)</f>
        <v>3696.3302307692325</v>
      </c>
      <c r="C1277" s="3"/>
      <c r="J1277" s="4" t="s">
        <v>10</v>
      </c>
      <c r="K1277" s="4" t="s">
        <v>8</v>
      </c>
      <c r="L1277" s="17">
        <f t="shared" si="38"/>
        <v>0</v>
      </c>
      <c r="M1277" s="5">
        <f t="shared" si="39"/>
        <v>0</v>
      </c>
    </row>
    <row r="1278" spans="1:13" ht="14.5">
      <c r="A1278" s="3">
        <v>18</v>
      </c>
      <c r="B1278" s="15">
        <f>AVERAGE(Sheet1!G1276:G2613,Sheet1!D1276:D2613)</f>
        <v>3736.8109375000017</v>
      </c>
      <c r="C1278" s="3"/>
      <c r="J1278" s="4" t="s">
        <v>10</v>
      </c>
      <c r="K1278" s="4" t="s">
        <v>8</v>
      </c>
      <c r="L1278" s="17">
        <f t="shared" si="38"/>
        <v>0</v>
      </c>
      <c r="M1278" s="5">
        <f t="shared" si="39"/>
        <v>0</v>
      </c>
    </row>
    <row r="1279" spans="1:13" ht="14.5">
      <c r="A1279" s="3">
        <v>18</v>
      </c>
      <c r="B1279" s="15">
        <f>AVERAGE(Sheet1!G1277:G2614,Sheet1!D1277:D2614)</f>
        <v>3523.8621428571441</v>
      </c>
      <c r="C1279" s="3"/>
      <c r="J1279" s="4" t="s">
        <v>7</v>
      </c>
      <c r="K1279" s="4" t="s">
        <v>11</v>
      </c>
      <c r="L1279" s="17">
        <f t="shared" si="38"/>
        <v>1</v>
      </c>
      <c r="M1279" s="5">
        <f t="shared" si="39"/>
        <v>0</v>
      </c>
    </row>
    <row r="1280" spans="1:13" ht="14.5">
      <c r="A1280" s="3">
        <v>18</v>
      </c>
      <c r="B1280" s="15">
        <f>AVERAGE(Sheet1!G1278:G2615,Sheet1!D1278:D2615)</f>
        <v>3408.5627419354851</v>
      </c>
      <c r="C1280" s="3"/>
      <c r="J1280" s="4" t="s">
        <v>10</v>
      </c>
      <c r="K1280" s="4" t="s">
        <v>8</v>
      </c>
      <c r="L1280" s="17">
        <f t="shared" si="38"/>
        <v>0</v>
      </c>
      <c r="M1280" s="5">
        <f t="shared" si="39"/>
        <v>0</v>
      </c>
    </row>
    <row r="1281" spans="1:13" ht="14.5">
      <c r="A1281" s="3">
        <v>18</v>
      </c>
      <c r="B1281" s="15">
        <f>AVERAGE(Sheet1!G1279:G2616,Sheet1!D1279:D2616)</f>
        <v>3450.4603278688537</v>
      </c>
      <c r="C1281" s="3"/>
      <c r="J1281" s="4" t="s">
        <v>7</v>
      </c>
      <c r="K1281" s="4" t="s">
        <v>8</v>
      </c>
      <c r="L1281" s="17">
        <f t="shared" si="38"/>
        <v>0</v>
      </c>
      <c r="M1281" s="5">
        <f t="shared" si="39"/>
        <v>0</v>
      </c>
    </row>
    <row r="1282" spans="1:13" ht="14.5">
      <c r="A1282" s="3">
        <v>18</v>
      </c>
      <c r="B1282" s="15">
        <f>AVERAGE(Sheet1!G1280:G2617,Sheet1!D1280:D2617)</f>
        <v>3378.6498333333343</v>
      </c>
      <c r="C1282" s="3"/>
      <c r="J1282" s="4" t="s">
        <v>7</v>
      </c>
      <c r="K1282" s="4" t="s">
        <v>11</v>
      </c>
      <c r="L1282" s="17">
        <f t="shared" si="38"/>
        <v>1</v>
      </c>
      <c r="M1282" s="5">
        <f t="shared" si="39"/>
        <v>0</v>
      </c>
    </row>
    <row r="1283" spans="1:13" ht="14.5">
      <c r="A1283" s="3">
        <v>18</v>
      </c>
      <c r="B1283" s="15">
        <f>AVERAGE(Sheet1!G1281:G2618,Sheet1!D1281:D2618)</f>
        <v>3129.5635593220345</v>
      </c>
      <c r="C1283" s="3"/>
      <c r="J1283" s="4" t="s">
        <v>10</v>
      </c>
      <c r="K1283" s="4" t="s">
        <v>11</v>
      </c>
      <c r="L1283" s="17">
        <f t="shared" si="38"/>
        <v>0</v>
      </c>
      <c r="M1283" s="5">
        <f t="shared" si="39"/>
        <v>1</v>
      </c>
    </row>
    <row r="1284" spans="1:13" ht="14.5">
      <c r="A1284" s="3">
        <v>18</v>
      </c>
      <c r="B1284" s="15">
        <f>AVERAGE(Sheet1!G1282:G2619,Sheet1!D1282:D2619)</f>
        <v>3168.9112068965524</v>
      </c>
      <c r="C1284" s="3"/>
      <c r="J1284" s="4" t="s">
        <v>7</v>
      </c>
      <c r="K1284" s="4" t="s">
        <v>8</v>
      </c>
      <c r="L1284" s="17">
        <f t="shared" si="38"/>
        <v>0</v>
      </c>
      <c r="M1284" s="5">
        <f t="shared" si="39"/>
        <v>0</v>
      </c>
    </row>
    <row r="1285" spans="1:13" ht="14.5">
      <c r="A1285" s="3">
        <v>18</v>
      </c>
      <c r="B1285" s="15">
        <f>AVERAGE(Sheet1!G1283:G2620,Sheet1!D1283:D2620)</f>
        <v>3210.1919298245621</v>
      </c>
      <c r="C1285" s="3"/>
      <c r="J1285" s="4" t="s">
        <v>10</v>
      </c>
      <c r="K1285" s="4" t="s">
        <v>8</v>
      </c>
      <c r="L1285" s="17">
        <f t="shared" si="38"/>
        <v>0</v>
      </c>
      <c r="M1285" s="5">
        <f t="shared" si="39"/>
        <v>0</v>
      </c>
    </row>
    <row r="1286" spans="1:13" ht="14.5">
      <c r="A1286" s="3">
        <v>18</v>
      </c>
      <c r="B1286" s="15">
        <f>AVERAGE(Sheet1!G1284:G2621,Sheet1!D1284:D2621)</f>
        <v>3257.3608035714292</v>
      </c>
      <c r="C1286" s="3"/>
      <c r="J1286" s="4" t="s">
        <v>7</v>
      </c>
      <c r="K1286" s="4" t="s">
        <v>8</v>
      </c>
      <c r="L1286" s="17">
        <f t="shared" ref="L1286:L1342" si="40">IF(AND(J1286="male", K1286="yes"),1,0)</f>
        <v>0</v>
      </c>
      <c r="M1286" s="5">
        <f t="shared" ref="M1286:M1342" si="41">IF(AND(J1286="female", K1286="yes"), 1, 0)</f>
        <v>0</v>
      </c>
    </row>
    <row r="1287" spans="1:13" ht="14.5">
      <c r="A1287" s="3">
        <v>18</v>
      </c>
      <c r="B1287" s="15">
        <f>AVERAGE(Sheet1!G1285:G2622,Sheet1!D1285:D2622)</f>
        <v>3301.8967272727277</v>
      </c>
      <c r="C1287" s="3"/>
      <c r="J1287" s="4" t="s">
        <v>10</v>
      </c>
      <c r="K1287" s="4" t="s">
        <v>8</v>
      </c>
      <c r="L1287" s="17">
        <f t="shared" si="40"/>
        <v>0</v>
      </c>
      <c r="M1287" s="5">
        <f t="shared" si="41"/>
        <v>0</v>
      </c>
    </row>
    <row r="1288" spans="1:13" ht="14.5">
      <c r="A1288" s="3">
        <v>18</v>
      </c>
      <c r="B1288" s="15">
        <f>AVERAGE(Sheet1!G1286:G2623,Sheet1!D1286:D2623)</f>
        <v>3244.2331481481492</v>
      </c>
      <c r="C1288" s="3"/>
      <c r="J1288" s="4" t="s">
        <v>7</v>
      </c>
      <c r="K1288" s="4" t="s">
        <v>11</v>
      </c>
      <c r="L1288" s="17">
        <f t="shared" si="40"/>
        <v>1</v>
      </c>
      <c r="M1288" s="5">
        <f t="shared" si="41"/>
        <v>0</v>
      </c>
    </row>
    <row r="1289" spans="1:13" ht="14.5">
      <c r="A1289" s="3">
        <v>18</v>
      </c>
      <c r="B1289" s="15">
        <f>AVERAGE(Sheet1!G1287:G2624,Sheet1!D1287:D2624)</f>
        <v>3289.2145283018876</v>
      </c>
      <c r="C1289" s="3"/>
      <c r="J1289" s="4" t="s">
        <v>7</v>
      </c>
      <c r="K1289" s="4" t="s">
        <v>8</v>
      </c>
      <c r="L1289" s="17">
        <f t="shared" si="40"/>
        <v>0</v>
      </c>
      <c r="M1289" s="5">
        <f t="shared" si="41"/>
        <v>0</v>
      </c>
    </row>
    <row r="1290" spans="1:13" ht="14.5">
      <c r="A1290" s="3">
        <v>18</v>
      </c>
      <c r="B1290" s="15">
        <f>AVERAGE(Sheet1!G1288:G2625,Sheet1!D1288:D2625)</f>
        <v>3336.0785576923086</v>
      </c>
      <c r="C1290" s="3"/>
      <c r="J1290" s="4" t="s">
        <v>7</v>
      </c>
      <c r="K1290" s="4" t="s">
        <v>8</v>
      </c>
      <c r="L1290" s="17">
        <f t="shared" si="40"/>
        <v>0</v>
      </c>
      <c r="M1290" s="5">
        <f t="shared" si="41"/>
        <v>0</v>
      </c>
    </row>
    <row r="1291" spans="1:13" ht="14.5">
      <c r="A1291" s="3">
        <v>18</v>
      </c>
      <c r="B1291" s="15">
        <f>AVERAGE(Sheet1!G1289:G2626,Sheet1!D1289:D2626)</f>
        <v>3262.9326470588239</v>
      </c>
      <c r="C1291" s="3"/>
      <c r="J1291" s="4" t="s">
        <v>10</v>
      </c>
      <c r="K1291" s="4" t="s">
        <v>8</v>
      </c>
      <c r="L1291" s="17">
        <f t="shared" si="40"/>
        <v>0</v>
      </c>
      <c r="M1291" s="5">
        <f t="shared" si="41"/>
        <v>0</v>
      </c>
    </row>
    <row r="1292" spans="1:13" ht="14.5">
      <c r="A1292" s="3">
        <v>18</v>
      </c>
      <c r="B1292" s="15">
        <f>AVERAGE(Sheet1!G1290:G2627,Sheet1!D1290:D2627)</f>
        <v>3312.1162000000004</v>
      </c>
      <c r="C1292" s="3"/>
      <c r="J1292" s="4" t="s">
        <v>10</v>
      </c>
      <c r="K1292" s="4" t="s">
        <v>8</v>
      </c>
      <c r="L1292" s="17">
        <f t="shared" si="40"/>
        <v>0</v>
      </c>
      <c r="M1292" s="5">
        <f t="shared" si="41"/>
        <v>0</v>
      </c>
    </row>
    <row r="1293" spans="1:13" ht="14.5">
      <c r="A1293" s="3">
        <v>18</v>
      </c>
      <c r="B1293" s="15">
        <f>AVERAGE(Sheet1!G1291:G2628,Sheet1!D1291:D2628)</f>
        <v>3344.1505102040824</v>
      </c>
      <c r="C1293" s="3"/>
      <c r="J1293" s="4" t="s">
        <v>7</v>
      </c>
      <c r="K1293" s="4" t="s">
        <v>8</v>
      </c>
      <c r="L1293" s="17">
        <f t="shared" si="40"/>
        <v>0</v>
      </c>
      <c r="M1293" s="5">
        <f t="shared" si="41"/>
        <v>0</v>
      </c>
    </row>
    <row r="1294" spans="1:13" ht="14.5">
      <c r="A1294" s="3">
        <v>18</v>
      </c>
      <c r="B1294" s="15">
        <f>AVERAGE(Sheet1!G1292:G2629,Sheet1!D1292:D2629)</f>
        <v>3396.8237500000009</v>
      </c>
      <c r="C1294" s="3"/>
      <c r="J1294" s="4" t="s">
        <v>10</v>
      </c>
      <c r="K1294" s="4" t="s">
        <v>8</v>
      </c>
      <c r="L1294" s="17">
        <f t="shared" si="40"/>
        <v>0</v>
      </c>
      <c r="M1294" s="5">
        <f t="shared" si="41"/>
        <v>0</v>
      </c>
    </row>
    <row r="1295" spans="1:13" ht="14.5">
      <c r="A1295" s="3">
        <v>18</v>
      </c>
      <c r="B1295" s="15">
        <f>AVERAGE(Sheet1!G1293:G2630,Sheet1!D1293:D2630)</f>
        <v>3391.1845744680854</v>
      </c>
      <c r="C1295" s="3"/>
      <c r="J1295" s="4" t="s">
        <v>10</v>
      </c>
      <c r="K1295" s="4" t="s">
        <v>8</v>
      </c>
      <c r="L1295" s="17">
        <f t="shared" si="40"/>
        <v>0</v>
      </c>
      <c r="M1295" s="5">
        <f t="shared" si="41"/>
        <v>0</v>
      </c>
    </row>
    <row r="1296" spans="1:13" ht="14.5">
      <c r="A1296" s="3">
        <v>18</v>
      </c>
      <c r="B1296" s="15">
        <f>AVERAGE(Sheet1!G1294:G2631,Sheet1!D1294:D2631)</f>
        <v>3452.4125000000008</v>
      </c>
      <c r="C1296" s="3"/>
      <c r="J1296" s="4" t="s">
        <v>7</v>
      </c>
      <c r="K1296" s="4" t="s">
        <v>8</v>
      </c>
      <c r="L1296" s="17">
        <f t="shared" si="40"/>
        <v>0</v>
      </c>
      <c r="M1296" s="5">
        <f t="shared" si="41"/>
        <v>0</v>
      </c>
    </row>
    <row r="1297" spans="1:13" ht="14.5">
      <c r="A1297" s="3">
        <v>18</v>
      </c>
      <c r="B1297" s="15">
        <f>AVERAGE(Sheet1!G1295:G2632,Sheet1!D1295:D2632)</f>
        <v>3504.6650000000004</v>
      </c>
      <c r="C1297" s="3"/>
      <c r="J1297" s="4" t="s">
        <v>10</v>
      </c>
      <c r="K1297" s="4" t="s">
        <v>8</v>
      </c>
      <c r="L1297" s="17">
        <f t="shared" si="40"/>
        <v>0</v>
      </c>
      <c r="M1297" s="5">
        <f t="shared" si="41"/>
        <v>0</v>
      </c>
    </row>
    <row r="1298" spans="1:13" ht="14.5">
      <c r="A1298" s="3">
        <v>18</v>
      </c>
      <c r="B1298" s="15">
        <f>AVERAGE(Sheet1!G1296:G2633,Sheet1!D1296:D2633)</f>
        <v>3559.2770454545462</v>
      </c>
      <c r="C1298" s="3"/>
      <c r="J1298" s="4" t="s">
        <v>10</v>
      </c>
      <c r="K1298" s="4" t="s">
        <v>8</v>
      </c>
      <c r="L1298" s="17">
        <f t="shared" si="40"/>
        <v>0</v>
      </c>
      <c r="M1298" s="5">
        <f t="shared" si="41"/>
        <v>0</v>
      </c>
    </row>
    <row r="1299" spans="1:13" ht="14.5">
      <c r="A1299" s="3">
        <v>18</v>
      </c>
      <c r="B1299" s="15">
        <f>AVERAGE(Sheet1!G1297:G2634,Sheet1!D1297:D2634)</f>
        <v>3623.1882558139541</v>
      </c>
      <c r="C1299" s="3"/>
      <c r="J1299" s="4" t="s">
        <v>10</v>
      </c>
      <c r="K1299" s="4" t="s">
        <v>8</v>
      </c>
      <c r="L1299" s="17">
        <f t="shared" si="40"/>
        <v>0</v>
      </c>
      <c r="M1299" s="5">
        <f t="shared" si="41"/>
        <v>0</v>
      </c>
    </row>
    <row r="1300" spans="1:13" ht="14.5">
      <c r="A1300" s="3">
        <v>18</v>
      </c>
      <c r="B1300" s="15">
        <f>AVERAGE(Sheet1!G1298:G2635,Sheet1!D1298:D2635)</f>
        <v>3683.3061904761917</v>
      </c>
      <c r="C1300" s="3"/>
      <c r="J1300" s="4" t="s">
        <v>10</v>
      </c>
      <c r="K1300" s="4" t="s">
        <v>8</v>
      </c>
      <c r="L1300" s="17">
        <f t="shared" si="40"/>
        <v>0</v>
      </c>
      <c r="M1300" s="5">
        <f t="shared" si="41"/>
        <v>0</v>
      </c>
    </row>
    <row r="1301" spans="1:13" ht="14.5">
      <c r="A1301" s="3">
        <v>18</v>
      </c>
      <c r="B1301" s="15">
        <f>AVERAGE(Sheet1!G1299:G2636,Sheet1!D1299:D2636)</f>
        <v>3633.1108536585371</v>
      </c>
      <c r="C1301" s="3"/>
      <c r="J1301" s="4" t="s">
        <v>10</v>
      </c>
      <c r="K1301" s="4" t="s">
        <v>8</v>
      </c>
      <c r="L1301" s="17">
        <f t="shared" si="40"/>
        <v>0</v>
      </c>
      <c r="M1301" s="5">
        <f t="shared" si="41"/>
        <v>0</v>
      </c>
    </row>
    <row r="1302" spans="1:13" ht="14.5">
      <c r="A1302" s="3">
        <v>18</v>
      </c>
      <c r="B1302" s="15">
        <f>AVERAGE(Sheet1!G1300:G2637,Sheet1!D1300:D2637)</f>
        <v>3702.5886250000003</v>
      </c>
      <c r="C1302" s="3"/>
      <c r="J1302" s="4" t="s">
        <v>7</v>
      </c>
      <c r="K1302" s="4" t="s">
        <v>8</v>
      </c>
      <c r="L1302" s="17">
        <f t="shared" si="40"/>
        <v>0</v>
      </c>
      <c r="M1302" s="5">
        <f t="shared" si="41"/>
        <v>0</v>
      </c>
    </row>
    <row r="1303" spans="1:13" ht="14.5">
      <c r="A1303" s="3">
        <v>18</v>
      </c>
      <c r="B1303" s="15">
        <f>AVERAGE(Sheet1!G1301:G2638,Sheet1!D1301:D2638)</f>
        <v>3761.5875641025636</v>
      </c>
      <c r="C1303" s="3"/>
      <c r="J1303" s="4" t="s">
        <v>10</v>
      </c>
      <c r="K1303" s="4" t="s">
        <v>8</v>
      </c>
      <c r="L1303" s="17">
        <f t="shared" si="40"/>
        <v>0</v>
      </c>
      <c r="M1303" s="5">
        <f t="shared" si="41"/>
        <v>0</v>
      </c>
    </row>
    <row r="1304" spans="1:13" ht="14.5">
      <c r="A1304" s="3">
        <v>18</v>
      </c>
      <c r="B1304" s="15">
        <f>AVERAGE(Sheet1!G1302:G2639,Sheet1!D1302:D2639)</f>
        <v>3831.3602631578942</v>
      </c>
      <c r="C1304" s="3"/>
      <c r="J1304" s="4" t="s">
        <v>10</v>
      </c>
      <c r="K1304" s="4" t="s">
        <v>8</v>
      </c>
      <c r="L1304" s="17">
        <f t="shared" si="40"/>
        <v>0</v>
      </c>
      <c r="M1304" s="5">
        <f t="shared" si="41"/>
        <v>0</v>
      </c>
    </row>
    <row r="1305" spans="1:13" ht="14.5">
      <c r="A1305" s="3">
        <v>18</v>
      </c>
      <c r="B1305" s="15">
        <f>AVERAGE(Sheet1!G1303:G2640,Sheet1!D1303:D2640)</f>
        <v>3912.8424324324319</v>
      </c>
      <c r="C1305" s="3"/>
      <c r="J1305" s="4" t="s">
        <v>10</v>
      </c>
      <c r="K1305" s="4" t="s">
        <v>8</v>
      </c>
      <c r="L1305" s="17">
        <f t="shared" si="40"/>
        <v>0</v>
      </c>
      <c r="M1305" s="5">
        <f t="shared" si="41"/>
        <v>0</v>
      </c>
    </row>
    <row r="1306" spans="1:13" ht="14.5">
      <c r="A1306" s="3">
        <v>18</v>
      </c>
      <c r="B1306" s="15">
        <f>AVERAGE(Sheet1!G1304:G2641,Sheet1!D1304:D2641)</f>
        <v>3990.8699999999994</v>
      </c>
      <c r="C1306" s="3"/>
      <c r="J1306" s="4" t="s">
        <v>10</v>
      </c>
      <c r="K1306" s="4" t="s">
        <v>8</v>
      </c>
      <c r="L1306" s="17">
        <f t="shared" si="40"/>
        <v>0</v>
      </c>
      <c r="M1306" s="5">
        <f t="shared" si="41"/>
        <v>0</v>
      </c>
    </row>
    <row r="1307" spans="1:13" ht="14.5">
      <c r="A1307" s="3">
        <v>18</v>
      </c>
      <c r="B1307" s="15">
        <f>AVERAGE(Sheet1!G1305:G2642,Sheet1!D1305:D2642)</f>
        <v>3610.3542857142852</v>
      </c>
      <c r="C1307" s="3"/>
      <c r="J1307" s="4" t="s">
        <v>7</v>
      </c>
      <c r="K1307" s="4" t="s">
        <v>11</v>
      </c>
      <c r="L1307" s="17">
        <f t="shared" si="40"/>
        <v>1</v>
      </c>
      <c r="M1307" s="5">
        <f t="shared" si="41"/>
        <v>0</v>
      </c>
    </row>
    <row r="1308" spans="1:13" ht="14.5">
      <c r="A1308" s="3">
        <v>18</v>
      </c>
      <c r="B1308" s="15">
        <f>AVERAGE(Sheet1!G1306:G2643,Sheet1!D1306:D2643)</f>
        <v>3691.361323529411</v>
      </c>
      <c r="C1308" s="3"/>
      <c r="J1308" s="4" t="s">
        <v>7</v>
      </c>
      <c r="K1308" s="4" t="s">
        <v>8</v>
      </c>
      <c r="L1308" s="17">
        <f t="shared" si="40"/>
        <v>0</v>
      </c>
      <c r="M1308" s="5">
        <f t="shared" si="41"/>
        <v>0</v>
      </c>
    </row>
    <row r="1309" spans="1:13" ht="14.5">
      <c r="A1309" s="3">
        <v>18</v>
      </c>
      <c r="B1309" s="15">
        <f>AVERAGE(Sheet1!G1307:G2644,Sheet1!D1307:D2644)</f>
        <v>3786.002575757575</v>
      </c>
      <c r="C1309" s="3"/>
      <c r="J1309" s="4" t="s">
        <v>7</v>
      </c>
      <c r="K1309" s="4" t="s">
        <v>8</v>
      </c>
      <c r="L1309" s="17">
        <f t="shared" si="40"/>
        <v>0</v>
      </c>
      <c r="M1309" s="5">
        <f t="shared" si="41"/>
        <v>0</v>
      </c>
    </row>
    <row r="1310" spans="1:13" ht="14.5">
      <c r="A1310" s="3">
        <v>18</v>
      </c>
      <c r="B1310" s="15">
        <f>AVERAGE(Sheet1!G1308:G2645,Sheet1!D1308:D2645)</f>
        <v>3877.3067187499992</v>
      </c>
      <c r="C1310" s="3"/>
      <c r="J1310" s="4" t="s">
        <v>7</v>
      </c>
      <c r="K1310" s="4" t="s">
        <v>8</v>
      </c>
      <c r="L1310" s="17">
        <f t="shared" si="40"/>
        <v>0</v>
      </c>
      <c r="M1310" s="5">
        <f t="shared" si="41"/>
        <v>0</v>
      </c>
    </row>
    <row r="1311" spans="1:13" ht="14.5">
      <c r="A1311" s="3">
        <v>18</v>
      </c>
      <c r="B1311" s="15">
        <f>AVERAGE(Sheet1!G1309:G2646,Sheet1!D1309:D2646)</f>
        <v>3966.6133870967733</v>
      </c>
      <c r="C1311" s="3"/>
      <c r="J1311" s="4" t="s">
        <v>10</v>
      </c>
      <c r="K1311" s="4" t="s">
        <v>8</v>
      </c>
      <c r="L1311" s="17">
        <f t="shared" si="40"/>
        <v>0</v>
      </c>
      <c r="M1311" s="5">
        <f t="shared" si="41"/>
        <v>0</v>
      </c>
    </row>
    <row r="1312" spans="1:13" ht="14.5">
      <c r="A1312" s="3">
        <v>18</v>
      </c>
      <c r="B1312" s="15">
        <f>AVERAGE(Sheet1!G1310:G2647,Sheet1!D1310:D2647)</f>
        <v>3493.7038333333326</v>
      </c>
      <c r="C1312" s="3"/>
      <c r="J1312" s="4" t="s">
        <v>7</v>
      </c>
      <c r="K1312" s="4" t="s">
        <v>11</v>
      </c>
      <c r="L1312" s="17">
        <f t="shared" si="40"/>
        <v>1</v>
      </c>
      <c r="M1312" s="5">
        <f t="shared" si="41"/>
        <v>0</v>
      </c>
    </row>
    <row r="1313" spans="1:13" ht="14.5">
      <c r="A1313" s="3">
        <v>18</v>
      </c>
      <c r="B1313" s="15">
        <f>AVERAGE(Sheet1!G1311:G2648,Sheet1!D1311:D2648)</f>
        <v>3594.403965517241</v>
      </c>
      <c r="C1313" s="3"/>
      <c r="J1313" s="4" t="s">
        <v>7</v>
      </c>
      <c r="K1313" s="4" t="s">
        <v>8</v>
      </c>
      <c r="L1313" s="17">
        <f t="shared" si="40"/>
        <v>0</v>
      </c>
      <c r="M1313" s="5">
        <f t="shared" si="41"/>
        <v>0</v>
      </c>
    </row>
    <row r="1314" spans="1:13" ht="14.5">
      <c r="A1314" s="3">
        <v>18</v>
      </c>
      <c r="B1314" s="15">
        <f>AVERAGE(Sheet1!G1312:G2649,Sheet1!D1312:D2649)</f>
        <v>3030.0489285714284</v>
      </c>
      <c r="C1314" s="3"/>
      <c r="J1314" s="4" t="s">
        <v>10</v>
      </c>
      <c r="K1314" s="4" t="s">
        <v>11</v>
      </c>
      <c r="L1314" s="17">
        <f t="shared" si="40"/>
        <v>0</v>
      </c>
      <c r="M1314" s="5">
        <f t="shared" si="41"/>
        <v>1</v>
      </c>
    </row>
    <row r="1315" spans="1:13" ht="14.5">
      <c r="A1315" s="3">
        <v>18</v>
      </c>
      <c r="B1315" s="15">
        <f>AVERAGE(Sheet1!G1313:G2650,Sheet1!D1313:D2650)</f>
        <v>3121.3190740740738</v>
      </c>
      <c r="C1315" s="3"/>
      <c r="J1315" s="4" t="s">
        <v>7</v>
      </c>
      <c r="K1315" s="4" t="s">
        <v>8</v>
      </c>
      <c r="L1315" s="17">
        <f t="shared" si="40"/>
        <v>0</v>
      </c>
      <c r="M1315" s="5">
        <f t="shared" si="41"/>
        <v>0</v>
      </c>
    </row>
    <row r="1316" spans="1:13" ht="14.5">
      <c r="A1316" s="3">
        <v>18</v>
      </c>
      <c r="B1316" s="15">
        <f>AVERAGE(Sheet1!G1314:G2651,Sheet1!D1314:D2651)</f>
        <v>3210.1798076923073</v>
      </c>
      <c r="C1316" s="3"/>
      <c r="J1316" s="4" t="s">
        <v>10</v>
      </c>
      <c r="K1316" s="4" t="s">
        <v>8</v>
      </c>
      <c r="L1316" s="17">
        <f t="shared" si="40"/>
        <v>0</v>
      </c>
      <c r="M1316" s="5">
        <f t="shared" si="41"/>
        <v>0</v>
      </c>
    </row>
    <row r="1317" spans="1:13" ht="14.5">
      <c r="A1317" s="3">
        <v>18</v>
      </c>
      <c r="B1317" s="15">
        <f>AVERAGE(Sheet1!G1315:G2652,Sheet1!D1315:D2652)</f>
        <v>3315.7579999999994</v>
      </c>
      <c r="C1317" s="3"/>
      <c r="J1317" s="4" t="s">
        <v>7</v>
      </c>
      <c r="K1317" s="4" t="s">
        <v>8</v>
      </c>
      <c r="L1317" s="17">
        <f t="shared" si="40"/>
        <v>0</v>
      </c>
      <c r="M1317" s="5">
        <f t="shared" si="41"/>
        <v>0</v>
      </c>
    </row>
    <row r="1318" spans="1:13" ht="14.5">
      <c r="A1318" s="3">
        <v>18</v>
      </c>
      <c r="B1318" s="15">
        <f>AVERAGE(Sheet1!G1316:G2653,Sheet1!D1316:D2653)</f>
        <v>3419.861041666667</v>
      </c>
      <c r="C1318" s="3"/>
      <c r="J1318" s="4" t="s">
        <v>10</v>
      </c>
      <c r="K1318" s="4" t="s">
        <v>8</v>
      </c>
      <c r="L1318" s="17">
        <f t="shared" si="40"/>
        <v>0</v>
      </c>
      <c r="M1318" s="5">
        <f t="shared" si="41"/>
        <v>0</v>
      </c>
    </row>
    <row r="1319" spans="1:13" ht="14.5">
      <c r="A1319" s="3">
        <v>18</v>
      </c>
      <c r="B1319" s="15">
        <f>AVERAGE(Sheet1!G1317:G2654,Sheet1!D1317:D2654)</f>
        <v>2835.2313043478266</v>
      </c>
      <c r="C1319" s="3"/>
      <c r="J1319" s="4" t="s">
        <v>7</v>
      </c>
      <c r="K1319" s="4" t="s">
        <v>11</v>
      </c>
      <c r="L1319" s="17">
        <f t="shared" si="40"/>
        <v>1</v>
      </c>
      <c r="M1319" s="5">
        <f t="shared" si="41"/>
        <v>0</v>
      </c>
    </row>
    <row r="1320" spans="1:13" ht="14.5">
      <c r="A1320" s="3">
        <v>18</v>
      </c>
      <c r="B1320" s="15">
        <f>AVERAGE(Sheet1!G1318:G2655,Sheet1!D1318:D2655)</f>
        <v>2911.6963636363639</v>
      </c>
      <c r="C1320" s="3"/>
      <c r="J1320" s="4" t="s">
        <v>7</v>
      </c>
      <c r="K1320" s="4" t="s">
        <v>8</v>
      </c>
      <c r="L1320" s="17">
        <f t="shared" si="40"/>
        <v>0</v>
      </c>
      <c r="M1320" s="5">
        <f t="shared" si="41"/>
        <v>0</v>
      </c>
    </row>
    <row r="1321" spans="1:13" ht="14.5">
      <c r="A1321" s="3">
        <v>18</v>
      </c>
      <c r="B1321" s="15">
        <f>AVERAGE(Sheet1!G1319:G2656,Sheet1!D1319:D2656)</f>
        <v>3023.6373809523816</v>
      </c>
      <c r="C1321" s="3"/>
      <c r="J1321" s="4" t="s">
        <v>7</v>
      </c>
      <c r="K1321" s="4" t="s">
        <v>8</v>
      </c>
      <c r="L1321" s="17">
        <f t="shared" si="40"/>
        <v>0</v>
      </c>
      <c r="M1321" s="5">
        <f t="shared" si="41"/>
        <v>0</v>
      </c>
    </row>
    <row r="1322" spans="1:13" ht="14.5">
      <c r="A1322" s="3">
        <v>18</v>
      </c>
      <c r="B1322" s="15">
        <f>AVERAGE(Sheet1!G1320:G2657,Sheet1!D1320:D2657)</f>
        <v>3119.3825000000006</v>
      </c>
      <c r="C1322" s="3"/>
      <c r="J1322" s="4" t="s">
        <v>10</v>
      </c>
      <c r="K1322" s="4" t="s">
        <v>8</v>
      </c>
      <c r="L1322" s="17">
        <f t="shared" si="40"/>
        <v>0</v>
      </c>
      <c r="M1322" s="5">
        <f t="shared" si="41"/>
        <v>0</v>
      </c>
    </row>
    <row r="1323" spans="1:13" ht="14.5">
      <c r="A1323" s="3">
        <v>18</v>
      </c>
      <c r="B1323" s="15">
        <f>AVERAGE(Sheet1!G1321:G2658,Sheet1!D1321:D2658)</f>
        <v>3238.5071052631583</v>
      </c>
      <c r="C1323" s="3"/>
      <c r="J1323" s="4" t="s">
        <v>7</v>
      </c>
      <c r="K1323" s="4" t="s">
        <v>8</v>
      </c>
      <c r="L1323" s="17">
        <f t="shared" si="40"/>
        <v>0</v>
      </c>
      <c r="M1323" s="5">
        <f t="shared" si="41"/>
        <v>0</v>
      </c>
    </row>
    <row r="1324" spans="1:13" ht="14.5">
      <c r="A1324" s="3">
        <v>18</v>
      </c>
      <c r="B1324" s="15">
        <f>AVERAGE(Sheet1!G1322:G2659,Sheet1!D1322:D2659)</f>
        <v>3036.5388888888897</v>
      </c>
      <c r="C1324" s="3"/>
      <c r="J1324" s="4" t="s">
        <v>7</v>
      </c>
      <c r="K1324" s="4" t="s">
        <v>11</v>
      </c>
      <c r="L1324" s="17">
        <f t="shared" si="40"/>
        <v>1</v>
      </c>
      <c r="M1324" s="5">
        <f t="shared" si="41"/>
        <v>0</v>
      </c>
    </row>
    <row r="1325" spans="1:13" ht="14.5">
      <c r="A1325" s="3">
        <v>18</v>
      </c>
      <c r="B1325" s="15">
        <f>AVERAGE(Sheet1!G1323:G2660,Sheet1!D1323:D2660)</f>
        <v>3165.0205882352943</v>
      </c>
      <c r="C1325" s="3"/>
      <c r="J1325" s="4" t="s">
        <v>7</v>
      </c>
      <c r="K1325" s="4" t="s">
        <v>8</v>
      </c>
      <c r="L1325" s="17">
        <f t="shared" si="40"/>
        <v>0</v>
      </c>
      <c r="M1325" s="5">
        <f t="shared" si="41"/>
        <v>0</v>
      </c>
    </row>
    <row r="1326" spans="1:13" ht="14.5">
      <c r="A1326" s="3">
        <v>18</v>
      </c>
      <c r="B1326" s="15">
        <f>AVERAGE(Sheet1!G1324:G2661,Sheet1!D1324:D2661)</f>
        <v>2991.3953124999998</v>
      </c>
      <c r="C1326" s="3"/>
      <c r="J1326" s="4" t="s">
        <v>7</v>
      </c>
      <c r="K1326" s="4" t="s">
        <v>8</v>
      </c>
      <c r="L1326" s="17">
        <f t="shared" si="40"/>
        <v>0</v>
      </c>
      <c r="M1326" s="5">
        <f t="shared" si="41"/>
        <v>0</v>
      </c>
    </row>
    <row r="1327" spans="1:13" ht="14.5">
      <c r="A1327" s="3">
        <v>18</v>
      </c>
      <c r="B1327" s="15">
        <f>AVERAGE(Sheet1!G1325:G2662,Sheet1!D1325:D2662)</f>
        <v>3038.6486666666665</v>
      </c>
      <c r="C1327" s="3"/>
      <c r="J1327" s="4" t="s">
        <v>10</v>
      </c>
      <c r="K1327" s="4" t="s">
        <v>8</v>
      </c>
      <c r="L1327" s="17">
        <f t="shared" si="40"/>
        <v>0</v>
      </c>
      <c r="M1327" s="5">
        <f t="shared" si="41"/>
        <v>0</v>
      </c>
    </row>
    <row r="1328" spans="1:13" ht="14.5">
      <c r="A1328" s="3">
        <v>18</v>
      </c>
      <c r="B1328" s="15">
        <f>AVERAGE(Sheet1!G1326:G2663,Sheet1!D1326:D2663)</f>
        <v>3176.9900000000002</v>
      </c>
      <c r="C1328" s="3"/>
      <c r="J1328" s="4" t="s">
        <v>10</v>
      </c>
      <c r="K1328" s="4" t="s">
        <v>8</v>
      </c>
      <c r="L1328" s="17">
        <f t="shared" si="40"/>
        <v>0</v>
      </c>
      <c r="M1328" s="5">
        <f t="shared" si="41"/>
        <v>0</v>
      </c>
    </row>
    <row r="1329" spans="1:13" ht="14.5">
      <c r="A1329" s="3">
        <v>18</v>
      </c>
      <c r="B1329" s="15">
        <f>AVERAGE(Sheet1!G1327:G2664,Sheet1!D1327:D2664)</f>
        <v>3336.7265384615389</v>
      </c>
      <c r="C1329" s="3"/>
      <c r="J1329" s="4" t="s">
        <v>10</v>
      </c>
      <c r="K1329" s="4" t="s">
        <v>8</v>
      </c>
      <c r="L1329" s="17">
        <f t="shared" si="40"/>
        <v>0</v>
      </c>
      <c r="M1329" s="5">
        <f t="shared" si="41"/>
        <v>0</v>
      </c>
    </row>
    <row r="1330" spans="1:13" ht="14.5">
      <c r="A1330" s="3">
        <v>18</v>
      </c>
      <c r="B1330" s="15">
        <f>AVERAGE(Sheet1!G1328:G2665,Sheet1!D1328:D2665)</f>
        <v>2898.9670833333334</v>
      </c>
      <c r="C1330" s="3"/>
      <c r="J1330" s="4" t="s">
        <v>7</v>
      </c>
      <c r="K1330" s="4" t="s">
        <v>11</v>
      </c>
      <c r="L1330" s="17">
        <f t="shared" si="40"/>
        <v>1</v>
      </c>
      <c r="M1330" s="5">
        <f t="shared" si="41"/>
        <v>0</v>
      </c>
    </row>
    <row r="1331" spans="1:13" ht="14.5">
      <c r="A1331" s="3">
        <v>18</v>
      </c>
      <c r="B1331" s="15">
        <f>AVERAGE(Sheet1!G1329:G2666,Sheet1!D1329:D2666)</f>
        <v>2334.0345454545459</v>
      </c>
      <c r="C1331" s="3"/>
      <c r="J1331" s="4" t="s">
        <v>10</v>
      </c>
      <c r="K1331" s="4" t="s">
        <v>11</v>
      </c>
      <c r="L1331" s="17">
        <f t="shared" si="40"/>
        <v>0</v>
      </c>
      <c r="M1331" s="5">
        <f t="shared" si="41"/>
        <v>1</v>
      </c>
    </row>
    <row r="1332" spans="1:13" ht="14.5">
      <c r="A1332" s="3">
        <v>18</v>
      </c>
      <c r="B1332" s="15">
        <f>AVERAGE(Sheet1!G1330:G2667,Sheet1!D1330:D2667)</f>
        <v>2482.3150000000001</v>
      </c>
      <c r="C1332" s="3"/>
      <c r="J1332" s="4" t="s">
        <v>7</v>
      </c>
      <c r="K1332" s="4" t="s">
        <v>8</v>
      </c>
      <c r="L1332" s="17">
        <f t="shared" si="40"/>
        <v>0</v>
      </c>
      <c r="M1332" s="5">
        <f t="shared" si="41"/>
        <v>0</v>
      </c>
    </row>
    <row r="1333" spans="1:13" ht="14.5">
      <c r="A1333" s="3">
        <v>18</v>
      </c>
      <c r="B1333" s="15">
        <f>AVERAGE(Sheet1!G1331:G2668,Sheet1!D1331:D2668)</f>
        <v>2042.0133333333335</v>
      </c>
      <c r="C1333" s="3"/>
      <c r="J1333" s="4" t="s">
        <v>7</v>
      </c>
      <c r="K1333" s="4" t="s">
        <v>8</v>
      </c>
      <c r="L1333" s="17">
        <f t="shared" si="40"/>
        <v>0</v>
      </c>
      <c r="M1333" s="5">
        <f t="shared" si="41"/>
        <v>0</v>
      </c>
    </row>
    <row r="1334" spans="1:13" ht="14.5">
      <c r="A1334" s="3">
        <v>18</v>
      </c>
      <c r="B1334" s="15">
        <f>AVERAGE(Sheet1!G1332:G2669,Sheet1!D1332:D2669)</f>
        <v>2226.2687500000002</v>
      </c>
      <c r="C1334" s="3"/>
      <c r="J1334" s="4" t="s">
        <v>7</v>
      </c>
      <c r="K1334" s="4" t="s">
        <v>8</v>
      </c>
      <c r="L1334" s="17">
        <f t="shared" si="40"/>
        <v>0</v>
      </c>
      <c r="M1334" s="5">
        <f t="shared" si="41"/>
        <v>0</v>
      </c>
    </row>
    <row r="1335" spans="1:13" ht="14.5">
      <c r="A1335" s="3">
        <v>18</v>
      </c>
      <c r="B1335" s="15">
        <f>AVERAGE(Sheet1!G1333:G2670,Sheet1!D1333:D2670)</f>
        <v>2427.5957142857142</v>
      </c>
      <c r="C1335" s="3"/>
      <c r="J1335" s="4" t="s">
        <v>10</v>
      </c>
      <c r="K1335" s="4" t="s">
        <v>8</v>
      </c>
      <c r="L1335" s="17">
        <f t="shared" si="40"/>
        <v>0</v>
      </c>
      <c r="M1335" s="5">
        <f t="shared" si="41"/>
        <v>0</v>
      </c>
    </row>
    <row r="1336" spans="1:13" ht="14.5">
      <c r="A1336" s="3">
        <v>18</v>
      </c>
      <c r="B1336" s="15">
        <f>AVERAGE(Sheet1!G1334:G2671,Sheet1!D1334:D2671)</f>
        <v>1641.9066666666665</v>
      </c>
      <c r="C1336" s="3"/>
      <c r="J1336" s="4" t="s">
        <v>10</v>
      </c>
      <c r="K1336" s="4" t="s">
        <v>11</v>
      </c>
      <c r="L1336" s="17">
        <f t="shared" si="40"/>
        <v>0</v>
      </c>
      <c r="M1336" s="5">
        <f t="shared" si="41"/>
        <v>1</v>
      </c>
    </row>
    <row r="1337" spans="1:13" ht="14.5">
      <c r="A1337" s="3">
        <v>18</v>
      </c>
      <c r="B1337" s="15">
        <f>AVERAGE(Sheet1!G1335:G2672,Sheet1!D1335:D2672)</f>
        <v>1798.1529999999998</v>
      </c>
      <c r="C1337" s="3"/>
      <c r="J1337" s="4" t="s">
        <v>7</v>
      </c>
      <c r="K1337" s="4" t="s">
        <v>8</v>
      </c>
      <c r="L1337" s="17">
        <f t="shared" si="40"/>
        <v>0</v>
      </c>
      <c r="M1337" s="5">
        <f t="shared" si="41"/>
        <v>0</v>
      </c>
    </row>
    <row r="1338" spans="1:13" ht="14.5">
      <c r="A1338" s="3">
        <v>18</v>
      </c>
      <c r="B1338" s="15">
        <f>AVERAGE(Sheet1!G1336:G2673,Sheet1!D1336:D2673)</f>
        <v>2034.075</v>
      </c>
      <c r="C1338" s="3"/>
      <c r="J1338" s="4" t="s">
        <v>7</v>
      </c>
      <c r="K1338" s="4" t="s">
        <v>8</v>
      </c>
      <c r="L1338" s="17">
        <f t="shared" si="40"/>
        <v>0</v>
      </c>
      <c r="M1338" s="5">
        <f t="shared" si="41"/>
        <v>0</v>
      </c>
    </row>
    <row r="1339" spans="1:13" ht="14.5">
      <c r="A1339" s="3">
        <v>18</v>
      </c>
      <c r="B1339" s="15">
        <f>AVERAGE(Sheet1!G1337:G2674,Sheet1!D1337:D2674)</f>
        <v>833.2116666666667</v>
      </c>
      <c r="C1339" s="3"/>
      <c r="J1339" s="4" t="s">
        <v>7</v>
      </c>
      <c r="K1339" s="4" t="s">
        <v>8</v>
      </c>
      <c r="L1339" s="17">
        <f t="shared" si="40"/>
        <v>0</v>
      </c>
      <c r="M1339" s="5">
        <f t="shared" si="41"/>
        <v>0</v>
      </c>
    </row>
    <row r="1340" spans="1:13" ht="14.5">
      <c r="A1340" s="3">
        <v>18</v>
      </c>
      <c r="B1340" s="15">
        <f>AVERAGE(Sheet1!G1338:G2675,Sheet1!D1338:D2675)</f>
        <v>958.95249999999999</v>
      </c>
      <c r="C1340" s="3"/>
      <c r="J1340" s="4" t="s">
        <v>7</v>
      </c>
      <c r="K1340" s="4" t="s">
        <v>8</v>
      </c>
      <c r="L1340" s="17">
        <f t="shared" si="40"/>
        <v>0</v>
      </c>
      <c r="M1340" s="5">
        <f t="shared" si="41"/>
        <v>0</v>
      </c>
    </row>
    <row r="1341" spans="1:13" ht="14.5">
      <c r="A1341" s="3">
        <v>18</v>
      </c>
      <c r="B1341" s="15">
        <f>AVERAGE(Sheet1!G1339:G2676,Sheet1!D1339:D2676)</f>
        <v>814.91499999999996</v>
      </c>
      <c r="C1341" s="3"/>
      <c r="J1341" s="4" t="s">
        <v>10</v>
      </c>
      <c r="K1341" s="4" t="s">
        <v>8</v>
      </c>
      <c r="L1341" s="17">
        <f t="shared" si="40"/>
        <v>0</v>
      </c>
      <c r="M1341" s="5">
        <f t="shared" si="41"/>
        <v>0</v>
      </c>
    </row>
    <row r="1342" spans="1:13" ht="14.5">
      <c r="J1342" s="4" t="s">
        <v>10</v>
      </c>
      <c r="K1342" s="4" t="s">
        <v>8</v>
      </c>
      <c r="L1342" s="17">
        <f t="shared" si="40"/>
        <v>0</v>
      </c>
      <c r="M1342" s="5">
        <f t="shared" si="41"/>
        <v>0</v>
      </c>
    </row>
  </sheetData>
  <mergeCells count="4">
    <mergeCell ref="A2:I2"/>
    <mergeCell ref="J2:Q2"/>
    <mergeCell ref="S2:Z2"/>
    <mergeCell ref="A1:Z1"/>
  </mergeCells>
  <pageMargins left="0.7" right="0.7" top="0.75" bottom="0.75" header="0.3" footer="0.3"/>
  <ignoredErrors>
    <ignoredError sqref="B5:B1341" formulaRange="1"/>
  </ignoredError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Ass1 Solution</vt:lpstr>
      <vt:lpstr>Ass2 Solution</vt:lpstr>
      <vt:lpstr>Ass3 Solution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bittu sharma</cp:lastModifiedBy>
  <dcterms:created xsi:type="dcterms:W3CDTF">2024-07-01T11:50:08Z</dcterms:created>
  <dcterms:modified xsi:type="dcterms:W3CDTF">2024-07-01T12:12:22Z</dcterms:modified>
</cp:coreProperties>
</file>